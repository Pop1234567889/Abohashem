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جرد الخامات آخر أغسطس" sheetId="1" state="visible" r:id="rId1"/>
    <sheet xmlns:r="http://schemas.openxmlformats.org/officeDocument/2006/relationships" name="مشتريات أغسطس التفصيلية" sheetId="2" state="visible" r:id="rId2"/>
    <sheet xmlns:r="http://schemas.openxmlformats.org/officeDocument/2006/relationships" name="خطوات احتساب المتوسط" sheetId="3" state="visible" r:id="rId3"/>
    <sheet xmlns:r="http://schemas.openxmlformats.org/officeDocument/2006/relationships" name="تفصيل الوصفات بأسعار أغسطس" sheetId="4" state="visible" r:id="rId4"/>
    <sheet xmlns:r="http://schemas.openxmlformats.org/officeDocument/2006/relationships" name="سعر الكجم من الوصفات" sheetId="5" state="visible" r:id="rId5"/>
    <sheet xmlns:r="http://schemas.openxmlformats.org/officeDocument/2006/relationships" name="جرد المنتج التام آخر أغسطس" sheetId="6" state="visible" r:id="rId6"/>
    <sheet xmlns:r="http://schemas.openxmlformats.org/officeDocument/2006/relationships" name="المطابقة" sheetId="7" state="visible" r:id="rId7"/>
    <sheet xmlns:r="http://schemas.openxmlformats.org/officeDocument/2006/relationships" name="المنهجية والاستثناءات" sheetId="8" state="visible" r:id="rId8"/>
  </sheets>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000"/>
  </numFmts>
  <fonts count="5">
    <font>
      <name val="Calibri"/>
      <family val="2"/>
      <color theme="1"/>
      <sz val="11"/>
      <scheme val="minor"/>
    </font>
    <font>
      <b val="1"/>
      <color rgb="001F4E78"/>
      <sz val="13"/>
    </font>
    <font>
      <b val="1"/>
      <color rgb="00FFFFFF"/>
    </font>
    <font>
      <b val="1"/>
    </font>
    <font>
      <i val="1"/>
      <sz val="10"/>
    </font>
  </fonts>
  <fills count="6">
    <fill>
      <patternFill/>
    </fill>
    <fill>
      <patternFill patternType="gray125"/>
    </fill>
    <fill>
      <patternFill patternType="solid">
        <fgColor rgb="001F4E78"/>
      </patternFill>
    </fill>
    <fill>
      <patternFill patternType="solid">
        <fgColor rgb="00FCE4D6"/>
      </patternFill>
    </fill>
    <fill>
      <patternFill patternType="solid">
        <fgColor rgb="00FFF2CC"/>
      </patternFill>
    </fill>
    <fill>
      <patternFill patternType="solid">
        <fgColor rgb="00DDEBF7"/>
      </patternFill>
    </fill>
  </fills>
  <borders count="5">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4" fillId="0" borderId="0" applyAlignment="1" pivotButton="0" quotePrefix="0" xfId="0">
      <alignment horizontal="right" vertical="center" wrapText="1"/>
    </xf>
    <xf numFmtId="0" fontId="2" fillId="2" borderId="1" applyAlignment="1" pivotButton="0" quotePrefix="0" xfId="0">
      <alignment horizontal="center" vertical="center" wrapText="1"/>
    </xf>
    <xf numFmtId="0" fontId="0" fillId="0" borderId="1" applyAlignment="1" pivotButton="0" quotePrefix="0" xfId="0">
      <alignment horizontal="right" vertical="center" wrapText="1"/>
    </xf>
    <xf numFmtId="4"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0" fillId="3" borderId="1" applyAlignment="1" pivotButton="0" quotePrefix="0" xfId="0">
      <alignment horizontal="right" vertical="center" wrapText="1"/>
    </xf>
    <xf numFmtId="0" fontId="3" fillId="4" borderId="1" applyAlignment="1" pivotButton="0" quotePrefix="0" xfId="0">
      <alignment horizontal="right" vertical="center" wrapText="1"/>
    </xf>
    <xf numFmtId="4" fontId="3" fillId="4" borderId="1" applyAlignment="1" pivotButton="0" quotePrefix="0" xfId="0">
      <alignment horizontal="center" vertical="center" wrapText="1"/>
    </xf>
    <xf numFmtId="4" fontId="0" fillId="3" borderId="1" applyAlignment="1" pivotButton="0" quotePrefix="0" xfId="0">
      <alignment horizontal="center" vertical="center" wrapText="1"/>
    </xf>
    <xf numFmtId="164" fontId="0" fillId="3" borderId="1" applyAlignment="1" pivotButton="0" quotePrefix="0" xfId="0">
      <alignment horizontal="center" vertical="center" wrapText="1"/>
    </xf>
    <xf numFmtId="0" fontId="0" fillId="4" borderId="1" applyAlignment="1" pivotButton="0" quotePrefix="0" xfId="0">
      <alignment horizontal="right" vertical="center" wrapText="1"/>
    </xf>
    <xf numFmtId="4" fontId="0" fillId="4" borderId="1" applyAlignment="1" pivotButton="0" quotePrefix="0" xfId="0">
      <alignment horizontal="center" vertical="center" wrapText="1"/>
    </xf>
    <xf numFmtId="164" fontId="3" fillId="5" borderId="1" applyAlignment="1" pivotButton="0" quotePrefix="0" xfId="0">
      <alignment horizontal="center" vertical="center" wrapText="1"/>
    </xf>
    <xf numFmtId="0" fontId="0" fillId="0" borderId="1" applyAlignment="1" pivotButton="0" quotePrefix="0" xfId="0">
      <alignment horizontal="center" vertical="center" wrapText="1"/>
    </xf>
    <xf numFmtId="166" fontId="0" fillId="0" borderId="1" applyAlignment="1" pivotButton="0" quotePrefix="0" xfId="0">
      <alignment horizontal="center" vertical="center" wrapText="1"/>
    </xf>
    <xf numFmtId="0" fontId="0" fillId="5" borderId="1" applyAlignment="1" pivotButton="0" quotePrefix="0" xfId="0">
      <alignment horizontal="right" vertical="center" wrapText="1"/>
    </xf>
    <xf numFmtId="0" fontId="3" fillId="5" borderId="1" applyAlignment="1" pivotButton="0" quotePrefix="0" xfId="0">
      <alignment horizontal="right" vertical="center" wrapText="1"/>
    </xf>
    <xf numFmtId="166" fontId="0" fillId="5" borderId="1" applyAlignment="1" pivotButton="0" quotePrefix="0" xfId="0">
      <alignment horizontal="center" vertical="center" wrapText="1"/>
    </xf>
    <xf numFmtId="4" fontId="3" fillId="5" borderId="1" applyAlignment="1" pivotButton="0" quotePrefix="0" xfId="0">
      <alignment horizontal="center" vertical="center" wrapText="1"/>
    </xf>
    <xf numFmtId="167" fontId="0" fillId="0" borderId="1" applyAlignment="1" pivotButton="0" quotePrefix="0" xfId="0">
      <alignment horizontal="center" vertical="center" wrapText="1"/>
    </xf>
    <xf numFmtId="0" fontId="3" fillId="0" borderId="1" applyAlignment="1" pivotButton="0" quotePrefix="0" xfId="0">
      <alignment horizontal="right" vertical="center" wrapText="1"/>
    </xf>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5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2" customWidth="1" min="2" max="2"/>
    <col width="11" customWidth="1" min="3" max="3"/>
    <col width="13" customWidth="1" min="4" max="4"/>
    <col width="12" customWidth="1" min="5" max="5"/>
    <col width="14" customWidth="1" min="6" max="6"/>
    <col width="12" customWidth="1" min="7" max="7"/>
    <col width="14" customWidth="1" min="8" max="8"/>
    <col width="13" customWidth="1" min="9" max="9"/>
    <col width="12" customWidth="1" min="10" max="10"/>
    <col width="14" customWidth="1" min="11" max="11"/>
    <col width="10" customWidth="1" min="12" max="12"/>
    <col width="55" customWidth="1" min="13" max="13"/>
  </cols>
  <sheetData>
    <row r="1">
      <c r="A1" s="1" t="inlineStr">
        <is>
          <t>ABOHASHEM FOR MEAT — تقييم مخزون الخامات آخر أغسطس 2026 بمتوسط التكلفة المرجّح (WAC)</t>
        </is>
      </c>
    </row>
    <row r="2">
      <c r="A2" s="2" t="inlineStr">
        <is>
          <t>متوسط السعر = (قيمة رصيد أول المدة + قيمة مشتريات أغسطس) ÷ (كمية رصيد أول المدة + كمية مشتريات أغسطس) — رصيد أول المدة = جرد 31/7 مُقيَّمًا بمتوسط يوليو</t>
        </is>
      </c>
    </row>
    <row r="4" ht="42" customHeight="1">
      <c r="A4" s="3" t="inlineStr">
        <is>
          <t>اسم الصنف</t>
        </is>
      </c>
      <c r="B4" s="3" t="inlineStr">
        <is>
          <t>كمية أول المدة (جرد 31/7)</t>
        </is>
      </c>
      <c r="C4" s="3" t="inlineStr">
        <is>
          <t>سعر أول المدة (متوسط يوليو)</t>
        </is>
      </c>
      <c r="D4" s="3" t="inlineStr">
        <is>
          <t>قيمة أول المدة</t>
        </is>
      </c>
      <c r="E4" s="3" t="inlineStr">
        <is>
          <t>كمية مشتريات أغسطس</t>
        </is>
      </c>
      <c r="F4" s="3" t="inlineStr">
        <is>
          <t>قيمة مشتريات أغسطس</t>
        </is>
      </c>
      <c r="G4" s="3" t="inlineStr">
        <is>
          <t>إجمالى الكمية</t>
        </is>
      </c>
      <c r="H4" s="3" t="inlineStr">
        <is>
          <t>إجمالى التكلفة</t>
        </is>
      </c>
      <c r="I4" s="3" t="inlineStr">
        <is>
          <t>متوسط السعر (WAC) 31/8</t>
        </is>
      </c>
      <c r="J4" s="3" t="inlineStr">
        <is>
          <t>كمية الجرد 31/8</t>
        </is>
      </c>
      <c r="K4" s="3" t="inlineStr">
        <is>
          <t>قيمة المخزون 31/8</t>
        </is>
      </c>
      <c r="L4" s="3" t="inlineStr">
        <is>
          <t>التغير عن سعر يوليو %</t>
        </is>
      </c>
      <c r="M4" s="3" t="inlineStr">
        <is>
          <t>ملاحظة</t>
        </is>
      </c>
    </row>
    <row r="5">
      <c r="A5" s="4" t="inlineStr">
        <is>
          <t>بصل</t>
        </is>
      </c>
      <c r="B5" s="5" t="n">
        <v>188</v>
      </c>
      <c r="C5" s="6" t="n">
        <v>12.9062</v>
      </c>
      <c r="D5" s="5">
        <f>IF(C5="","",B5*C5)</f>
        <v/>
      </c>
      <c r="E5" s="5">
        <f>SUMIF('مشتريات أغسطس التفصيلية'!$I$4:$I$98,A5,'مشتريات أغسطس التفصيلية'!$F$4:$F$98)</f>
        <v/>
      </c>
      <c r="F5" s="5">
        <f>SUMIF('مشتريات أغسطس التفصيلية'!$I$4:$I$98,A5,'مشتريات أغسطس التفصيلية'!$H$4:$H$98)</f>
        <v/>
      </c>
      <c r="G5" s="5">
        <f>IF(C5="",E5,B5+E5)</f>
        <v/>
      </c>
      <c r="H5" s="5">
        <f>N(D5)+F5</f>
        <v/>
      </c>
      <c r="I5" s="6">
        <f>IF(G5&gt;0,ROUND(H5/G5,4),IF(C5="","",C5))</f>
        <v/>
      </c>
      <c r="J5" s="5" t="n">
        <v>500</v>
      </c>
      <c r="K5" s="5">
        <f>IF(I5="","",J5*I5)</f>
        <v/>
      </c>
      <c r="L5" s="7">
        <f>IF(OR(C5="",I5=""),"",I5/C5-1)</f>
        <v/>
      </c>
      <c r="M5" s="4" t="inlineStr">
        <is>
          <t>قياسى: (أول المدة + المشتريات)</t>
        </is>
      </c>
    </row>
    <row r="6">
      <c r="A6" s="4" t="inlineStr">
        <is>
          <t>ثوم</t>
        </is>
      </c>
      <c r="B6" s="5" t="n">
        <v>1497</v>
      </c>
      <c r="C6" s="6" t="n">
        <v>25.0724</v>
      </c>
      <c r="D6" s="5">
        <f>IF(C6="","",B6*C6)</f>
        <v/>
      </c>
      <c r="E6" s="5">
        <f>SUMIF('مشتريات أغسطس التفصيلية'!$I$4:$I$98,A6,'مشتريات أغسطس التفصيلية'!$F$4:$F$98)</f>
        <v/>
      </c>
      <c r="F6" s="5">
        <f>SUMIF('مشتريات أغسطس التفصيلية'!$I$4:$I$98,A6,'مشتريات أغسطس التفصيلية'!$H$4:$H$98)</f>
        <v/>
      </c>
      <c r="G6" s="5">
        <f>IF(C6="",E6,B6+E6)</f>
        <v/>
      </c>
      <c r="H6" s="5">
        <f>N(D6)+F6</f>
        <v/>
      </c>
      <c r="I6" s="6">
        <f>IF(G6&gt;0,ROUND(H6/G6,4),IF(C6="","",C6))</f>
        <v/>
      </c>
      <c r="J6" s="5" t="n">
        <v>1249.55</v>
      </c>
      <c r="K6" s="5">
        <f>IF(I6="","",J6*I6)</f>
        <v/>
      </c>
      <c r="L6" s="7">
        <f>IF(OR(C6="",I6=""),"",I6/C6-1)</f>
        <v/>
      </c>
      <c r="M6" s="4" t="inlineStr">
        <is>
          <t>لا مشتريات فى أغسطس ⇒ السعر ثابت كما فى يوليو</t>
        </is>
      </c>
    </row>
    <row r="7">
      <c r="A7" s="4" t="inlineStr">
        <is>
          <t>فلفل بارد</t>
        </is>
      </c>
      <c r="B7" s="5" t="n">
        <v>88.5</v>
      </c>
      <c r="C7" s="6" t="n">
        <v>13.3115</v>
      </c>
      <c r="D7" s="5">
        <f>IF(C7="","",B7*C7)</f>
        <v/>
      </c>
      <c r="E7" s="5">
        <f>SUMIF('مشتريات أغسطس التفصيلية'!$I$4:$I$98,A7,'مشتريات أغسطس التفصيلية'!$F$4:$F$98)</f>
        <v/>
      </c>
      <c r="F7" s="5">
        <f>SUMIF('مشتريات أغسطس التفصيلية'!$I$4:$I$98,A7,'مشتريات أغسطس التفصيلية'!$H$4:$H$98)</f>
        <v/>
      </c>
      <c r="G7" s="5">
        <f>IF(C7="",E7,B7+E7)</f>
        <v/>
      </c>
      <c r="H7" s="5">
        <f>N(D7)+F7</f>
        <v/>
      </c>
      <c r="I7" s="6">
        <f>IF(G7&gt;0,ROUND(H7/G7,4),IF(C7="","",C7))</f>
        <v/>
      </c>
      <c r="J7" s="5" t="n">
        <v>320</v>
      </c>
      <c r="K7" s="5">
        <f>IF(I7="","",J7*I7)</f>
        <v/>
      </c>
      <c r="L7" s="7">
        <f>IF(OR(C7="",I7=""),"",I7/C7-1)</f>
        <v/>
      </c>
      <c r="M7" s="4" t="inlineStr">
        <is>
          <t>قياسى: (أول المدة + المشتريات)</t>
        </is>
      </c>
    </row>
    <row r="8">
      <c r="A8" s="8" t="inlineStr">
        <is>
          <t>مفروم فراخ شعبي</t>
        </is>
      </c>
      <c r="B8" s="5" t="n">
        <v>515</v>
      </c>
      <c r="C8" s="6" t="n">
        <v>28.2089</v>
      </c>
      <c r="D8" s="5">
        <f>IF(C8="","",B8*C8)</f>
        <v/>
      </c>
      <c r="E8" s="5">
        <f>SUMIF('مشتريات أغسطس التفصيلية'!$I$4:$I$98,A8,'مشتريات أغسطس التفصيلية'!$F$4:$F$98)</f>
        <v/>
      </c>
      <c r="F8" s="5">
        <f>SUMIF('مشتريات أغسطس التفصيلية'!$I$4:$I$98,A8,'مشتريات أغسطس التفصيلية'!$H$4:$H$98)</f>
        <v/>
      </c>
      <c r="G8" s="5">
        <f>IF(C8="",E8,B8+E8)</f>
        <v/>
      </c>
      <c r="H8" s="5">
        <f>N(D8)+F8</f>
        <v/>
      </c>
      <c r="I8" s="6">
        <f>IF(G8&gt;0,ROUND(H8/G8,4),IF(C8="","",C8))</f>
        <v/>
      </c>
      <c r="J8" s="5" t="n">
        <v>2120</v>
      </c>
      <c r="K8" s="5">
        <f>IF(I8="","",J8*I8)</f>
        <v/>
      </c>
      <c r="L8" s="7">
        <f>IF(OR(C8="",I8=""),"",I8/C8-1)</f>
        <v/>
      </c>
      <c r="M8" s="8" t="inlineStr">
        <is>
          <t>قياسى: (أول المدة + المشتريات); معادلة الإجمالى بالجرد «=B8+C8» لا تغطى كل المواقع؛ باقى المواقع صفر فالنتيجة مطابقة لمجموع المواقع</t>
        </is>
      </c>
    </row>
    <row r="9">
      <c r="A9" s="4" t="inlineStr">
        <is>
          <t>صميد</t>
        </is>
      </c>
      <c r="B9" s="5" t="n">
        <v>516</v>
      </c>
      <c r="C9" s="6" t="n">
        <v>15.453</v>
      </c>
      <c r="D9" s="5">
        <f>IF(C9="","",B9*C9)</f>
        <v/>
      </c>
      <c r="E9" s="5">
        <f>SUMIF('مشتريات أغسطس التفصيلية'!$I$4:$I$98,A9,'مشتريات أغسطس التفصيلية'!$F$4:$F$98)</f>
        <v/>
      </c>
      <c r="F9" s="5">
        <f>SUMIF('مشتريات أغسطس التفصيلية'!$I$4:$I$98,A9,'مشتريات أغسطس التفصيلية'!$H$4:$H$98)</f>
        <v/>
      </c>
      <c r="G9" s="5">
        <f>IF(C9="",E9,B9+E9)</f>
        <v/>
      </c>
      <c r="H9" s="5">
        <f>N(D9)+F9</f>
        <v/>
      </c>
      <c r="I9" s="6">
        <f>IF(G9&gt;0,ROUND(H9/G9,4),IF(C9="","",C9))</f>
        <v/>
      </c>
      <c r="J9" s="5" t="n">
        <v>1241</v>
      </c>
      <c r="K9" s="5">
        <f>IF(I9="","",J9*I9)</f>
        <v/>
      </c>
      <c r="L9" s="7">
        <f>IF(OR(C9="",I9=""),"",I9/C9-1)</f>
        <v/>
      </c>
      <c r="M9" s="4" t="inlineStr">
        <is>
          <t>قياسى: (أول المدة + المشتريات)</t>
        </is>
      </c>
    </row>
    <row r="10">
      <c r="A10" s="4" t="inlineStr">
        <is>
          <t>صويا لحمه</t>
        </is>
      </c>
      <c r="B10" s="5" t="n">
        <v>1141</v>
      </c>
      <c r="C10" s="6" t="n">
        <v>36.0965</v>
      </c>
      <c r="D10" s="5">
        <f>IF(C10="","",B10*C10)</f>
        <v/>
      </c>
      <c r="E10" s="5">
        <f>SUMIF('مشتريات أغسطس التفصيلية'!$I$4:$I$98,A10,'مشتريات أغسطس التفصيلية'!$F$4:$F$98)</f>
        <v/>
      </c>
      <c r="F10" s="5">
        <f>SUMIF('مشتريات أغسطس التفصيلية'!$I$4:$I$98,A10,'مشتريات أغسطس التفصيلية'!$H$4:$H$98)</f>
        <v/>
      </c>
      <c r="G10" s="5">
        <f>IF(C10="",E10,B10+E10)</f>
        <v/>
      </c>
      <c r="H10" s="5">
        <f>N(D10)+F10</f>
        <v/>
      </c>
      <c r="I10" s="6">
        <f>IF(G10&gt;0,ROUND(H10/G10,4),IF(C10="","",C10))</f>
        <v/>
      </c>
      <c r="J10" s="5" t="n">
        <v>777</v>
      </c>
      <c r="K10" s="5">
        <f>IF(I10="","",J10*I10)</f>
        <v/>
      </c>
      <c r="L10" s="7">
        <f>IF(OR(C10="",I10=""),"",I10/C10-1)</f>
        <v/>
      </c>
      <c r="M10" s="4" t="inlineStr">
        <is>
          <t>قياسى: (أول المدة + المشتريات)</t>
        </is>
      </c>
    </row>
    <row r="11">
      <c r="A11" s="4" t="inlineStr">
        <is>
          <t>صويا اوزيليت</t>
        </is>
      </c>
      <c r="B11" s="5" t="n">
        <v>95</v>
      </c>
      <c r="C11" s="6" t="n">
        <v>175.6977</v>
      </c>
      <c r="D11" s="5">
        <f>IF(C11="","",B11*C11)</f>
        <v/>
      </c>
      <c r="E11" s="5">
        <f>SUMIF('مشتريات أغسطس التفصيلية'!$I$4:$I$98,A11,'مشتريات أغسطس التفصيلية'!$F$4:$F$98)</f>
        <v/>
      </c>
      <c r="F11" s="5">
        <f>SUMIF('مشتريات أغسطس التفصيلية'!$I$4:$I$98,A11,'مشتريات أغسطس التفصيلية'!$H$4:$H$98)</f>
        <v/>
      </c>
      <c r="G11" s="5">
        <f>IF(C11="",E11,B11+E11)</f>
        <v/>
      </c>
      <c r="H11" s="5">
        <f>N(D11)+F11</f>
        <v/>
      </c>
      <c r="I11" s="6">
        <f>IF(G11&gt;0,ROUND(H11/G11,4),IF(C11="","",C11))</f>
        <v/>
      </c>
      <c r="J11" s="5" t="n">
        <v>151.5</v>
      </c>
      <c r="K11" s="5">
        <f>IF(I11="","",J11*I11)</f>
        <v/>
      </c>
      <c r="L11" s="7">
        <f>IF(OR(C11="",I11=""),"",I11/C11-1)</f>
        <v/>
      </c>
      <c r="M11" s="4" t="inlineStr">
        <is>
          <t>قياسى: (أول المدة + المشتريات)</t>
        </is>
      </c>
    </row>
    <row r="12">
      <c r="A12" s="4" t="inlineStr">
        <is>
          <t>مفروم فراخ فاخر</t>
        </is>
      </c>
      <c r="B12" s="5" t="n">
        <v>145</v>
      </c>
      <c r="C12" s="6" t="n">
        <v>55.7948</v>
      </c>
      <c r="D12" s="5">
        <f>IF(C12="","",B12*C12)</f>
        <v/>
      </c>
      <c r="E12" s="5">
        <f>SUMIF('مشتريات أغسطس التفصيلية'!$I$4:$I$98,A12,'مشتريات أغسطس التفصيلية'!$F$4:$F$98)</f>
        <v/>
      </c>
      <c r="F12" s="5">
        <f>SUMIF('مشتريات أغسطس التفصيلية'!$I$4:$I$98,A12,'مشتريات أغسطس التفصيلية'!$H$4:$H$98)</f>
        <v/>
      </c>
      <c r="G12" s="5">
        <f>IF(C12="",E12,B12+E12)</f>
        <v/>
      </c>
      <c r="H12" s="5">
        <f>N(D12)+F12</f>
        <v/>
      </c>
      <c r="I12" s="6">
        <f>IF(G12&gt;0,ROUND(H12/G12,4),IF(C12="","",C12))</f>
        <v/>
      </c>
      <c r="J12" s="5" t="n">
        <v>415</v>
      </c>
      <c r="K12" s="5">
        <f>IF(I12="","",J12*I12)</f>
        <v/>
      </c>
      <c r="L12" s="7">
        <f>IF(OR(C12="",I12=""),"",I12/C12-1)</f>
        <v/>
      </c>
      <c r="M12" s="4" t="inlineStr">
        <is>
          <t>قياسى: (أول المدة + المشتريات)</t>
        </is>
      </c>
    </row>
    <row r="13">
      <c r="A13" s="4" t="inlineStr">
        <is>
          <t>دهن بلدي</t>
        </is>
      </c>
      <c r="B13" s="5" t="n">
        <v>1462</v>
      </c>
      <c r="C13" s="6" t="n">
        <v>45.0898</v>
      </c>
      <c r="D13" s="5">
        <f>IF(C13="","",B13*C13)</f>
        <v/>
      </c>
      <c r="E13" s="5">
        <f>SUMIF('مشتريات أغسطس التفصيلية'!$I$4:$I$98,A13,'مشتريات أغسطس التفصيلية'!$F$4:$F$98)</f>
        <v/>
      </c>
      <c r="F13" s="5">
        <f>SUMIF('مشتريات أغسطس التفصيلية'!$I$4:$I$98,A13,'مشتريات أغسطس التفصيلية'!$H$4:$H$98)</f>
        <v/>
      </c>
      <c r="G13" s="5">
        <f>IF(C13="",E13,B13+E13)</f>
        <v/>
      </c>
      <c r="H13" s="5">
        <f>N(D13)+F13</f>
        <v/>
      </c>
      <c r="I13" s="6">
        <f>IF(G13&gt;0,ROUND(H13/G13,4),IF(C13="","",C13))</f>
        <v/>
      </c>
      <c r="J13" s="5" t="n">
        <v>1754.85</v>
      </c>
      <c r="K13" s="5">
        <f>IF(I13="","",J13*I13)</f>
        <v/>
      </c>
      <c r="L13" s="7">
        <f>IF(OR(C13="",I13=""),"",I13/C13-1)</f>
        <v/>
      </c>
      <c r="M13" s="4" t="inlineStr">
        <is>
          <t>قياسى: (أول المدة + المشتريات)</t>
        </is>
      </c>
    </row>
    <row r="14">
      <c r="A14" s="4" t="inlineStr">
        <is>
          <t>لحم كتف</t>
        </is>
      </c>
      <c r="B14" s="5" t="n">
        <v>20</v>
      </c>
      <c r="C14" s="6" t="n">
        <v>245.32</v>
      </c>
      <c r="D14" s="5">
        <f>IF(C14="","",B14*C14)</f>
        <v/>
      </c>
      <c r="E14" s="5">
        <f>SUMIF('مشتريات أغسطس التفصيلية'!$I$4:$I$98,A14,'مشتريات أغسطس التفصيلية'!$F$4:$F$98)</f>
        <v/>
      </c>
      <c r="F14" s="5">
        <f>SUMIF('مشتريات أغسطس التفصيلية'!$I$4:$I$98,A14,'مشتريات أغسطس التفصيلية'!$H$4:$H$98)</f>
        <v/>
      </c>
      <c r="G14" s="5">
        <f>IF(C14="",E14,B14+E14)</f>
        <v/>
      </c>
      <c r="H14" s="5">
        <f>N(D14)+F14</f>
        <v/>
      </c>
      <c r="I14" s="6">
        <f>'خطوات احتساب المتوسط'!J5</f>
        <v/>
      </c>
      <c r="J14" s="5" t="n">
        <v>40</v>
      </c>
      <c r="K14" s="5">
        <f>IF(I14="","",J14*I14)</f>
        <v/>
      </c>
      <c r="L14" s="7">
        <f>IF(OR(C14="",I14=""),"",I14/C14-1)</f>
        <v/>
      </c>
      <c r="M14" s="4" t="inlineStr">
        <is>
          <t>سعر موحَّد لمجمّع اللحوم الهندى (كتف/رقبه/سن/أرباع) — مشترياته «تشكيلة هندى أمامى»</t>
        </is>
      </c>
    </row>
    <row r="15">
      <c r="A15" s="4" t="inlineStr">
        <is>
          <t>لحم رقبه</t>
        </is>
      </c>
      <c r="B15" s="5" t="n">
        <v>0</v>
      </c>
      <c r="C15" s="6" t="n">
        <v>245.32</v>
      </c>
      <c r="D15" s="5">
        <f>IF(C15="","",B15*C15)</f>
        <v/>
      </c>
      <c r="E15" s="5">
        <f>SUMIF('مشتريات أغسطس التفصيلية'!$I$4:$I$98,A15,'مشتريات أغسطس التفصيلية'!$F$4:$F$98)</f>
        <v/>
      </c>
      <c r="F15" s="5">
        <f>SUMIF('مشتريات أغسطس التفصيلية'!$I$4:$I$98,A15,'مشتريات أغسطس التفصيلية'!$H$4:$H$98)</f>
        <v/>
      </c>
      <c r="G15" s="5">
        <f>IF(C15="",E15,B15+E15)</f>
        <v/>
      </c>
      <c r="H15" s="5">
        <f>N(D15)+F15</f>
        <v/>
      </c>
      <c r="I15" s="6">
        <f>'خطوات احتساب المتوسط'!J5</f>
        <v/>
      </c>
      <c r="J15" s="5" t="n">
        <v>60</v>
      </c>
      <c r="K15" s="5">
        <f>IF(I15="","",J15*I15)</f>
        <v/>
      </c>
      <c r="L15" s="7">
        <f>IF(OR(C15="",I15=""),"",I15/C15-1)</f>
        <v/>
      </c>
      <c r="M15" s="4" t="inlineStr">
        <is>
          <t>سعر موحَّد لمجمّع اللحوم الهندى (كتف/رقبه/سن/أرباع) — مشترياته «تشكيلة هندى أمامى»</t>
        </is>
      </c>
    </row>
    <row r="16">
      <c r="A16" s="4" t="inlineStr">
        <is>
          <t>لحم سن</t>
        </is>
      </c>
      <c r="B16" s="5" t="n">
        <v>0</v>
      </c>
      <c r="C16" s="6" t="n">
        <v>245.32</v>
      </c>
      <c r="D16" s="5">
        <f>IF(C16="","",B16*C16)</f>
        <v/>
      </c>
      <c r="E16" s="5">
        <f>SUMIF('مشتريات أغسطس التفصيلية'!$I$4:$I$98,A16,'مشتريات أغسطس التفصيلية'!$F$4:$F$98)</f>
        <v/>
      </c>
      <c r="F16" s="5">
        <f>SUMIF('مشتريات أغسطس التفصيلية'!$I$4:$I$98,A16,'مشتريات أغسطس التفصيلية'!$H$4:$H$98)</f>
        <v/>
      </c>
      <c r="G16" s="5">
        <f>IF(C16="",E16,B16+E16)</f>
        <v/>
      </c>
      <c r="H16" s="5">
        <f>N(D16)+F16</f>
        <v/>
      </c>
      <c r="I16" s="6">
        <f>'خطوات احتساب المتوسط'!J5</f>
        <v/>
      </c>
      <c r="J16" s="5" t="n">
        <v>20</v>
      </c>
      <c r="K16" s="5">
        <f>IF(I16="","",J16*I16)</f>
        <v/>
      </c>
      <c r="L16" s="7">
        <f>IF(OR(C16="",I16=""),"",I16/C16-1)</f>
        <v/>
      </c>
      <c r="M16" s="4" t="inlineStr">
        <is>
          <t>سعر موحَّد لمجمّع اللحوم الهندى (كتف/رقبه/سن/أرباع) — مشترياته «تشكيلة هندى أمامى»</t>
        </is>
      </c>
    </row>
    <row r="17">
      <c r="A17" s="4" t="inlineStr">
        <is>
          <t>لحمه ارباع</t>
        </is>
      </c>
      <c r="B17" s="5" t="n">
        <v>20</v>
      </c>
      <c r="C17" s="6" t="n">
        <v>245.32</v>
      </c>
      <c r="D17" s="5">
        <f>IF(C17="","",B17*C17)</f>
        <v/>
      </c>
      <c r="E17" s="5">
        <f>SUMIF('مشتريات أغسطس التفصيلية'!$I$4:$I$98,A17,'مشتريات أغسطس التفصيلية'!$F$4:$F$98)</f>
        <v/>
      </c>
      <c r="F17" s="5">
        <f>SUMIF('مشتريات أغسطس التفصيلية'!$I$4:$I$98,A17,'مشتريات أغسطس التفصيلية'!$H$4:$H$98)</f>
        <v/>
      </c>
      <c r="G17" s="5">
        <f>IF(C17="",E17,B17+E17)</f>
        <v/>
      </c>
      <c r="H17" s="5">
        <f>N(D17)+F17</f>
        <v/>
      </c>
      <c r="I17" s="6">
        <f>'خطوات احتساب المتوسط'!J5</f>
        <v/>
      </c>
      <c r="J17" s="5" t="n">
        <v>25</v>
      </c>
      <c r="K17" s="5">
        <f>IF(I17="","",J17*I17)</f>
        <v/>
      </c>
      <c r="L17" s="7">
        <f>IF(OR(C17="",I17=""),"",I17/C17-1)</f>
        <v/>
      </c>
      <c r="M17" s="4" t="inlineStr">
        <is>
          <t>سعر موحَّد لمجمّع اللحوم الهندى (كتف/رقبه/سن/أرباع) — مشترياته «تشكيلة هندى أمامى»</t>
        </is>
      </c>
    </row>
    <row r="18">
      <c r="A18" s="4" t="inlineStr">
        <is>
          <t>سمانة هندي</t>
        </is>
      </c>
      <c r="B18" s="5" t="n">
        <v>0</v>
      </c>
      <c r="C18" s="6" t="n"/>
      <c r="D18" s="5">
        <f>IF(C18="","",B18*C18)</f>
        <v/>
      </c>
      <c r="E18" s="5">
        <f>SUMIF('مشتريات أغسطس التفصيلية'!$I$4:$I$98,A18,'مشتريات أغسطس التفصيلية'!$F$4:$F$98)</f>
        <v/>
      </c>
      <c r="F18" s="5">
        <f>SUMIF('مشتريات أغسطس التفصيلية'!$I$4:$I$98,A18,'مشتريات أغسطس التفصيلية'!$H$4:$H$98)</f>
        <v/>
      </c>
      <c r="G18" s="5">
        <f>IF(C18="",E18,B18+E18)</f>
        <v/>
      </c>
      <c r="H18" s="5">
        <f>N(D18)+F18</f>
        <v/>
      </c>
      <c r="I18" s="6">
        <f>IF(G18&gt;0,ROUND(H18/G18,4),IF(C18="","",C18))</f>
        <v/>
      </c>
      <c r="J18" s="5" t="n">
        <v>0</v>
      </c>
      <c r="K18" s="5">
        <f>IF(I18="","",J18*I18)</f>
        <v/>
      </c>
      <c r="L18" s="7">
        <f>IF(OR(C18="",I18=""),"",I18/C18-1)</f>
        <v/>
      </c>
      <c r="M18" s="4" t="inlineStr"/>
    </row>
    <row r="19">
      <c r="A19" s="4" t="inlineStr">
        <is>
          <t>فلانك</t>
        </is>
      </c>
      <c r="B19" s="5" t="n">
        <v>260</v>
      </c>
      <c r="C19" s="6" t="n">
        <v>199.875</v>
      </c>
      <c r="D19" s="5">
        <f>IF(C19="","",B19*C19)</f>
        <v/>
      </c>
      <c r="E19" s="5">
        <f>SUMIF('مشتريات أغسطس التفصيلية'!$I$4:$I$98,A19,'مشتريات أغسطس التفصيلية'!$F$4:$F$98)</f>
        <v/>
      </c>
      <c r="F19" s="5">
        <f>SUMIF('مشتريات أغسطس التفصيلية'!$I$4:$I$98,A19,'مشتريات أغسطس التفصيلية'!$H$4:$H$98)</f>
        <v/>
      </c>
      <c r="G19" s="5">
        <f>IF(C19="",E19,B19+E19)</f>
        <v/>
      </c>
      <c r="H19" s="5">
        <f>N(D19)+F19</f>
        <v/>
      </c>
      <c r="I19" s="6">
        <f>IF(G19&gt;0,ROUND(H19/G19,4),IF(C19="","",C19))</f>
        <v/>
      </c>
      <c r="J19" s="5" t="n">
        <v>110</v>
      </c>
      <c r="K19" s="5">
        <f>IF(I19="","",J19*I19)</f>
        <v/>
      </c>
      <c r="L19" s="7">
        <f>IF(OR(C19="",I19=""),"",I19/C19-1)</f>
        <v/>
      </c>
      <c r="M19" s="4" t="inlineStr">
        <is>
          <t>قياسى: (أول المدة + المشتريات)</t>
        </is>
      </c>
    </row>
    <row r="20">
      <c r="A20" s="4" t="inlineStr">
        <is>
          <t>برغل</t>
        </is>
      </c>
      <c r="B20" s="5" t="n">
        <v>1020</v>
      </c>
      <c r="C20" s="6" t="n">
        <v>21.4141</v>
      </c>
      <c r="D20" s="5">
        <f>IF(C20="","",B20*C20)</f>
        <v/>
      </c>
      <c r="E20" s="5">
        <f>SUMIF('مشتريات أغسطس التفصيلية'!$I$4:$I$98,A20,'مشتريات أغسطس التفصيلية'!$F$4:$F$98)</f>
        <v/>
      </c>
      <c r="F20" s="5">
        <f>SUMIF('مشتريات أغسطس التفصيلية'!$I$4:$I$98,A20,'مشتريات أغسطس التفصيلية'!$H$4:$H$98)</f>
        <v/>
      </c>
      <c r="G20" s="5">
        <f>IF(C20="",E20,B20+E20)</f>
        <v/>
      </c>
      <c r="H20" s="5">
        <f>N(D20)+F20</f>
        <v/>
      </c>
      <c r="I20" s="6">
        <f>IF(G20&gt;0,ROUND(H20/G20,4),IF(C20="","",C20))</f>
        <v/>
      </c>
      <c r="J20" s="5" t="n">
        <v>3325</v>
      </c>
      <c r="K20" s="5">
        <f>IF(I20="","",J20*I20)</f>
        <v/>
      </c>
      <c r="L20" s="7">
        <f>IF(OR(C20="",I20=""),"",I20/C20-1)</f>
        <v/>
      </c>
      <c r="M20" s="4" t="inlineStr">
        <is>
          <t>قياسى: (أول المدة + المشتريات)</t>
        </is>
      </c>
    </row>
    <row r="21">
      <c r="A21" s="4" t="inlineStr">
        <is>
          <t>صويا فراخ</t>
        </is>
      </c>
      <c r="B21" s="5" t="n">
        <v>0</v>
      </c>
      <c r="C21" s="6" t="n">
        <v>46.8182</v>
      </c>
      <c r="D21" s="5">
        <f>IF(C21="","",B21*C21)</f>
        <v/>
      </c>
      <c r="E21" s="5">
        <f>SUMIF('مشتريات أغسطس التفصيلية'!$I$4:$I$98,A21,'مشتريات أغسطس التفصيلية'!$F$4:$F$98)</f>
        <v/>
      </c>
      <c r="F21" s="5">
        <f>SUMIF('مشتريات أغسطس التفصيلية'!$I$4:$I$98,A21,'مشتريات أغسطس التفصيلية'!$H$4:$H$98)</f>
        <v/>
      </c>
      <c r="G21" s="5">
        <f>IF(C21="",E21,B21+E21)</f>
        <v/>
      </c>
      <c r="H21" s="5">
        <f>N(D21)+F21</f>
        <v/>
      </c>
      <c r="I21" s="6">
        <f>IF(G21&gt;0,ROUND(H21/G21,4),IF(C21="","",C21))</f>
        <v/>
      </c>
      <c r="J21" s="5" t="n">
        <v>180</v>
      </c>
      <c r="K21" s="5">
        <f>IF(I21="","",J21*I21)</f>
        <v/>
      </c>
      <c r="L21" s="7">
        <f>IF(OR(C21="",I21=""),"",I21/C21-1)</f>
        <v/>
      </c>
      <c r="M21" s="4" t="inlineStr">
        <is>
          <t>لا مشتريات فى أغسطس ⇒ السعر ثابت كما فى يوليو</t>
        </is>
      </c>
    </row>
    <row r="22">
      <c r="A22" s="4" t="inlineStr">
        <is>
          <t>كبده</t>
        </is>
      </c>
      <c r="B22" s="5" t="n">
        <v>146.76</v>
      </c>
      <c r="C22" s="6" t="n">
        <v>164.0986</v>
      </c>
      <c r="D22" s="5">
        <f>IF(C22="","",B22*C22)</f>
        <v/>
      </c>
      <c r="E22" s="5">
        <f>SUMIF('مشتريات أغسطس التفصيلية'!$I$4:$I$98,A22,'مشتريات أغسطس التفصيلية'!$F$4:$F$98)</f>
        <v/>
      </c>
      <c r="F22" s="5">
        <f>SUMIF('مشتريات أغسطس التفصيلية'!$I$4:$I$98,A22,'مشتريات أغسطس التفصيلية'!$H$4:$H$98)</f>
        <v/>
      </c>
      <c r="G22" s="5">
        <f>IF(C22="",E22,B22+E22)</f>
        <v/>
      </c>
      <c r="H22" s="5">
        <f>N(D22)+F22</f>
        <v/>
      </c>
      <c r="I22" s="6">
        <f>IF(G22&gt;0,ROUND(H22/G22,4),IF(C22="","",C22))</f>
        <v/>
      </c>
      <c r="J22" s="5" t="n">
        <v>63.30400000000003</v>
      </c>
      <c r="K22" s="5">
        <f>IF(I22="","",J22*I22)</f>
        <v/>
      </c>
      <c r="L22" s="7">
        <f>IF(OR(C22="",I22=""),"",I22/C22-1)</f>
        <v/>
      </c>
      <c r="M22" s="4" t="inlineStr">
        <is>
          <t>قياسى: (أول المدة + المشتريات)</t>
        </is>
      </c>
    </row>
    <row r="23">
      <c r="A23" s="4" t="inlineStr">
        <is>
          <t>جلد</t>
        </is>
      </c>
      <c r="B23" s="5" t="n">
        <v>612</v>
      </c>
      <c r="C23" s="6" t="n">
        <v>29.6628</v>
      </c>
      <c r="D23" s="5">
        <f>IF(C23="","",B23*C23)</f>
        <v/>
      </c>
      <c r="E23" s="5">
        <f>SUMIF('مشتريات أغسطس التفصيلية'!$I$4:$I$98,A23,'مشتريات أغسطس التفصيلية'!$F$4:$F$98)</f>
        <v/>
      </c>
      <c r="F23" s="5">
        <f>SUMIF('مشتريات أغسطس التفصيلية'!$I$4:$I$98,A23,'مشتريات أغسطس التفصيلية'!$H$4:$H$98)</f>
        <v/>
      </c>
      <c r="G23" s="5">
        <f>IF(C23="",E23,B23+E23)</f>
        <v/>
      </c>
      <c r="H23" s="5">
        <f>N(D23)+F23</f>
        <v/>
      </c>
      <c r="I23" s="6">
        <f>IF(G23&gt;0,ROUND(H23/G23,4),IF(C23="","",C23))</f>
        <v/>
      </c>
      <c r="J23" s="5" t="n">
        <v>359</v>
      </c>
      <c r="K23" s="5">
        <f>IF(I23="","",J23*I23)</f>
        <v/>
      </c>
      <c r="L23" s="7">
        <f>IF(OR(C23="",I23=""),"",I23/C23-1)</f>
        <v/>
      </c>
      <c r="M23" s="4" t="inlineStr">
        <is>
          <t>قياسى: (أول المدة + المشتريات)</t>
        </is>
      </c>
    </row>
    <row r="24">
      <c r="A24" s="4" t="inlineStr">
        <is>
          <t>هانك</t>
        </is>
      </c>
      <c r="B24" s="5" t="n">
        <v>214</v>
      </c>
      <c r="C24" s="6" t="n">
        <v>246.3735</v>
      </c>
      <c r="D24" s="5">
        <f>IF(C24="","",B24*C24)</f>
        <v/>
      </c>
      <c r="E24" s="5">
        <f>SUMIF('مشتريات أغسطس التفصيلية'!$I$4:$I$98,A24,'مشتريات أغسطس التفصيلية'!$F$4:$F$98)</f>
        <v/>
      </c>
      <c r="F24" s="5">
        <f>SUMIF('مشتريات أغسطس التفصيلية'!$I$4:$I$98,A24,'مشتريات أغسطس التفصيلية'!$H$4:$H$98)</f>
        <v/>
      </c>
      <c r="G24" s="5">
        <f>IF(C24="",E24,B24+E24)</f>
        <v/>
      </c>
      <c r="H24" s="5">
        <f>N(D24)+F24</f>
        <v/>
      </c>
      <c r="I24" s="6">
        <f>IF(G24&gt;0,ROUND(H24/G24,4),IF(C24="","",C24))</f>
        <v/>
      </c>
      <c r="J24" s="5" t="n">
        <v>118</v>
      </c>
      <c r="K24" s="5">
        <f>IF(I24="","",J24*I24)</f>
        <v/>
      </c>
      <c r="L24" s="7">
        <f>IF(OR(C24="",I24=""),"",I24/C24-1)</f>
        <v/>
      </c>
      <c r="M24" s="4" t="inlineStr">
        <is>
          <t>قياسى: (أول المدة + المشتريات)</t>
        </is>
      </c>
    </row>
    <row r="25">
      <c r="A25" s="4" t="inlineStr">
        <is>
          <t>دوبريه</t>
        </is>
      </c>
      <c r="B25" s="5" t="n">
        <v>445</v>
      </c>
      <c r="C25" s="6" t="n">
        <v>101.968</v>
      </c>
      <c r="D25" s="5">
        <f>IF(C25="","",B25*C25)</f>
        <v/>
      </c>
      <c r="E25" s="5">
        <f>SUMIF('مشتريات أغسطس التفصيلية'!$I$4:$I$98,A25,'مشتريات أغسطس التفصيلية'!$F$4:$F$98)</f>
        <v/>
      </c>
      <c r="F25" s="5">
        <f>SUMIF('مشتريات أغسطس التفصيلية'!$I$4:$I$98,A25,'مشتريات أغسطس التفصيلية'!$H$4:$H$98)</f>
        <v/>
      </c>
      <c r="G25" s="5">
        <f>IF(C25="",E25,B25+E25)</f>
        <v/>
      </c>
      <c r="H25" s="5">
        <f>N(D25)+F25</f>
        <v/>
      </c>
      <c r="I25" s="6">
        <f>IF(G25&gt;0,ROUND(H25/G25,4),IF(C25="","",C25))</f>
        <v/>
      </c>
      <c r="J25" s="5" t="n">
        <v>470</v>
      </c>
      <c r="K25" s="5">
        <f>IF(I25="","",J25*I25)</f>
        <v/>
      </c>
      <c r="L25" s="7">
        <f>IF(OR(C25="",I25=""),"",I25/C25-1)</f>
        <v/>
      </c>
      <c r="M25" s="4" t="inlineStr">
        <is>
          <t>قياسى: (أول المدة + المشتريات)</t>
        </is>
      </c>
    </row>
    <row r="26">
      <c r="A26" s="4" t="inlineStr">
        <is>
          <t>فلفل رومي حامي</t>
        </is>
      </c>
      <c r="B26" s="5" t="n">
        <v>82.5</v>
      </c>
      <c r="C26" s="6" t="n">
        <v>14.6228</v>
      </c>
      <c r="D26" s="5">
        <f>IF(C26="","",B26*C26)</f>
        <v/>
      </c>
      <c r="E26" s="5">
        <f>SUMIF('مشتريات أغسطس التفصيلية'!$I$4:$I$98,A26,'مشتريات أغسطس التفصيلية'!$F$4:$F$98)</f>
        <v/>
      </c>
      <c r="F26" s="5">
        <f>SUMIF('مشتريات أغسطس التفصيلية'!$I$4:$I$98,A26,'مشتريات أغسطس التفصيلية'!$H$4:$H$98)</f>
        <v/>
      </c>
      <c r="G26" s="5">
        <f>IF(C26="",E26,B26+E26)</f>
        <v/>
      </c>
      <c r="H26" s="5">
        <f>N(D26)+F26</f>
        <v/>
      </c>
      <c r="I26" s="6">
        <f>IF(G26&gt;0,ROUND(H26/G26,4),IF(C26="","",C26))</f>
        <v/>
      </c>
      <c r="J26" s="5" t="n">
        <v>15.7</v>
      </c>
      <c r="K26" s="5">
        <f>IF(I26="","",J26*I26)</f>
        <v/>
      </c>
      <c r="L26" s="7">
        <f>IF(OR(C26="",I26=""),"",I26/C26-1)</f>
        <v/>
      </c>
      <c r="M26" s="4" t="inlineStr">
        <is>
          <t>لا مشتريات فى أغسطس ⇒ السعر ثابت كما فى يوليو</t>
        </is>
      </c>
    </row>
    <row r="27">
      <c r="A27" s="4" t="inlineStr">
        <is>
          <t>فيليه</t>
        </is>
      </c>
      <c r="B27" s="5" t="n">
        <v>0</v>
      </c>
      <c r="C27" s="6" t="n">
        <v>210</v>
      </c>
      <c r="D27" s="5">
        <f>IF(C27="","",B27*C27)</f>
        <v/>
      </c>
      <c r="E27" s="5">
        <f>SUMIF('مشتريات أغسطس التفصيلية'!$I$4:$I$98,A27,'مشتريات أغسطس التفصيلية'!$F$4:$F$98)</f>
        <v/>
      </c>
      <c r="F27" s="5">
        <f>SUMIF('مشتريات أغسطس التفصيلية'!$I$4:$I$98,A27,'مشتريات أغسطس التفصيلية'!$H$4:$H$98)</f>
        <v/>
      </c>
      <c r="G27" s="5">
        <f>IF(C27="",E27,B27+E27)</f>
        <v/>
      </c>
      <c r="H27" s="5">
        <f>N(D27)+F27</f>
        <v/>
      </c>
      <c r="I27" s="6">
        <f>IF(G27&gt;0,ROUND(H27/G27,4),IF(C27="","",C27))</f>
        <v/>
      </c>
      <c r="J27" s="5" t="n">
        <v>0</v>
      </c>
      <c r="K27" s="5">
        <f>IF(I27="","",J27*I27)</f>
        <v/>
      </c>
      <c r="L27" s="7">
        <f>IF(OR(C27="",I27=""),"",I27/C27-1)</f>
        <v/>
      </c>
      <c r="M27" s="4" t="inlineStr">
        <is>
          <t>قياسى: (أول المدة + المشتريات)</t>
        </is>
      </c>
    </row>
    <row r="28">
      <c r="A28" s="4" t="inlineStr">
        <is>
          <t>بقسماط اصفر</t>
        </is>
      </c>
      <c r="B28" s="5" t="n">
        <v>0</v>
      </c>
      <c r="C28" s="6" t="n">
        <v>38</v>
      </c>
      <c r="D28" s="5">
        <f>IF(C28="","",B28*C28)</f>
        <v/>
      </c>
      <c r="E28" s="5">
        <f>SUMIF('مشتريات أغسطس التفصيلية'!$I$4:$I$98,A28,'مشتريات أغسطس التفصيلية'!$F$4:$F$98)</f>
        <v/>
      </c>
      <c r="F28" s="5">
        <f>SUMIF('مشتريات أغسطس التفصيلية'!$I$4:$I$98,A28,'مشتريات أغسطس التفصيلية'!$H$4:$H$98)</f>
        <v/>
      </c>
      <c r="G28" s="5">
        <f>IF(C28="",E28,B28+E28)</f>
        <v/>
      </c>
      <c r="H28" s="5">
        <f>N(D28)+F28</f>
        <v/>
      </c>
      <c r="I28" s="6">
        <f>IF(G28&gt;0,ROUND(H28/G28,4),IF(C28="","",C28))</f>
        <v/>
      </c>
      <c r="J28" s="5" t="n">
        <v>0</v>
      </c>
      <c r="K28" s="5">
        <f>IF(I28="","",J28*I28)</f>
        <v/>
      </c>
      <c r="L28" s="7">
        <f>IF(OR(C28="",I28=""),"",I28/C28-1)</f>
        <v/>
      </c>
      <c r="M28" s="4" t="inlineStr">
        <is>
          <t>قياسى: (أول المدة + المشتريات)</t>
        </is>
      </c>
    </row>
    <row r="29">
      <c r="A29" s="4" t="inlineStr">
        <is>
          <t>بقسماط ابيض</t>
        </is>
      </c>
      <c r="B29" s="5" t="n">
        <v>0</v>
      </c>
      <c r="C29" s="6" t="n"/>
      <c r="D29" s="5">
        <f>IF(C29="","",B29*C29)</f>
        <v/>
      </c>
      <c r="E29" s="5">
        <f>SUMIF('مشتريات أغسطس التفصيلية'!$I$4:$I$98,A29,'مشتريات أغسطس التفصيلية'!$F$4:$F$98)</f>
        <v/>
      </c>
      <c r="F29" s="5">
        <f>SUMIF('مشتريات أغسطس التفصيلية'!$I$4:$I$98,A29,'مشتريات أغسطس التفصيلية'!$H$4:$H$98)</f>
        <v/>
      </c>
      <c r="G29" s="5">
        <f>IF(C29="",E29,B29+E29)</f>
        <v/>
      </c>
      <c r="H29" s="5">
        <f>N(D29)+F29</f>
        <v/>
      </c>
      <c r="I29" s="6">
        <f>IF(G29&gt;0,ROUND(H29/G29,4),IF(C29="","",C29))</f>
        <v/>
      </c>
      <c r="J29" s="5" t="n">
        <v>0</v>
      </c>
      <c r="K29" s="5">
        <f>IF(I29="","",J29*I29)</f>
        <v/>
      </c>
      <c r="L29" s="7">
        <f>IF(OR(C29="",I29=""),"",I29/C29-1)</f>
        <v/>
      </c>
      <c r="M29" s="4" t="inlineStr"/>
    </row>
    <row r="30">
      <c r="A30" s="4" t="inlineStr">
        <is>
          <t>بطاطس</t>
        </is>
      </c>
      <c r="B30" s="5" t="n">
        <v>0</v>
      </c>
      <c r="C30" s="6" t="n"/>
      <c r="D30" s="5">
        <f>IF(C30="","",B30*C30)</f>
        <v/>
      </c>
      <c r="E30" s="5">
        <f>SUMIF('مشتريات أغسطس التفصيلية'!$I$4:$I$98,A30,'مشتريات أغسطس التفصيلية'!$F$4:$F$98)</f>
        <v/>
      </c>
      <c r="F30" s="5">
        <f>SUMIF('مشتريات أغسطس التفصيلية'!$I$4:$I$98,A30,'مشتريات أغسطس التفصيلية'!$H$4:$H$98)</f>
        <v/>
      </c>
      <c r="G30" s="5">
        <f>IF(C30="",E30,B30+E30)</f>
        <v/>
      </c>
      <c r="H30" s="5">
        <f>N(D30)+F30</f>
        <v/>
      </c>
      <c r="I30" s="6">
        <f>IF(G30&gt;0,ROUND(H30/G30,4),IF(C30="","",C30))</f>
        <v/>
      </c>
      <c r="J30" s="5" t="n">
        <v>0</v>
      </c>
      <c r="K30" s="5">
        <f>IF(I30="","",J30*I30)</f>
        <v/>
      </c>
      <c r="L30" s="7">
        <f>IF(OR(C30="",I30=""),"",I30/C30-1)</f>
        <v/>
      </c>
      <c r="M30" s="4" t="inlineStr"/>
    </row>
    <row r="31">
      <c r="A31" s="4" t="inlineStr">
        <is>
          <t>دوبرية بسطرمة (لحمة)</t>
        </is>
      </c>
      <c r="B31" s="5" t="n">
        <v>0</v>
      </c>
      <c r="C31" s="6" t="n">
        <v>185</v>
      </c>
      <c r="D31" s="5">
        <f>IF(C31="","",B31*C31)</f>
        <v/>
      </c>
      <c r="E31" s="5">
        <f>SUMIF('مشتريات أغسطس التفصيلية'!$I$4:$I$98,A31,'مشتريات أغسطس التفصيلية'!$F$4:$F$98)</f>
        <v/>
      </c>
      <c r="F31" s="5">
        <f>SUMIF('مشتريات أغسطس التفصيلية'!$I$4:$I$98,A31,'مشتريات أغسطس التفصيلية'!$H$4:$H$98)</f>
        <v/>
      </c>
      <c r="G31" s="5">
        <f>IF(C31="",E31,B31+E31)</f>
        <v/>
      </c>
      <c r="H31" s="5">
        <f>N(D31)+F31</f>
        <v/>
      </c>
      <c r="I31" s="6">
        <f>IF(G31&gt;0,ROUND(H31/G31,4),IF(C31="","",C31))</f>
        <v/>
      </c>
      <c r="J31" s="5" t="n">
        <v>0</v>
      </c>
      <c r="K31" s="5">
        <f>IF(I31="","",J31*I31)</f>
        <v/>
      </c>
      <c r="L31" s="7">
        <f>IF(OR(C31="",I31=""),"",I31/C31-1)</f>
        <v/>
      </c>
      <c r="M31" s="4" t="inlineStr">
        <is>
          <t>لا مشتريات فى أغسطس ⇒ السعر ثابت كما فى يوليو</t>
        </is>
      </c>
    </row>
    <row r="32">
      <c r="A32" s="4" t="inlineStr">
        <is>
          <t>قلب برازيلي</t>
        </is>
      </c>
      <c r="B32" s="5" t="n">
        <v>0</v>
      </c>
      <c r="C32" s="6" t="n">
        <v>245</v>
      </c>
      <c r="D32" s="5">
        <f>IF(C32="","",B32*C32)</f>
        <v/>
      </c>
      <c r="E32" s="5">
        <f>SUMIF('مشتريات أغسطس التفصيلية'!$I$4:$I$98,A32,'مشتريات أغسطس التفصيلية'!$F$4:$F$98)</f>
        <v/>
      </c>
      <c r="F32" s="5">
        <f>SUMIF('مشتريات أغسطس التفصيلية'!$I$4:$I$98,A32,'مشتريات أغسطس التفصيلية'!$H$4:$H$98)</f>
        <v/>
      </c>
      <c r="G32" s="5">
        <f>IF(C32="",E32,B32+E32)</f>
        <v/>
      </c>
      <c r="H32" s="5">
        <f>N(D32)+F32</f>
        <v/>
      </c>
      <c r="I32" s="6">
        <f>IF(G32&gt;0,ROUND(H32/G32,4),IF(C32="","",C32))</f>
        <v/>
      </c>
      <c r="J32" s="5" t="n">
        <v>0</v>
      </c>
      <c r="K32" s="5">
        <f>IF(I32="","",J32*I32)</f>
        <v/>
      </c>
      <c r="L32" s="7">
        <f>IF(OR(C32="",I32=""),"",I32/C32-1)</f>
        <v/>
      </c>
      <c r="M32" s="4" t="inlineStr">
        <is>
          <t>لا مشتريات فى أغسطس ⇒ السعر ثابت كما فى يوليو</t>
        </is>
      </c>
    </row>
    <row r="33">
      <c r="A33" s="4" t="inlineStr">
        <is>
          <t>بوش</t>
        </is>
      </c>
      <c r="B33" s="5" t="n">
        <v>10.6</v>
      </c>
      <c r="C33" s="6" t="n">
        <v>110</v>
      </c>
      <c r="D33" s="5">
        <f>IF(C33="","",B33*C33)</f>
        <v/>
      </c>
      <c r="E33" s="5">
        <f>SUMIF('مشتريات أغسطس التفصيلية'!$I$4:$I$98,A33,'مشتريات أغسطس التفصيلية'!$F$4:$F$98)</f>
        <v/>
      </c>
      <c r="F33" s="5">
        <f>SUMIF('مشتريات أغسطس التفصيلية'!$I$4:$I$98,A33,'مشتريات أغسطس التفصيلية'!$H$4:$H$98)</f>
        <v/>
      </c>
      <c r="G33" s="5">
        <f>IF(C33="",E33,B33+E33)</f>
        <v/>
      </c>
      <c r="H33" s="5">
        <f>N(D33)+F33</f>
        <v/>
      </c>
      <c r="I33" s="6">
        <f>IF(G33&gt;0,ROUND(H33/G33,4),IF(C33="","",C33))</f>
        <v/>
      </c>
      <c r="J33" s="5" t="n">
        <v>0</v>
      </c>
      <c r="K33" s="5">
        <f>IF(I33="","",J33*I33)</f>
        <v/>
      </c>
      <c r="L33" s="7">
        <f>IF(OR(C33="",I33=""),"",I33/C33-1)</f>
        <v/>
      </c>
      <c r="M33" s="4" t="inlineStr">
        <is>
          <t>لا مشتريات فى أغسطس ⇒ السعر ثابت كما فى يوليو</t>
        </is>
      </c>
    </row>
    <row r="34">
      <c r="A34" s="4" t="inlineStr">
        <is>
          <t>شعريه</t>
        </is>
      </c>
      <c r="B34" s="5" t="n">
        <v>0</v>
      </c>
      <c r="C34" s="6" t="n"/>
      <c r="D34" s="5">
        <f>IF(C34="","",B34*C34)</f>
        <v/>
      </c>
      <c r="E34" s="5">
        <f>SUMIF('مشتريات أغسطس التفصيلية'!$I$4:$I$98,A34,'مشتريات أغسطس التفصيلية'!$F$4:$F$98)</f>
        <v/>
      </c>
      <c r="F34" s="5">
        <f>SUMIF('مشتريات أغسطس التفصيلية'!$I$4:$I$98,A34,'مشتريات أغسطس التفصيلية'!$H$4:$H$98)</f>
        <v/>
      </c>
      <c r="G34" s="5">
        <f>IF(C34="",E34,B34+E34)</f>
        <v/>
      </c>
      <c r="H34" s="5">
        <f>N(D34)+F34</f>
        <v/>
      </c>
      <c r="I34" s="6">
        <f>IF(G34&gt;0,ROUND(H34/G34,4),IF(C34="","",C34))</f>
        <v/>
      </c>
      <c r="J34" s="5" t="n">
        <v>0</v>
      </c>
      <c r="K34" s="5">
        <f>IF(I34="","",J34*I34)</f>
        <v/>
      </c>
      <c r="L34" s="7">
        <f>IF(OR(C34="",I34=""),"",I34/C34-1)</f>
        <v/>
      </c>
      <c r="M34" s="4" t="inlineStr"/>
    </row>
    <row r="35">
      <c r="A35" s="4" t="inlineStr">
        <is>
          <t>دقيق</t>
        </is>
      </c>
      <c r="B35" s="5" t="n">
        <v>0</v>
      </c>
      <c r="C35" s="6" t="n">
        <v>17.1487</v>
      </c>
      <c r="D35" s="5">
        <f>IF(C35="","",B35*C35)</f>
        <v/>
      </c>
      <c r="E35" s="5">
        <f>SUMIF('مشتريات أغسطس التفصيلية'!$I$4:$I$98,A35,'مشتريات أغسطس التفصيلية'!$F$4:$F$98)</f>
        <v/>
      </c>
      <c r="F35" s="5">
        <f>SUMIF('مشتريات أغسطس التفصيلية'!$I$4:$I$98,A35,'مشتريات أغسطس التفصيلية'!$H$4:$H$98)</f>
        <v/>
      </c>
      <c r="G35" s="5">
        <f>IF(C35="",E35,B35+E35)</f>
        <v/>
      </c>
      <c r="H35" s="5">
        <f>N(D35)+F35</f>
        <v/>
      </c>
      <c r="I35" s="6">
        <f>IF(G35&gt;0,ROUND(H35/G35,4),IF(C35="","",C35))</f>
        <v/>
      </c>
      <c r="J35" s="5" t="n">
        <v>0</v>
      </c>
      <c r="K35" s="5">
        <f>IF(I35="","",J35*I35)</f>
        <v/>
      </c>
      <c r="L35" s="7">
        <f>IF(OR(C35="",I35=""),"",I35/C35-1)</f>
        <v/>
      </c>
      <c r="M35" s="4" t="inlineStr">
        <is>
          <t>قياسى: (أول المدة + المشتريات)</t>
        </is>
      </c>
    </row>
    <row r="36">
      <c r="A36" s="4" t="inlineStr">
        <is>
          <t>نشا</t>
        </is>
      </c>
      <c r="B36" s="5" t="n">
        <v>337.5</v>
      </c>
      <c r="C36" s="6" t="n">
        <v>26.8196</v>
      </c>
      <c r="D36" s="5">
        <f>IF(C36="","",B36*C36)</f>
        <v/>
      </c>
      <c r="E36" s="5">
        <f>SUMIF('مشتريات أغسطس التفصيلية'!$I$4:$I$98,A36,'مشتريات أغسطس التفصيلية'!$F$4:$F$98)</f>
        <v/>
      </c>
      <c r="F36" s="5">
        <f>SUMIF('مشتريات أغسطس التفصيلية'!$I$4:$I$98,A36,'مشتريات أغسطس التفصيلية'!$H$4:$H$98)</f>
        <v/>
      </c>
      <c r="G36" s="5">
        <f>IF(C36="",E36,B36+E36)</f>
        <v/>
      </c>
      <c r="H36" s="5">
        <f>N(D36)+F36</f>
        <v/>
      </c>
      <c r="I36" s="6">
        <f>IF(G36&gt;0,ROUND(H36/G36,4),IF(C36="","",C36))</f>
        <v/>
      </c>
      <c r="J36" s="5" t="n">
        <v>400</v>
      </c>
      <c r="K36" s="5">
        <f>IF(I36="","",J36*I36)</f>
        <v/>
      </c>
      <c r="L36" s="7">
        <f>IF(OR(C36="",I36=""),"",I36/C36-1)</f>
        <v/>
      </c>
      <c r="M36" s="4" t="inlineStr">
        <is>
          <t>قياسى: (أول المدة + المشتريات)</t>
        </is>
      </c>
    </row>
    <row r="37">
      <c r="A37" s="4" t="inlineStr">
        <is>
          <t>فلفل اسود</t>
        </is>
      </c>
      <c r="B37" s="5" t="n">
        <v>9.800000000000001</v>
      </c>
      <c r="C37" s="6" t="n">
        <v>356.7635</v>
      </c>
      <c r="D37" s="5">
        <f>IF(C37="","",B37*C37)</f>
        <v/>
      </c>
      <c r="E37" s="5">
        <f>SUMIF('مشتريات أغسطس التفصيلية'!$I$4:$I$98,A37,'مشتريات أغسطس التفصيلية'!$F$4:$F$98)</f>
        <v/>
      </c>
      <c r="F37" s="5">
        <f>SUMIF('مشتريات أغسطس التفصيلية'!$I$4:$I$98,A37,'مشتريات أغسطس التفصيلية'!$H$4:$H$98)</f>
        <v/>
      </c>
      <c r="G37" s="5">
        <f>IF(C37="",E37,B37+E37)</f>
        <v/>
      </c>
      <c r="H37" s="5">
        <f>N(D37)+F37</f>
        <v/>
      </c>
      <c r="I37" s="6">
        <f>IF(G37&gt;0,ROUND(H37/G37,4),IF(C37="","",C37))</f>
        <v/>
      </c>
      <c r="J37" s="5" t="n">
        <v>36.38</v>
      </c>
      <c r="K37" s="5">
        <f>IF(I37="","",J37*I37)</f>
        <v/>
      </c>
      <c r="L37" s="7">
        <f>IF(OR(C37="",I37=""),"",I37/C37-1)</f>
        <v/>
      </c>
      <c r="M37" s="4" t="inlineStr">
        <is>
          <t>قياسى: (أول المدة + المشتريات)</t>
        </is>
      </c>
    </row>
    <row r="38">
      <c r="A38" s="4" t="inlineStr">
        <is>
          <t>قرنفل</t>
        </is>
      </c>
      <c r="B38" s="5" t="n">
        <v>0.26</v>
      </c>
      <c r="C38" s="6" t="n">
        <v>528.51</v>
      </c>
      <c r="D38" s="5">
        <f>IF(C38="","",B38*C38)</f>
        <v/>
      </c>
      <c r="E38" s="5">
        <f>SUMIF('مشتريات أغسطس التفصيلية'!$I$4:$I$98,A38,'مشتريات أغسطس التفصيلية'!$F$4:$F$98)</f>
        <v/>
      </c>
      <c r="F38" s="5">
        <f>SUMIF('مشتريات أغسطس التفصيلية'!$I$4:$I$98,A38,'مشتريات أغسطس التفصيلية'!$H$4:$H$98)</f>
        <v/>
      </c>
      <c r="G38" s="5">
        <f>IF(C38="",E38,B38+E38)</f>
        <v/>
      </c>
      <c r="H38" s="5">
        <f>N(D38)+F38</f>
        <v/>
      </c>
      <c r="I38" s="6">
        <f>IF(G38&gt;0,ROUND(H38/G38,4),IF(C38="","",C38))</f>
        <v/>
      </c>
      <c r="J38" s="5" t="n">
        <v>5.1</v>
      </c>
      <c r="K38" s="5">
        <f>IF(I38="","",J38*I38)</f>
        <v/>
      </c>
      <c r="L38" s="7">
        <f>IF(OR(C38="",I38=""),"",I38/C38-1)</f>
        <v/>
      </c>
      <c r="M38" s="4" t="inlineStr">
        <is>
          <t>قياسى: (أول المدة + المشتريات)</t>
        </is>
      </c>
    </row>
    <row r="39">
      <c r="A39" s="4" t="inlineStr">
        <is>
          <t>كمون</t>
        </is>
      </c>
      <c r="B39" s="5" t="n">
        <v>17.3</v>
      </c>
      <c r="C39" s="6" t="n">
        <v>251.5284</v>
      </c>
      <c r="D39" s="5">
        <f>IF(C39="","",B39*C39)</f>
        <v/>
      </c>
      <c r="E39" s="5">
        <f>SUMIF('مشتريات أغسطس التفصيلية'!$I$4:$I$98,A39,'مشتريات أغسطس التفصيلية'!$F$4:$F$98)</f>
        <v/>
      </c>
      <c r="F39" s="5">
        <f>SUMIF('مشتريات أغسطس التفصيلية'!$I$4:$I$98,A39,'مشتريات أغسطس التفصيلية'!$H$4:$H$98)</f>
        <v/>
      </c>
      <c r="G39" s="5">
        <f>IF(C39="",E39,B39+E39)</f>
        <v/>
      </c>
      <c r="H39" s="5">
        <f>N(D39)+F39</f>
        <v/>
      </c>
      <c r="I39" s="6">
        <f>IF(G39&gt;0,ROUND(H39/G39,4),IF(C39="","",C39))</f>
        <v/>
      </c>
      <c r="J39" s="5" t="n">
        <v>14.9</v>
      </c>
      <c r="K39" s="5">
        <f>IF(I39="","",J39*I39)</f>
        <v/>
      </c>
      <c r="L39" s="7">
        <f>IF(OR(C39="",I39=""),"",I39/C39-1)</f>
        <v/>
      </c>
      <c r="M39" s="4" t="inlineStr">
        <is>
          <t>لا مشتريات فى أغسطس ⇒ السعر ثابت كما فى يوليو</t>
        </is>
      </c>
    </row>
    <row r="40">
      <c r="A40" s="4" t="inlineStr">
        <is>
          <t>كرفس</t>
        </is>
      </c>
      <c r="B40" s="5" t="n">
        <v>0</v>
      </c>
      <c r="C40" s="6" t="n">
        <v>140</v>
      </c>
      <c r="D40" s="5">
        <f>IF(C40="","",B40*C40)</f>
        <v/>
      </c>
      <c r="E40" s="5">
        <f>SUMIF('مشتريات أغسطس التفصيلية'!$I$4:$I$98,A40,'مشتريات أغسطس التفصيلية'!$F$4:$F$98)</f>
        <v/>
      </c>
      <c r="F40" s="5">
        <f>SUMIF('مشتريات أغسطس التفصيلية'!$I$4:$I$98,A40,'مشتريات أغسطس التفصيلية'!$H$4:$H$98)</f>
        <v/>
      </c>
      <c r="G40" s="5">
        <f>IF(C40="",E40,B40+E40)</f>
        <v/>
      </c>
      <c r="H40" s="5">
        <f>N(D40)+F40</f>
        <v/>
      </c>
      <c r="I40" s="6">
        <f>IF(G40&gt;0,ROUND(H40/G40,4),IF(C40="","",C40))</f>
        <v/>
      </c>
      <c r="J40" s="5" t="n">
        <v>0</v>
      </c>
      <c r="K40" s="5">
        <f>IF(I40="","",J40*I40)</f>
        <v/>
      </c>
      <c r="L40" s="7">
        <f>IF(OR(C40="",I40=""),"",I40/C40-1)</f>
        <v/>
      </c>
      <c r="M40" s="4" t="inlineStr">
        <is>
          <t>لا مشتريات فى أغسطس ⇒ السعر ثابت كما فى يوليو</t>
        </is>
      </c>
    </row>
    <row r="41">
      <c r="A41" s="4" t="inlineStr">
        <is>
          <t>كبابه</t>
        </is>
      </c>
      <c r="B41" s="5" t="n">
        <v>11.35</v>
      </c>
      <c r="C41" s="6" t="n">
        <v>529.0463999999999</v>
      </c>
      <c r="D41" s="5">
        <f>IF(C41="","",B41*C41)</f>
        <v/>
      </c>
      <c r="E41" s="5">
        <f>SUMIF('مشتريات أغسطس التفصيلية'!$I$4:$I$98,A41,'مشتريات أغسطس التفصيلية'!$F$4:$F$98)</f>
        <v/>
      </c>
      <c r="F41" s="5">
        <f>SUMIF('مشتريات أغسطس التفصيلية'!$I$4:$I$98,A41,'مشتريات أغسطس التفصيلية'!$H$4:$H$98)</f>
        <v/>
      </c>
      <c r="G41" s="5">
        <f>IF(C41="",E41,B41+E41)</f>
        <v/>
      </c>
      <c r="H41" s="5">
        <f>N(D41)+F41</f>
        <v/>
      </c>
      <c r="I41" s="6">
        <f>IF(G41&gt;0,ROUND(H41/G41,4),IF(C41="","",C41))</f>
        <v/>
      </c>
      <c r="J41" s="5" t="n">
        <v>10.6</v>
      </c>
      <c r="K41" s="5">
        <f>IF(I41="","",J41*I41)</f>
        <v/>
      </c>
      <c r="L41" s="7">
        <f>IF(OR(C41="",I41=""),"",I41/C41-1)</f>
        <v/>
      </c>
      <c r="M41" s="4" t="inlineStr">
        <is>
          <t>لا مشتريات فى أغسطس ⇒ السعر ثابت كما فى يوليو</t>
        </is>
      </c>
    </row>
    <row r="42">
      <c r="A42" s="4" t="inlineStr">
        <is>
          <t>بقدونس</t>
        </is>
      </c>
      <c r="B42" s="5" t="n">
        <v>10</v>
      </c>
      <c r="C42" s="6" t="n">
        <v>110</v>
      </c>
      <c r="D42" s="5">
        <f>IF(C42="","",B42*C42)</f>
        <v/>
      </c>
      <c r="E42" s="5">
        <f>SUMIF('مشتريات أغسطس التفصيلية'!$I$4:$I$98,A42,'مشتريات أغسطس التفصيلية'!$F$4:$F$98)</f>
        <v/>
      </c>
      <c r="F42" s="5">
        <f>SUMIF('مشتريات أغسطس التفصيلية'!$I$4:$I$98,A42,'مشتريات أغسطس التفصيلية'!$H$4:$H$98)</f>
        <v/>
      </c>
      <c r="G42" s="5">
        <f>IF(C42="",E42,B42+E42)</f>
        <v/>
      </c>
      <c r="H42" s="5">
        <f>N(D42)+F42</f>
        <v/>
      </c>
      <c r="I42" s="6">
        <f>IF(G42&gt;0,ROUND(H42/G42,4),IF(C42="","",C42))</f>
        <v/>
      </c>
      <c r="J42" s="5" t="n">
        <v>10</v>
      </c>
      <c r="K42" s="5">
        <f>IF(I42="","",J42*I42)</f>
        <v/>
      </c>
      <c r="L42" s="7">
        <f>IF(OR(C42="",I42=""),"",I42/C42-1)</f>
        <v/>
      </c>
      <c r="M42" s="4" t="inlineStr">
        <is>
          <t>لا مشتريات فى أغسطس ⇒ السعر ثابت كما فى يوليو</t>
        </is>
      </c>
    </row>
    <row r="43">
      <c r="A43" s="4" t="inlineStr">
        <is>
          <t>لورا</t>
        </is>
      </c>
      <c r="B43" s="5" t="n">
        <v>4.12</v>
      </c>
      <c r="C43" s="6" t="n">
        <v>140.5336</v>
      </c>
      <c r="D43" s="5">
        <f>IF(C43="","",B43*C43)</f>
        <v/>
      </c>
      <c r="E43" s="5">
        <f>SUMIF('مشتريات أغسطس التفصيلية'!$I$4:$I$98,A43,'مشتريات أغسطس التفصيلية'!$F$4:$F$98)</f>
        <v/>
      </c>
      <c r="F43" s="5">
        <f>SUMIF('مشتريات أغسطس التفصيلية'!$I$4:$I$98,A43,'مشتريات أغسطس التفصيلية'!$H$4:$H$98)</f>
        <v/>
      </c>
      <c r="G43" s="5">
        <f>IF(C43="",E43,B43+E43)</f>
        <v/>
      </c>
      <c r="H43" s="5">
        <f>N(D43)+F43</f>
        <v/>
      </c>
      <c r="I43" s="6">
        <f>IF(G43&gt;0,ROUND(H43/G43,4),IF(C43="","",C43))</f>
        <v/>
      </c>
      <c r="J43" s="5" t="n">
        <v>12.5</v>
      </c>
      <c r="K43" s="5">
        <f>IF(I43="","",J43*I43)</f>
        <v/>
      </c>
      <c r="L43" s="7">
        <f>IF(OR(C43="",I43=""),"",I43/C43-1)</f>
        <v/>
      </c>
      <c r="M43" s="4" t="inlineStr">
        <is>
          <t>قياسى: (أول المدة + المشتريات)</t>
        </is>
      </c>
    </row>
    <row r="44">
      <c r="A44" s="4" t="inlineStr">
        <is>
          <t>خلنجان</t>
        </is>
      </c>
      <c r="B44" s="5" t="n">
        <v>1.85</v>
      </c>
      <c r="C44" s="6" t="n">
        <v>140</v>
      </c>
      <c r="D44" s="5">
        <f>IF(C44="","",B44*C44)</f>
        <v/>
      </c>
      <c r="E44" s="5">
        <f>SUMIF('مشتريات أغسطس التفصيلية'!$I$4:$I$98,A44,'مشتريات أغسطس التفصيلية'!$F$4:$F$98)</f>
        <v/>
      </c>
      <c r="F44" s="5">
        <f>SUMIF('مشتريات أغسطس التفصيلية'!$I$4:$I$98,A44,'مشتريات أغسطس التفصيلية'!$H$4:$H$98)</f>
        <v/>
      </c>
      <c r="G44" s="5">
        <f>IF(C44="",E44,B44+E44)</f>
        <v/>
      </c>
      <c r="H44" s="5">
        <f>N(D44)+F44</f>
        <v/>
      </c>
      <c r="I44" s="6">
        <f>IF(G44&gt;0,ROUND(H44/G44,4),IF(C44="","",C44))</f>
        <v/>
      </c>
      <c r="J44" s="5" t="n">
        <v>4.975</v>
      </c>
      <c r="K44" s="5">
        <f>IF(I44="","",J44*I44)</f>
        <v/>
      </c>
      <c r="L44" s="7">
        <f>IF(OR(C44="",I44=""),"",I44/C44-1)</f>
        <v/>
      </c>
      <c r="M44" s="4" t="inlineStr">
        <is>
          <t>قياسى: (أول المدة + المشتريات)</t>
        </is>
      </c>
    </row>
    <row r="45">
      <c r="A45" s="4" t="inlineStr">
        <is>
          <t>كزبره</t>
        </is>
      </c>
      <c r="B45" s="5" t="n">
        <v>10.25</v>
      </c>
      <c r="C45" s="6" t="n">
        <v>73.7251</v>
      </c>
      <c r="D45" s="5">
        <f>IF(C45="","",B45*C45)</f>
        <v/>
      </c>
      <c r="E45" s="5">
        <f>SUMIF('مشتريات أغسطس التفصيلية'!$I$4:$I$98,A45,'مشتريات أغسطس التفصيلية'!$F$4:$F$98)</f>
        <v/>
      </c>
      <c r="F45" s="5">
        <f>SUMIF('مشتريات أغسطس التفصيلية'!$I$4:$I$98,A45,'مشتريات أغسطس التفصيلية'!$H$4:$H$98)</f>
        <v/>
      </c>
      <c r="G45" s="5">
        <f>IF(C45="",E45,B45+E45)</f>
        <v/>
      </c>
      <c r="H45" s="5">
        <f>N(D45)+F45</f>
        <v/>
      </c>
      <c r="I45" s="6">
        <f>IF(G45&gt;0,ROUND(H45/G45,4),IF(C45="","",C45))</f>
        <v/>
      </c>
      <c r="J45" s="5" t="n">
        <v>55</v>
      </c>
      <c r="K45" s="5">
        <f>IF(I45="","",J45*I45)</f>
        <v/>
      </c>
      <c r="L45" s="7">
        <f>IF(OR(C45="",I45=""),"",I45/C45-1)</f>
        <v/>
      </c>
      <c r="M45" s="4" t="inlineStr">
        <is>
          <t>قياسى: (أول المدة + المشتريات)</t>
        </is>
      </c>
    </row>
    <row r="46">
      <c r="A46" s="4" t="inlineStr">
        <is>
          <t>قرفه</t>
        </is>
      </c>
      <c r="B46" s="5" t="n">
        <v>29.3</v>
      </c>
      <c r="C46" s="6" t="n">
        <v>130.1918</v>
      </c>
      <c r="D46" s="5">
        <f>IF(C46="","",B46*C46)</f>
        <v/>
      </c>
      <c r="E46" s="5">
        <f>SUMIF('مشتريات أغسطس التفصيلية'!$I$4:$I$98,A46,'مشتريات أغسطس التفصيلية'!$F$4:$F$98)</f>
        <v/>
      </c>
      <c r="F46" s="5">
        <f>SUMIF('مشتريات أغسطس التفصيلية'!$I$4:$I$98,A46,'مشتريات أغسطس التفصيلية'!$H$4:$H$98)</f>
        <v/>
      </c>
      <c r="G46" s="5">
        <f>IF(C46="",E46,B46+E46)</f>
        <v/>
      </c>
      <c r="H46" s="5">
        <f>N(D46)+F46</f>
        <v/>
      </c>
      <c r="I46" s="6">
        <f>IF(G46&gt;0,ROUND(H46/G46,4),IF(C46="","",C46))</f>
        <v/>
      </c>
      <c r="J46" s="5" t="n">
        <v>23.7</v>
      </c>
      <c r="K46" s="5">
        <f>IF(I46="","",J46*I46)</f>
        <v/>
      </c>
      <c r="L46" s="7">
        <f>IF(OR(C46="",I46=""),"",I46/C46-1)</f>
        <v/>
      </c>
      <c r="M46" s="4" t="inlineStr">
        <is>
          <t>قياسى: (أول المدة + المشتريات)</t>
        </is>
      </c>
    </row>
    <row r="47">
      <c r="A47" s="4" t="inlineStr">
        <is>
          <t>زعتر</t>
        </is>
      </c>
      <c r="B47" s="5" t="n">
        <v>3.84</v>
      </c>
      <c r="C47" s="6" t="n">
        <v>120</v>
      </c>
      <c r="D47" s="5">
        <f>IF(C47="","",B47*C47)</f>
        <v/>
      </c>
      <c r="E47" s="5">
        <f>SUMIF('مشتريات أغسطس التفصيلية'!$I$4:$I$98,A47,'مشتريات أغسطس التفصيلية'!$F$4:$F$98)</f>
        <v/>
      </c>
      <c r="F47" s="5">
        <f>SUMIF('مشتريات أغسطس التفصيلية'!$I$4:$I$98,A47,'مشتريات أغسطس التفصيلية'!$H$4:$H$98)</f>
        <v/>
      </c>
      <c r="G47" s="5">
        <f>IF(C47="",E47,B47+E47)</f>
        <v/>
      </c>
      <c r="H47" s="5">
        <f>N(D47)+F47</f>
        <v/>
      </c>
      <c r="I47" s="6">
        <f>IF(G47&gt;0,ROUND(H47/G47,4),IF(C47="","",C47))</f>
        <v/>
      </c>
      <c r="J47" s="5" t="n">
        <v>3</v>
      </c>
      <c r="K47" s="5">
        <f>IF(I47="","",J47*I47)</f>
        <v/>
      </c>
      <c r="L47" s="7">
        <f>IF(OR(C47="",I47=""),"",I47/C47-1)</f>
        <v/>
      </c>
      <c r="M47" s="4" t="inlineStr">
        <is>
          <t>لا مشتريات فى أغسطس ⇒ السعر ثابت كما فى يوليو</t>
        </is>
      </c>
    </row>
    <row r="48">
      <c r="A48" s="4" t="inlineStr">
        <is>
          <t>شطه</t>
        </is>
      </c>
      <c r="B48" s="5" t="n">
        <v>25.65</v>
      </c>
      <c r="C48" s="6" t="n">
        <v>75.1649</v>
      </c>
      <c r="D48" s="5">
        <f>IF(C48="","",B48*C48)</f>
        <v/>
      </c>
      <c r="E48" s="5">
        <f>SUMIF('مشتريات أغسطس التفصيلية'!$I$4:$I$98,A48,'مشتريات أغسطس التفصيلية'!$F$4:$F$98)</f>
        <v/>
      </c>
      <c r="F48" s="5">
        <f>SUMIF('مشتريات أغسطس التفصيلية'!$I$4:$I$98,A48,'مشتريات أغسطس التفصيلية'!$H$4:$H$98)</f>
        <v/>
      </c>
      <c r="G48" s="5">
        <f>IF(C48="",E48,B48+E48)</f>
        <v/>
      </c>
      <c r="H48" s="5">
        <f>N(D48)+F48</f>
        <v/>
      </c>
      <c r="I48" s="6">
        <f>IF(G48&gt;0,ROUND(H48/G48,4),IF(C48="","",C48))</f>
        <v/>
      </c>
      <c r="J48" s="5" t="n">
        <v>63</v>
      </c>
      <c r="K48" s="5">
        <f>IF(I48="","",J48*I48)</f>
        <v/>
      </c>
      <c r="L48" s="7">
        <f>IF(OR(C48="",I48=""),"",I48/C48-1)</f>
        <v/>
      </c>
      <c r="M48" s="4" t="inlineStr">
        <is>
          <t>قياسى: (أول المدة + المشتريات)</t>
        </is>
      </c>
    </row>
    <row r="49">
      <c r="A49" s="4" t="inlineStr">
        <is>
          <t>جوزه الطيب</t>
        </is>
      </c>
      <c r="B49" s="5" t="n">
        <v>2.07</v>
      </c>
      <c r="C49" s="6" t="n">
        <v>802.9028</v>
      </c>
      <c r="D49" s="5">
        <f>IF(C49="","",B49*C49)</f>
        <v/>
      </c>
      <c r="E49" s="5">
        <f>SUMIF('مشتريات أغسطس التفصيلية'!$I$4:$I$98,A49,'مشتريات أغسطس التفصيلية'!$F$4:$F$98)</f>
        <v/>
      </c>
      <c r="F49" s="5">
        <f>SUMIF('مشتريات أغسطس التفصيلية'!$I$4:$I$98,A49,'مشتريات أغسطس التفصيلية'!$H$4:$H$98)</f>
        <v/>
      </c>
      <c r="G49" s="5">
        <f>IF(C49="",E49,B49+E49)</f>
        <v/>
      </c>
      <c r="H49" s="5">
        <f>N(D49)+F49</f>
        <v/>
      </c>
      <c r="I49" s="6">
        <f>IF(G49&gt;0,ROUND(H49/G49,4),IF(C49="","",C49))</f>
        <v/>
      </c>
      <c r="J49" s="5" t="n">
        <v>1.79</v>
      </c>
      <c r="K49" s="5">
        <f>IF(I49="","",J49*I49)</f>
        <v/>
      </c>
      <c r="L49" s="7">
        <f>IF(OR(C49="",I49=""),"",I49/C49-1)</f>
        <v/>
      </c>
      <c r="M49" s="4" t="inlineStr">
        <is>
          <t>لا مشتريات فى أغسطس ⇒ السعر ثابت كما فى يوليو</t>
        </is>
      </c>
    </row>
    <row r="50">
      <c r="A50" s="4" t="inlineStr">
        <is>
          <t>ينسون</t>
        </is>
      </c>
      <c r="B50" s="5" t="n">
        <v>3.5</v>
      </c>
      <c r="C50" s="6" t="n">
        <v>122.6825</v>
      </c>
      <c r="D50" s="5">
        <f>IF(C50="","",B50*C50)</f>
        <v/>
      </c>
      <c r="E50" s="5">
        <f>SUMIF('مشتريات أغسطس التفصيلية'!$I$4:$I$98,A50,'مشتريات أغسطس التفصيلية'!$F$4:$F$98)</f>
        <v/>
      </c>
      <c r="F50" s="5">
        <f>SUMIF('مشتريات أغسطس التفصيلية'!$I$4:$I$98,A50,'مشتريات أغسطس التفصيلية'!$H$4:$H$98)</f>
        <v/>
      </c>
      <c r="G50" s="5">
        <f>IF(C50="",E50,B50+E50)</f>
        <v/>
      </c>
      <c r="H50" s="5">
        <f>N(D50)+F50</f>
        <v/>
      </c>
      <c r="I50" s="6">
        <f>IF(G50&gt;0,ROUND(H50/G50,4),IF(C50="","",C50))</f>
        <v/>
      </c>
      <c r="J50" s="5" t="n">
        <v>10.44</v>
      </c>
      <c r="K50" s="5">
        <f>IF(I50="","",J50*I50)</f>
        <v/>
      </c>
      <c r="L50" s="7">
        <f>IF(OR(C50="",I50=""),"",I50/C50-1)</f>
        <v/>
      </c>
      <c r="M50" s="4" t="inlineStr">
        <is>
          <t>قياسى: (أول المدة + المشتريات)</t>
        </is>
      </c>
    </row>
    <row r="51">
      <c r="A51" s="4" t="inlineStr">
        <is>
          <t>حبهان</t>
        </is>
      </c>
      <c r="B51" s="5" t="n">
        <v>6.54</v>
      </c>
      <c r="C51" s="6" t="n">
        <v>1278.6404</v>
      </c>
      <c r="D51" s="5">
        <f>IF(C51="","",B51*C51)</f>
        <v/>
      </c>
      <c r="E51" s="5">
        <f>SUMIF('مشتريات أغسطس التفصيلية'!$I$4:$I$98,A51,'مشتريات أغسطس التفصيلية'!$F$4:$F$98)</f>
        <v/>
      </c>
      <c r="F51" s="5">
        <f>SUMIF('مشتريات أغسطس التفصيلية'!$I$4:$I$98,A51,'مشتريات أغسطس التفصيلية'!$H$4:$H$98)</f>
        <v/>
      </c>
      <c r="G51" s="5">
        <f>IF(C51="",E51,B51+E51)</f>
        <v/>
      </c>
      <c r="H51" s="5">
        <f>N(D51)+F51</f>
        <v/>
      </c>
      <c r="I51" s="6">
        <f>IF(G51&gt;0,ROUND(H51/G51,4),IF(C51="","",C51))</f>
        <v/>
      </c>
      <c r="J51" s="5" t="n">
        <v>9.199999999999999</v>
      </c>
      <c r="K51" s="5">
        <f>IF(I51="","",J51*I51)</f>
        <v/>
      </c>
      <c r="L51" s="7">
        <f>IF(OR(C51="",I51=""),"",I51/C51-1)</f>
        <v/>
      </c>
      <c r="M51" s="4" t="inlineStr">
        <is>
          <t>قياسى: (أول المدة + المشتريات)</t>
        </is>
      </c>
    </row>
    <row r="52">
      <c r="A52" s="4" t="inlineStr">
        <is>
          <t>روزماري</t>
        </is>
      </c>
      <c r="B52" s="5" t="n">
        <v>0</v>
      </c>
      <c r="C52" s="6" t="n">
        <v>150</v>
      </c>
      <c r="D52" s="5">
        <f>IF(C52="","",B52*C52)</f>
        <v/>
      </c>
      <c r="E52" s="5">
        <f>SUMIF('مشتريات أغسطس التفصيلية'!$I$4:$I$98,A52,'مشتريات أغسطس التفصيلية'!$F$4:$F$98)</f>
        <v/>
      </c>
      <c r="F52" s="5">
        <f>SUMIF('مشتريات أغسطس التفصيلية'!$I$4:$I$98,A52,'مشتريات أغسطس التفصيلية'!$H$4:$H$98)</f>
        <v/>
      </c>
      <c r="G52" s="5">
        <f>IF(C52="",E52,B52+E52)</f>
        <v/>
      </c>
      <c r="H52" s="5">
        <f>N(D52)+F52</f>
        <v/>
      </c>
      <c r="I52" s="6">
        <f>IF(G52&gt;0,ROUND(H52/G52,4),IF(C52="","",C52))</f>
        <v/>
      </c>
      <c r="J52" s="5" t="n">
        <v>0</v>
      </c>
      <c r="K52" s="5">
        <f>IF(I52="","",J52*I52)</f>
        <v/>
      </c>
      <c r="L52" s="7">
        <f>IF(OR(C52="",I52=""),"",I52/C52-1)</f>
        <v/>
      </c>
      <c r="M52" s="4" t="inlineStr">
        <is>
          <t>لا مشتريات فى أغسطس ⇒ السعر ثابت كما فى يوليو</t>
        </is>
      </c>
    </row>
    <row r="53">
      <c r="A53" s="4" t="inlineStr">
        <is>
          <t>بابريكا</t>
        </is>
      </c>
      <c r="B53" s="5" t="n">
        <v>2.9</v>
      </c>
      <c r="C53" s="6" t="n">
        <v>140.7448</v>
      </c>
      <c r="D53" s="5">
        <f>IF(C53="","",B53*C53)</f>
        <v/>
      </c>
      <c r="E53" s="5">
        <f>SUMIF('مشتريات أغسطس التفصيلية'!$I$4:$I$98,A53,'مشتريات أغسطس التفصيلية'!$F$4:$F$98)</f>
        <v/>
      </c>
      <c r="F53" s="5">
        <f>SUMIF('مشتريات أغسطس التفصيلية'!$I$4:$I$98,A53,'مشتريات أغسطس التفصيلية'!$H$4:$H$98)</f>
        <v/>
      </c>
      <c r="G53" s="5">
        <f>IF(C53="",E53,B53+E53)</f>
        <v/>
      </c>
      <c r="H53" s="5">
        <f>N(D53)+F53</f>
        <v/>
      </c>
      <c r="I53" s="6">
        <f>IF(G53&gt;0,ROUND(H53/G53,4),IF(C53="","",C53))</f>
        <v/>
      </c>
      <c r="J53" s="5" t="n">
        <v>31.7</v>
      </c>
      <c r="K53" s="5">
        <f>IF(I53="","",J53*I53)</f>
        <v/>
      </c>
      <c r="L53" s="7">
        <f>IF(OR(C53="",I53=""),"",I53/C53-1)</f>
        <v/>
      </c>
      <c r="M53" s="4" t="inlineStr">
        <is>
          <t>قياسى: (أول المدة + المشتريات)</t>
        </is>
      </c>
    </row>
    <row r="54">
      <c r="A54" s="4" t="inlineStr">
        <is>
          <t>جنزبيل</t>
        </is>
      </c>
      <c r="B54" s="5" t="n">
        <v>13.8</v>
      </c>
      <c r="C54" s="6" t="n">
        <v>211.3081</v>
      </c>
      <c r="D54" s="5">
        <f>IF(C54="","",B54*C54)</f>
        <v/>
      </c>
      <c r="E54" s="5">
        <f>SUMIF('مشتريات أغسطس التفصيلية'!$I$4:$I$98,A54,'مشتريات أغسطس التفصيلية'!$F$4:$F$98)</f>
        <v/>
      </c>
      <c r="F54" s="5">
        <f>SUMIF('مشتريات أغسطس التفصيلية'!$I$4:$I$98,A54,'مشتريات أغسطس التفصيلية'!$H$4:$H$98)</f>
        <v/>
      </c>
      <c r="G54" s="5">
        <f>IF(C54="",E54,B54+E54)</f>
        <v/>
      </c>
      <c r="H54" s="5">
        <f>N(D54)+F54</f>
        <v/>
      </c>
      <c r="I54" s="6">
        <f>IF(G54&gt;0,ROUND(H54/G54,4),IF(C54="","",C54))</f>
        <v/>
      </c>
      <c r="J54" s="5" t="n">
        <v>9.5</v>
      </c>
      <c r="K54" s="5">
        <f>IF(I54="","",J54*I54)</f>
        <v/>
      </c>
      <c r="L54" s="7">
        <f>IF(OR(C54="",I54=""),"",I54/C54-1)</f>
        <v/>
      </c>
      <c r="M54" s="4" t="inlineStr">
        <is>
          <t>لا مشتريات فى أغسطس ⇒ السعر ثابت كما فى يوليو</t>
        </is>
      </c>
    </row>
    <row r="55">
      <c r="A55" s="4" t="inlineStr">
        <is>
          <t>الملح</t>
        </is>
      </c>
      <c r="B55" s="5" t="n">
        <v>1375.6</v>
      </c>
      <c r="C55" s="6" t="n">
        <v>2.0629</v>
      </c>
      <c r="D55" s="5">
        <f>IF(C55="","",B55*C55)</f>
        <v/>
      </c>
      <c r="E55" s="5">
        <f>SUMIF('مشتريات أغسطس التفصيلية'!$I$4:$I$98,A55,'مشتريات أغسطس التفصيلية'!$F$4:$F$98)</f>
        <v/>
      </c>
      <c r="F55" s="5">
        <f>SUMIF('مشتريات أغسطس التفصيلية'!$I$4:$I$98,A55,'مشتريات أغسطس التفصيلية'!$H$4:$H$98)</f>
        <v/>
      </c>
      <c r="G55" s="5">
        <f>IF(C55="",E55,B55+E55)</f>
        <v/>
      </c>
      <c r="H55" s="5">
        <f>N(D55)+F55</f>
        <v/>
      </c>
      <c r="I55" s="6">
        <f>IF(G55&gt;0,ROUND(H55/G55,4),IF(C55="","",C55))</f>
        <v/>
      </c>
      <c r="J55" s="5" t="n">
        <v>742</v>
      </c>
      <c r="K55" s="5">
        <f>IF(I55="","",J55*I55)</f>
        <v/>
      </c>
      <c r="L55" s="7">
        <f>IF(OR(C55="",I55=""),"",I55/C55-1)</f>
        <v/>
      </c>
      <c r="M55" s="4" t="inlineStr">
        <is>
          <t>لا مشتريات فى أغسطس ⇒ السعر ثابت كما فى يوليو</t>
        </is>
      </c>
    </row>
    <row r="56">
      <c r="A56" s="4" t="inlineStr">
        <is>
          <t>فوسفات</t>
        </is>
      </c>
      <c r="B56" s="5" t="n">
        <v>117</v>
      </c>
      <c r="C56" s="6" t="n">
        <v>161.8292</v>
      </c>
      <c r="D56" s="5">
        <f>IF(C56="","",B56*C56)</f>
        <v/>
      </c>
      <c r="E56" s="5">
        <f>SUMIF('مشتريات أغسطس التفصيلية'!$I$4:$I$98,A56,'مشتريات أغسطس التفصيلية'!$F$4:$F$98)</f>
        <v/>
      </c>
      <c r="F56" s="5">
        <f>SUMIF('مشتريات أغسطس التفصيلية'!$I$4:$I$98,A56,'مشتريات أغسطس التفصيلية'!$H$4:$H$98)</f>
        <v/>
      </c>
      <c r="G56" s="5">
        <f>IF(C56="",E56,B56+E56)</f>
        <v/>
      </c>
      <c r="H56" s="5">
        <f>N(D56)+F56</f>
        <v/>
      </c>
      <c r="I56" s="6">
        <f>IF(G56&gt;0,ROUND(H56/G56,4),IF(C56="","",C56))</f>
        <v/>
      </c>
      <c r="J56" s="5" t="n">
        <v>212</v>
      </c>
      <c r="K56" s="5">
        <f>IF(I56="","",J56*I56)</f>
        <v/>
      </c>
      <c r="L56" s="7">
        <f>IF(OR(C56="",I56=""),"",I56/C56-1)</f>
        <v/>
      </c>
      <c r="M56" s="4" t="inlineStr">
        <is>
          <t>قياسى: (أول المدة + المشتريات)</t>
        </is>
      </c>
    </row>
    <row r="57">
      <c r="A57" s="4" t="inlineStr">
        <is>
          <t>جلتومات</t>
        </is>
      </c>
      <c r="B57" s="5" t="n">
        <v>37.5</v>
      </c>
      <c r="C57" s="6" t="n">
        <v>103.9958</v>
      </c>
      <c r="D57" s="5">
        <f>IF(C57="","",B57*C57)</f>
        <v/>
      </c>
      <c r="E57" s="5">
        <f>SUMIF('مشتريات أغسطس التفصيلية'!$I$4:$I$98,A57,'مشتريات أغسطس التفصيلية'!$F$4:$F$98)</f>
        <v/>
      </c>
      <c r="F57" s="5">
        <f>SUMIF('مشتريات أغسطس التفصيلية'!$I$4:$I$98,A57,'مشتريات أغسطس التفصيلية'!$H$4:$H$98)</f>
        <v/>
      </c>
      <c r="G57" s="5">
        <f>IF(C57="",E57,B57+E57)</f>
        <v/>
      </c>
      <c r="H57" s="5">
        <f>N(D57)+F57</f>
        <v/>
      </c>
      <c r="I57" s="6">
        <f>IF(G57&gt;0,ROUND(H57/G57,4),IF(C57="","",C57))</f>
        <v/>
      </c>
      <c r="J57" s="5" t="n">
        <v>127.5</v>
      </c>
      <c r="K57" s="5">
        <f>IF(I57="","",J57*I57)</f>
        <v/>
      </c>
      <c r="L57" s="7">
        <f>IF(OR(C57="",I57=""),"",I57/C57-1)</f>
        <v/>
      </c>
      <c r="M57" s="4" t="inlineStr">
        <is>
          <t>قياسى: (أول المدة + المشتريات)</t>
        </is>
      </c>
    </row>
    <row r="58">
      <c r="A58" s="4" t="inlineStr">
        <is>
          <t>طعم سجق بودر</t>
        </is>
      </c>
      <c r="B58" s="5" t="n">
        <v>6</v>
      </c>
      <c r="C58" s="6" t="n">
        <v>285</v>
      </c>
      <c r="D58" s="5">
        <f>IF(C58="","",B58*C58)</f>
        <v/>
      </c>
      <c r="E58" s="5">
        <f>SUMIF('مشتريات أغسطس التفصيلية'!$I$4:$I$98,A58,'مشتريات أغسطس التفصيلية'!$F$4:$F$98)</f>
        <v/>
      </c>
      <c r="F58" s="5">
        <f>SUMIF('مشتريات أغسطس التفصيلية'!$I$4:$I$98,A58,'مشتريات أغسطس التفصيلية'!$H$4:$H$98)</f>
        <v/>
      </c>
      <c r="G58" s="5">
        <f>IF(C58="",E58,B58+E58)</f>
        <v/>
      </c>
      <c r="H58" s="5">
        <f>N(D58)+F58</f>
        <v/>
      </c>
      <c r="I58" s="6">
        <f>IF(G58&gt;0,ROUND(H58/G58,4),IF(C58="","",C58))</f>
        <v/>
      </c>
      <c r="J58" s="5" t="n">
        <v>5.25</v>
      </c>
      <c r="K58" s="5">
        <f>IF(I58="","",J58*I58)</f>
        <v/>
      </c>
      <c r="L58" s="7">
        <f>IF(OR(C58="",I58=""),"",I58/C58-1)</f>
        <v/>
      </c>
      <c r="M58" s="4" t="inlineStr">
        <is>
          <t>لا مشتريات فى أغسطس ⇒ السعر ثابت كما فى يوليو</t>
        </is>
      </c>
    </row>
    <row r="59">
      <c r="A59" s="4" t="inlineStr">
        <is>
          <t>بصل بودر</t>
        </is>
      </c>
      <c r="B59" s="5" t="n">
        <v>0</v>
      </c>
      <c r="C59" s="6" t="n">
        <v>125</v>
      </c>
      <c r="D59" s="5">
        <f>IF(C59="","",B59*C59)</f>
        <v/>
      </c>
      <c r="E59" s="5">
        <f>SUMIF('مشتريات أغسطس التفصيلية'!$I$4:$I$98,A59,'مشتريات أغسطس التفصيلية'!$F$4:$F$98)</f>
        <v/>
      </c>
      <c r="F59" s="5">
        <f>SUMIF('مشتريات أغسطس التفصيلية'!$I$4:$I$98,A59,'مشتريات أغسطس التفصيلية'!$H$4:$H$98)</f>
        <v/>
      </c>
      <c r="G59" s="5">
        <f>IF(C59="",E59,B59+E59)</f>
        <v/>
      </c>
      <c r="H59" s="5">
        <f>N(D59)+F59</f>
        <v/>
      </c>
      <c r="I59" s="6">
        <f>IF(G59&gt;0,ROUND(H59/G59,4),IF(C59="","",C59))</f>
        <v/>
      </c>
      <c r="J59" s="5" t="n">
        <v>0</v>
      </c>
      <c r="K59" s="5">
        <f>IF(I59="","",J59*I59)</f>
        <v/>
      </c>
      <c r="L59" s="7">
        <f>IF(OR(C59="",I59=""),"",I59/C59-1)</f>
        <v/>
      </c>
      <c r="M59" s="4" t="inlineStr">
        <is>
          <t>لا مشتريات فى أغسطس ⇒ السعر ثابت كما فى يوليو</t>
        </is>
      </c>
    </row>
    <row r="60">
      <c r="A60" s="4" t="inlineStr">
        <is>
          <t>طعم ليه</t>
        </is>
      </c>
      <c r="B60" s="5" t="n">
        <v>27.5</v>
      </c>
      <c r="C60" s="6" t="n">
        <v>292.5887</v>
      </c>
      <c r="D60" s="5">
        <f>IF(C60="","",B60*C60)</f>
        <v/>
      </c>
      <c r="E60" s="5">
        <f>SUMIF('مشتريات أغسطس التفصيلية'!$I$4:$I$98,A60,'مشتريات أغسطس التفصيلية'!$F$4:$F$98)</f>
        <v/>
      </c>
      <c r="F60" s="5">
        <f>SUMIF('مشتريات أغسطس التفصيلية'!$I$4:$I$98,A60,'مشتريات أغسطس التفصيلية'!$H$4:$H$98)</f>
        <v/>
      </c>
      <c r="G60" s="5">
        <f>IF(C60="",E60,B60+E60)</f>
        <v/>
      </c>
      <c r="H60" s="5">
        <f>N(D60)+F60</f>
        <v/>
      </c>
      <c r="I60" s="6">
        <f>IF(G60&gt;0,ROUND(H60/G60,4),IF(C60="","",C60))</f>
        <v/>
      </c>
      <c r="J60" s="5" t="n">
        <v>19.305</v>
      </c>
      <c r="K60" s="5">
        <f>IF(I60="","",J60*I60)</f>
        <v/>
      </c>
      <c r="L60" s="7">
        <f>IF(OR(C60="",I60=""),"",I60/C60-1)</f>
        <v/>
      </c>
      <c r="M60" s="4" t="inlineStr">
        <is>
          <t>قياسى: (أول المدة + المشتريات)</t>
        </is>
      </c>
    </row>
    <row r="61">
      <c r="A61" s="4" t="inlineStr">
        <is>
          <t>طعم كفته</t>
        </is>
      </c>
      <c r="B61" s="5" t="n">
        <v>28.75</v>
      </c>
      <c r="C61" s="6" t="n">
        <v>176.03</v>
      </c>
      <c r="D61" s="5">
        <f>IF(C61="","",B61*C61)</f>
        <v/>
      </c>
      <c r="E61" s="5">
        <f>SUMIF('مشتريات أغسطس التفصيلية'!$I$4:$I$98,A61,'مشتريات أغسطس التفصيلية'!$F$4:$F$98)</f>
        <v/>
      </c>
      <c r="F61" s="5">
        <f>SUMIF('مشتريات أغسطس التفصيلية'!$I$4:$I$98,A61,'مشتريات أغسطس التفصيلية'!$H$4:$H$98)</f>
        <v/>
      </c>
      <c r="G61" s="5">
        <f>IF(C61="",E61,B61+E61)</f>
        <v/>
      </c>
      <c r="H61" s="5">
        <f>N(D61)+F61</f>
        <v/>
      </c>
      <c r="I61" s="6">
        <f>IF(G61&gt;0,ROUND(H61/G61,4),IF(C61="","",C61))</f>
        <v/>
      </c>
      <c r="J61" s="5" t="n">
        <v>31.5</v>
      </c>
      <c r="K61" s="5">
        <f>IF(I61="","",J61*I61)</f>
        <v/>
      </c>
      <c r="L61" s="7">
        <f>IF(OR(C61="",I61=""),"",I61/C61-1)</f>
        <v/>
      </c>
      <c r="M61" s="4" t="inlineStr">
        <is>
          <t>قياسى: (أول المدة + المشتريات)</t>
        </is>
      </c>
    </row>
    <row r="62">
      <c r="A62" s="4" t="inlineStr">
        <is>
          <t>طعم برجر</t>
        </is>
      </c>
      <c r="B62" s="5" t="n">
        <v>8.9</v>
      </c>
      <c r="C62" s="6" t="n">
        <v>297.554</v>
      </c>
      <c r="D62" s="5">
        <f>IF(C62="","",B62*C62)</f>
        <v/>
      </c>
      <c r="E62" s="5">
        <f>SUMIF('مشتريات أغسطس التفصيلية'!$I$4:$I$98,A62,'مشتريات أغسطس التفصيلية'!$F$4:$F$98)</f>
        <v/>
      </c>
      <c r="F62" s="5">
        <f>SUMIF('مشتريات أغسطس التفصيلية'!$I$4:$I$98,A62,'مشتريات أغسطس التفصيلية'!$H$4:$H$98)</f>
        <v/>
      </c>
      <c r="G62" s="5">
        <f>IF(C62="",E62,B62+E62)</f>
        <v/>
      </c>
      <c r="H62" s="5">
        <f>N(D62)+F62</f>
        <v/>
      </c>
      <c r="I62" s="6">
        <f>IF(G62&gt;0,ROUND(H62/G62,4),IF(C62="","",C62))</f>
        <v/>
      </c>
      <c r="J62" s="5" t="n">
        <v>7.2</v>
      </c>
      <c r="K62" s="5">
        <f>IF(I62="","",J62*I62)</f>
        <v/>
      </c>
      <c r="L62" s="7">
        <f>IF(OR(C62="",I62=""),"",I62/C62-1)</f>
        <v/>
      </c>
      <c r="M62" s="4" t="inlineStr">
        <is>
          <t>لا مشتريات فى أغسطس ⇒ السعر ثابت كما فى يوليو</t>
        </is>
      </c>
    </row>
    <row r="63">
      <c r="A63" s="4" t="inlineStr">
        <is>
          <t>طعم بيف</t>
        </is>
      </c>
      <c r="B63" s="5" t="n">
        <v>46.86</v>
      </c>
      <c r="C63" s="6" t="n">
        <v>306.7002</v>
      </c>
      <c r="D63" s="5">
        <f>IF(C63="","",B63*C63)</f>
        <v/>
      </c>
      <c r="E63" s="5">
        <f>SUMIF('مشتريات أغسطس التفصيلية'!$I$4:$I$98,A63,'مشتريات أغسطس التفصيلية'!$F$4:$F$98)</f>
        <v/>
      </c>
      <c r="F63" s="5">
        <f>SUMIF('مشتريات أغسطس التفصيلية'!$I$4:$I$98,A63,'مشتريات أغسطس التفصيلية'!$H$4:$H$98)</f>
        <v/>
      </c>
      <c r="G63" s="5">
        <f>IF(C63="",E63,B63+E63)</f>
        <v/>
      </c>
      <c r="H63" s="5">
        <f>N(D63)+F63</f>
        <v/>
      </c>
      <c r="I63" s="6">
        <f>IF(G63&gt;0,ROUND(H63/G63,4),IF(C63="","",C63))</f>
        <v/>
      </c>
      <c r="J63" s="5" t="n">
        <v>9.5</v>
      </c>
      <c r="K63" s="5">
        <f>IF(I63="","",J63*I63)</f>
        <v/>
      </c>
      <c r="L63" s="7">
        <f>IF(OR(C63="",I63=""),"",I63/C63-1)</f>
        <v/>
      </c>
      <c r="M63" s="4" t="inlineStr">
        <is>
          <t>قياسى: (أول المدة + المشتريات)</t>
        </is>
      </c>
    </row>
    <row r="64">
      <c r="A64" s="4" t="inlineStr">
        <is>
          <t>طعم شواي</t>
        </is>
      </c>
      <c r="B64" s="5" t="n">
        <v>16</v>
      </c>
      <c r="C64" s="6" t="n">
        <v>295</v>
      </c>
      <c r="D64" s="5">
        <f>IF(C64="","",B64*C64)</f>
        <v/>
      </c>
      <c r="E64" s="5">
        <f>SUMIF('مشتريات أغسطس التفصيلية'!$I$4:$I$98,A64,'مشتريات أغسطس التفصيلية'!$F$4:$F$98)</f>
        <v/>
      </c>
      <c r="F64" s="5">
        <f>SUMIF('مشتريات أغسطس التفصيلية'!$I$4:$I$98,A64,'مشتريات أغسطس التفصيلية'!$H$4:$H$98)</f>
        <v/>
      </c>
      <c r="G64" s="5">
        <f>IF(C64="",E64,B64+E64)</f>
        <v/>
      </c>
      <c r="H64" s="5">
        <f>N(D64)+F64</f>
        <v/>
      </c>
      <c r="I64" s="6">
        <f>IF(G64&gt;0,ROUND(H64/G64,4),IF(C64="","",C64))</f>
        <v/>
      </c>
      <c r="J64" s="5" t="n">
        <v>17.5</v>
      </c>
      <c r="K64" s="5">
        <f>IF(I64="","",J64*I64)</f>
        <v/>
      </c>
      <c r="L64" s="7">
        <f>IF(OR(C64="",I64=""),"",I64/C64-1)</f>
        <v/>
      </c>
      <c r="M64" s="4" t="inlineStr">
        <is>
          <t>قياسى: (أول المدة + المشتريات)</t>
        </is>
      </c>
    </row>
    <row r="65">
      <c r="A65" s="4" t="inlineStr">
        <is>
          <t>طعم دخان</t>
        </is>
      </c>
      <c r="B65" s="5" t="n">
        <v>0</v>
      </c>
      <c r="C65" s="6" t="n"/>
      <c r="D65" s="5">
        <f>IF(C65="","",B65*C65)</f>
        <v/>
      </c>
      <c r="E65" s="5">
        <f>SUMIF('مشتريات أغسطس التفصيلية'!$I$4:$I$98,A65,'مشتريات أغسطس التفصيلية'!$F$4:$F$98)</f>
        <v/>
      </c>
      <c r="F65" s="5">
        <f>SUMIF('مشتريات أغسطس التفصيلية'!$I$4:$I$98,A65,'مشتريات أغسطس التفصيلية'!$H$4:$H$98)</f>
        <v/>
      </c>
      <c r="G65" s="5">
        <f>IF(C65="",E65,B65+E65)</f>
        <v/>
      </c>
      <c r="H65" s="5">
        <f>N(D65)+F65</f>
        <v/>
      </c>
      <c r="I65" s="6">
        <f>IF(G65&gt;0,ROUND(H65/G65,4),IF(C65="","",C65))</f>
        <v/>
      </c>
      <c r="J65" s="5" t="n">
        <v>0</v>
      </c>
      <c r="K65" s="5">
        <f>IF(I65="","",J65*I65)</f>
        <v/>
      </c>
      <c r="L65" s="7">
        <f>IF(OR(C65="",I65=""),"",I65/C65-1)</f>
        <v/>
      </c>
      <c r="M65" s="4" t="inlineStr"/>
    </row>
    <row r="66">
      <c r="A66" s="4" t="inlineStr">
        <is>
          <t>كربوناتو</t>
        </is>
      </c>
      <c r="B66" s="5" t="n">
        <v>1.35</v>
      </c>
      <c r="C66" s="6" t="n">
        <v>35</v>
      </c>
      <c r="D66" s="5">
        <f>IF(C66="","",B66*C66)</f>
        <v/>
      </c>
      <c r="E66" s="5">
        <f>SUMIF('مشتريات أغسطس التفصيلية'!$I$4:$I$98,A66,'مشتريات أغسطس التفصيلية'!$F$4:$F$98)</f>
        <v/>
      </c>
      <c r="F66" s="5">
        <f>SUMIF('مشتريات أغسطس التفصيلية'!$I$4:$I$98,A66,'مشتريات أغسطس التفصيلية'!$H$4:$H$98)</f>
        <v/>
      </c>
      <c r="G66" s="5">
        <f>IF(C66="",E66,B66+E66)</f>
        <v/>
      </c>
      <c r="H66" s="5">
        <f>N(D66)+F66</f>
        <v/>
      </c>
      <c r="I66" s="6">
        <f>IF(G66&gt;0,ROUND(H66/G66,4),IF(C66="","",C66))</f>
        <v/>
      </c>
      <c r="J66" s="5" t="n">
        <v>1.35</v>
      </c>
      <c r="K66" s="5">
        <f>IF(I66="","",J66*I66)</f>
        <v/>
      </c>
      <c r="L66" s="7">
        <f>IF(OR(C66="",I66=""),"",I66/C66-1)</f>
        <v/>
      </c>
      <c r="M66" s="4" t="inlineStr">
        <is>
          <t>لا مشتريات فى أغسطس ⇒ السعر ثابت كما فى يوليو</t>
        </is>
      </c>
    </row>
    <row r="67">
      <c r="A67" s="4" t="inlineStr">
        <is>
          <t>شرش بودر</t>
        </is>
      </c>
      <c r="B67" s="5" t="n">
        <v>21.95</v>
      </c>
      <c r="C67" s="6" t="n">
        <v>85</v>
      </c>
      <c r="D67" s="5">
        <f>IF(C67="","",B67*C67)</f>
        <v/>
      </c>
      <c r="E67" s="5">
        <f>SUMIF('مشتريات أغسطس التفصيلية'!$I$4:$I$98,A67,'مشتريات أغسطس التفصيلية'!$F$4:$F$98)</f>
        <v/>
      </c>
      <c r="F67" s="5">
        <f>SUMIF('مشتريات أغسطس التفصيلية'!$I$4:$I$98,A67,'مشتريات أغسطس التفصيلية'!$H$4:$H$98)</f>
        <v/>
      </c>
      <c r="G67" s="5">
        <f>IF(C67="",E67,B67+E67)</f>
        <v/>
      </c>
      <c r="H67" s="5">
        <f>N(D67)+F67</f>
        <v/>
      </c>
      <c r="I67" s="6">
        <f>IF(G67&gt;0,ROUND(H67/G67,4),IF(C67="","",C67))</f>
        <v/>
      </c>
      <c r="J67" s="5" t="n">
        <v>21.95</v>
      </c>
      <c r="K67" s="5">
        <f>IF(I67="","",J67*I67)</f>
        <v/>
      </c>
      <c r="L67" s="7">
        <f>IF(OR(C67="",I67=""),"",I67/C67-1)</f>
        <v/>
      </c>
      <c r="M67" s="4" t="inlineStr">
        <is>
          <t>لا مشتريات فى أغسطس ⇒ السعر ثابت كما فى يوليو</t>
        </is>
      </c>
    </row>
    <row r="68">
      <c r="A68" s="4" t="inlineStr">
        <is>
          <t>سكر</t>
        </is>
      </c>
      <c r="B68" s="5" t="n">
        <v>6.47</v>
      </c>
      <c r="C68" s="6" t="n">
        <v>28.2146</v>
      </c>
      <c r="D68" s="5">
        <f>IF(C68="","",B68*C68)</f>
        <v/>
      </c>
      <c r="E68" s="5">
        <f>SUMIF('مشتريات أغسطس التفصيلية'!$I$4:$I$98,A68,'مشتريات أغسطس التفصيلية'!$F$4:$F$98)</f>
        <v/>
      </c>
      <c r="F68" s="5">
        <f>SUMIF('مشتريات أغسطس التفصيلية'!$I$4:$I$98,A68,'مشتريات أغسطس التفصيلية'!$H$4:$H$98)</f>
        <v/>
      </c>
      <c r="G68" s="5">
        <f>IF(C68="",E68,B68+E68)</f>
        <v/>
      </c>
      <c r="H68" s="5">
        <f>N(D68)+F68</f>
        <v/>
      </c>
      <c r="I68" s="6">
        <f>IF(G68&gt;0,ROUND(H68/G68,4),IF(C68="","",C68))</f>
        <v/>
      </c>
      <c r="J68" s="5" t="n">
        <v>3.495</v>
      </c>
      <c r="K68" s="5">
        <f>IF(I68="","",J68*I68)</f>
        <v/>
      </c>
      <c r="L68" s="7">
        <f>IF(OR(C68="",I68=""),"",I68/C68-1)</f>
        <v/>
      </c>
      <c r="M68" s="4" t="inlineStr">
        <is>
          <t>لا مشتريات فى أغسطس ⇒ السعر ثابت كما فى يوليو</t>
        </is>
      </c>
    </row>
    <row r="69">
      <c r="A69" s="4" t="inlineStr">
        <is>
          <t>فلفل ابيض</t>
        </is>
      </c>
      <c r="B69" s="5" t="n">
        <v>0</v>
      </c>
      <c r="C69" s="6" t="n">
        <v>78.65170000000001</v>
      </c>
      <c r="D69" s="5">
        <f>IF(C69="","",B69*C69)</f>
        <v/>
      </c>
      <c r="E69" s="5">
        <f>SUMIF('مشتريات أغسطس التفصيلية'!$I$4:$I$98,A69,'مشتريات أغسطس التفصيلية'!$F$4:$F$98)</f>
        <v/>
      </c>
      <c r="F69" s="5">
        <f>SUMIF('مشتريات أغسطس التفصيلية'!$I$4:$I$98,A69,'مشتريات أغسطس التفصيلية'!$H$4:$H$98)</f>
        <v/>
      </c>
      <c r="G69" s="5">
        <f>IF(C69="",E69,B69+E69)</f>
        <v/>
      </c>
      <c r="H69" s="5">
        <f>N(D69)+F69</f>
        <v/>
      </c>
      <c r="I69" s="6">
        <f>IF(G69&gt;0,ROUND(H69/G69,4),IF(C69="","",C69))</f>
        <v/>
      </c>
      <c r="J69" s="5" t="n">
        <v>0</v>
      </c>
      <c r="K69" s="5">
        <f>IF(I69="","",J69*I69)</f>
        <v/>
      </c>
      <c r="L69" s="7">
        <f>IF(OR(C69="",I69=""),"",I69/C69-1)</f>
        <v/>
      </c>
      <c r="M69" s="4" t="inlineStr">
        <is>
          <t>لا مشتريات فى أغسطس ⇒ السعر ثابت كما فى يوليو</t>
        </is>
      </c>
    </row>
    <row r="70">
      <c r="A70" s="4" t="inlineStr">
        <is>
          <t>لون طبيعي</t>
        </is>
      </c>
      <c r="B70" s="5" t="n">
        <v>5.58</v>
      </c>
      <c r="C70" s="6" t="n">
        <v>2919.2872</v>
      </c>
      <c r="D70" s="5">
        <f>IF(C70="","",B70*C70)</f>
        <v/>
      </c>
      <c r="E70" s="5">
        <f>SUMIF('مشتريات أغسطس التفصيلية'!$I$4:$I$98,A70,'مشتريات أغسطس التفصيلية'!$F$4:$F$98)</f>
        <v/>
      </c>
      <c r="F70" s="5">
        <f>SUMIF('مشتريات أغسطس التفصيلية'!$I$4:$I$98,A70,'مشتريات أغسطس التفصيلية'!$H$4:$H$98)</f>
        <v/>
      </c>
      <c r="G70" s="5">
        <f>IF(C70="",E70,B70+E70)</f>
        <v/>
      </c>
      <c r="H70" s="5">
        <f>N(D70)+F70</f>
        <v/>
      </c>
      <c r="I70" s="6">
        <f>IF(G70&gt;0,ROUND(H70/G70,4),IF(C70="","",C70))</f>
        <v/>
      </c>
      <c r="J70" s="5" t="n">
        <v>10.665</v>
      </c>
      <c r="K70" s="5">
        <f>IF(I70="","",J70*I70)</f>
        <v/>
      </c>
      <c r="L70" s="7">
        <f>IF(OR(C70="",I70=""),"",I70/C70-1)</f>
        <v/>
      </c>
      <c r="M70" s="4" t="inlineStr">
        <is>
          <t>قياسى: (أول المدة + المشتريات)</t>
        </is>
      </c>
    </row>
    <row r="71">
      <c r="A71" s="4" t="inlineStr">
        <is>
          <t>طعم فراخ</t>
        </is>
      </c>
      <c r="B71" s="5" t="n">
        <v>0</v>
      </c>
      <c r="C71" s="6" t="n"/>
      <c r="D71" s="5">
        <f>IF(C71="","",B71*C71)</f>
        <v/>
      </c>
      <c r="E71" s="5">
        <f>SUMIF('مشتريات أغسطس التفصيلية'!$I$4:$I$98,A71,'مشتريات أغسطس التفصيلية'!$F$4:$F$98)</f>
        <v/>
      </c>
      <c r="F71" s="5">
        <f>SUMIF('مشتريات أغسطس التفصيلية'!$I$4:$I$98,A71,'مشتريات أغسطس التفصيلية'!$H$4:$H$98)</f>
        <v/>
      </c>
      <c r="G71" s="5">
        <f>IF(C71="",E71,B71+E71)</f>
        <v/>
      </c>
      <c r="H71" s="5">
        <f>N(D71)+F71</f>
        <v/>
      </c>
      <c r="I71" s="6">
        <f>IF(G71&gt;0,ROUND(H71/G71,4),IF(C71="","",C71))</f>
        <v/>
      </c>
      <c r="J71" s="5" t="n">
        <v>0</v>
      </c>
      <c r="K71" s="5">
        <f>IF(I71="","",J71*I71)</f>
        <v/>
      </c>
      <c r="L71" s="7">
        <f>IF(OR(C71="",I71=""),"",I71/C71-1)</f>
        <v/>
      </c>
      <c r="M71" s="4" t="inlineStr"/>
    </row>
    <row r="72">
      <c r="A72" s="4" t="inlineStr">
        <is>
          <t>زيوت بسطرمه</t>
        </is>
      </c>
      <c r="B72" s="5" t="n">
        <v>7.4</v>
      </c>
      <c r="C72" s="6" t="n">
        <v>784.1353</v>
      </c>
      <c r="D72" s="5">
        <f>IF(C72="","",B72*C72)</f>
        <v/>
      </c>
      <c r="E72" s="5">
        <f>SUMIF('مشتريات أغسطس التفصيلية'!$I$4:$I$98,A72,'مشتريات أغسطس التفصيلية'!$F$4:$F$98)</f>
        <v/>
      </c>
      <c r="F72" s="5">
        <f>SUMIF('مشتريات أغسطس التفصيلية'!$I$4:$I$98,A72,'مشتريات أغسطس التفصيلية'!$H$4:$H$98)</f>
        <v/>
      </c>
      <c r="G72" s="5">
        <f>IF(C72="",E72,B72+E72)</f>
        <v/>
      </c>
      <c r="H72" s="5">
        <f>N(D72)+F72</f>
        <v/>
      </c>
      <c r="I72" s="6">
        <f>IF(G72&gt;0,ROUND(H72/G72,4),IF(C72="","",C72))</f>
        <v/>
      </c>
      <c r="J72" s="5" t="n">
        <v>6</v>
      </c>
      <c r="K72" s="5">
        <f>IF(I72="","",J72*I72)</f>
        <v/>
      </c>
      <c r="L72" s="7">
        <f>IF(OR(C72="",I72=""),"",I72/C72-1)</f>
        <v/>
      </c>
      <c r="M72" s="4" t="inlineStr">
        <is>
          <t>لا مشتريات فى أغسطس ⇒ السعر ثابت كما فى يوليو</t>
        </is>
      </c>
    </row>
    <row r="73">
      <c r="A73" s="4" t="inlineStr">
        <is>
          <t>ثوم بودر</t>
        </is>
      </c>
      <c r="B73" s="5" t="n">
        <v>0</v>
      </c>
      <c r="C73" s="6" t="n">
        <v>100</v>
      </c>
      <c r="D73" s="5">
        <f>IF(C73="","",B73*C73)</f>
        <v/>
      </c>
      <c r="E73" s="5">
        <f>SUMIF('مشتريات أغسطس التفصيلية'!$I$4:$I$98,A73,'مشتريات أغسطس التفصيلية'!$F$4:$F$98)</f>
        <v/>
      </c>
      <c r="F73" s="5">
        <f>SUMIF('مشتريات أغسطس التفصيلية'!$I$4:$I$98,A73,'مشتريات أغسطس التفصيلية'!$H$4:$H$98)</f>
        <v/>
      </c>
      <c r="G73" s="5">
        <f>IF(C73="",E73,B73+E73)</f>
        <v/>
      </c>
      <c r="H73" s="5">
        <f>N(D73)+F73</f>
        <v/>
      </c>
      <c r="I73" s="6">
        <f>IF(G73&gt;0,ROUND(H73/G73,4),IF(C73="","",C73))</f>
        <v/>
      </c>
      <c r="J73" s="5" t="n">
        <v>0</v>
      </c>
      <c r="K73" s="5">
        <f>IF(I73="","",J73*I73)</f>
        <v/>
      </c>
      <c r="L73" s="7">
        <f>IF(OR(C73="",I73=""),"",I73/C73-1)</f>
        <v/>
      </c>
      <c r="M73" s="4" t="inlineStr">
        <is>
          <t>لا مشتريات فى أغسطس ⇒ السعر ثابت كما فى يوليو</t>
        </is>
      </c>
    </row>
    <row r="74">
      <c r="A74" s="4" t="inlineStr">
        <is>
          <t>كامينا</t>
        </is>
      </c>
      <c r="B74" s="5" t="n">
        <v>5.7</v>
      </c>
      <c r="C74" s="6" t="n">
        <v>450</v>
      </c>
      <c r="D74" s="5">
        <f>IF(C74="","",B74*C74)</f>
        <v/>
      </c>
      <c r="E74" s="5">
        <f>SUMIF('مشتريات أغسطس التفصيلية'!$I$4:$I$98,A74,'مشتريات أغسطس التفصيلية'!$F$4:$F$98)</f>
        <v/>
      </c>
      <c r="F74" s="5">
        <f>SUMIF('مشتريات أغسطس التفصيلية'!$I$4:$I$98,A74,'مشتريات أغسطس التفصيلية'!$H$4:$H$98)</f>
        <v/>
      </c>
      <c r="G74" s="5">
        <f>IF(C74="",E74,B74+E74)</f>
        <v/>
      </c>
      <c r="H74" s="5">
        <f>N(D74)+F74</f>
        <v/>
      </c>
      <c r="I74" s="6">
        <f>IF(G74&gt;0,ROUND(H74/G74,4),IF(C74="","",C74))</f>
        <v/>
      </c>
      <c r="J74" s="5" t="n">
        <v>4.33</v>
      </c>
      <c r="K74" s="5">
        <f>IF(I74="","",J74*I74)</f>
        <v/>
      </c>
      <c r="L74" s="7">
        <f>IF(OR(C74="",I74=""),"",I74/C74-1)</f>
        <v/>
      </c>
      <c r="M74" s="4" t="inlineStr">
        <is>
          <t>لا مشتريات فى أغسطس ⇒ السعر ثابت كما فى يوليو</t>
        </is>
      </c>
    </row>
    <row r="75">
      <c r="A75" s="4" t="inlineStr">
        <is>
          <t>MX</t>
        </is>
      </c>
      <c r="B75" s="5" t="n">
        <v>28.6</v>
      </c>
      <c r="C75" s="6" t="n">
        <v>917.7929</v>
      </c>
      <c r="D75" s="5">
        <f>IF(C75="","",B75*C75)</f>
        <v/>
      </c>
      <c r="E75" s="5">
        <f>SUMIF('مشتريات أغسطس التفصيلية'!$I$4:$I$98,A75,'مشتريات أغسطس التفصيلية'!$F$4:$F$98)</f>
        <v/>
      </c>
      <c r="F75" s="5">
        <f>SUMIF('مشتريات أغسطس التفصيلية'!$I$4:$I$98,A75,'مشتريات أغسطس التفصيلية'!$H$4:$H$98)</f>
        <v/>
      </c>
      <c r="G75" s="5">
        <f>IF(C75="",E75,B75+E75)</f>
        <v/>
      </c>
      <c r="H75" s="5">
        <f>N(D75)+F75</f>
        <v/>
      </c>
      <c r="I75" s="6">
        <f>IF(G75&gt;0,ROUND(H75/G75,4),IF(C75="","",C75))</f>
        <v/>
      </c>
      <c r="J75" s="5" t="n">
        <v>34.6</v>
      </c>
      <c r="K75" s="5">
        <f>IF(I75="","",J75*I75)</f>
        <v/>
      </c>
      <c r="L75" s="7">
        <f>IF(OR(C75="",I75=""),"",I75/C75-1)</f>
        <v/>
      </c>
      <c r="M75" s="4" t="inlineStr">
        <is>
          <t>قياسى: (أول المدة + المشتريات)</t>
        </is>
      </c>
    </row>
    <row r="76">
      <c r="A76" s="4" t="inlineStr">
        <is>
          <t>زيت سجق</t>
        </is>
      </c>
      <c r="B76" s="5" t="n">
        <v>4.6</v>
      </c>
      <c r="C76" s="6" t="n">
        <v>580</v>
      </c>
      <c r="D76" s="5">
        <f>IF(C76="","",B76*C76)</f>
        <v/>
      </c>
      <c r="E76" s="5">
        <f>SUMIF('مشتريات أغسطس التفصيلية'!$I$4:$I$98,A76,'مشتريات أغسطس التفصيلية'!$F$4:$F$98)</f>
        <v/>
      </c>
      <c r="F76" s="5">
        <f>SUMIF('مشتريات أغسطس التفصيلية'!$I$4:$I$98,A76,'مشتريات أغسطس التفصيلية'!$H$4:$H$98)</f>
        <v/>
      </c>
      <c r="G76" s="5">
        <f>IF(C76="",E76,B76+E76)</f>
        <v/>
      </c>
      <c r="H76" s="5">
        <f>N(D76)+F76</f>
        <v/>
      </c>
      <c r="I76" s="6">
        <f>IF(G76&gt;0,ROUND(H76/G76,4),IF(C76="","",C76))</f>
        <v/>
      </c>
      <c r="J76" s="5" t="n">
        <v>2.399999999999999</v>
      </c>
      <c r="K76" s="5">
        <f>IF(I76="","",J76*I76)</f>
        <v/>
      </c>
      <c r="L76" s="7">
        <f>IF(OR(C76="",I76=""),"",I76/C76-1)</f>
        <v/>
      </c>
      <c r="M76" s="4" t="inlineStr">
        <is>
          <t>لا مشتريات فى أغسطس ⇒ السعر ثابت كما فى يوليو</t>
        </is>
      </c>
    </row>
    <row r="77">
      <c r="A77" s="4" t="inlineStr">
        <is>
          <t>كمينا ابيض</t>
        </is>
      </c>
      <c r="B77" s="5" t="n">
        <v>22</v>
      </c>
      <c r="C77" s="6" t="n">
        <v>260</v>
      </c>
      <c r="D77" s="5">
        <f>IF(C77="","",B77*C77)</f>
        <v/>
      </c>
      <c r="E77" s="5">
        <f>SUMIF('مشتريات أغسطس التفصيلية'!$I$4:$I$98,A77,'مشتريات أغسطس التفصيلية'!$F$4:$F$98)</f>
        <v/>
      </c>
      <c r="F77" s="5">
        <f>SUMIF('مشتريات أغسطس التفصيلية'!$I$4:$I$98,A77,'مشتريات أغسطس التفصيلية'!$H$4:$H$98)</f>
        <v/>
      </c>
      <c r="G77" s="5">
        <f>IF(C77="",E77,B77+E77)</f>
        <v/>
      </c>
      <c r="H77" s="5">
        <f>N(D77)+F77</f>
        <v/>
      </c>
      <c r="I77" s="6">
        <f>IF(G77&gt;0,ROUND(H77/G77,4),IF(C77="","",C77))</f>
        <v/>
      </c>
      <c r="J77" s="5" t="n">
        <v>18</v>
      </c>
      <c r="K77" s="5">
        <f>IF(I77="","",J77*I77)</f>
        <v/>
      </c>
      <c r="L77" s="7">
        <f>IF(OR(C77="",I77=""),"",I77/C77-1)</f>
        <v/>
      </c>
      <c r="M77" s="4" t="inlineStr">
        <is>
          <t>لا مشتريات فى أغسطس ⇒ السعر ثابت كما فى يوليو</t>
        </is>
      </c>
    </row>
    <row r="78">
      <c r="A78" s="8" t="inlineStr">
        <is>
          <t>كروت كبده شرائح 350</t>
        </is>
      </c>
      <c r="B78" s="5" t="n">
        <v>15393</v>
      </c>
      <c r="C78" s="6" t="n"/>
      <c r="D78" s="5">
        <f>IF(C78="","",B78*C78)</f>
        <v/>
      </c>
      <c r="E78" s="5">
        <f>SUMIF('مشتريات أغسطس التفصيلية'!$I$4:$I$98,A78,'مشتريات أغسطس التفصيلية'!$F$4:$F$98)</f>
        <v/>
      </c>
      <c r="F78" s="5">
        <f>SUMIF('مشتريات أغسطس التفصيلية'!$I$4:$I$98,A78,'مشتريات أغسطس التفصيلية'!$H$4:$H$98)</f>
        <v/>
      </c>
      <c r="G78" s="5">
        <f>IF(C78="",E78,B78+E78)</f>
        <v/>
      </c>
      <c r="H78" s="5">
        <f>N(D78)+F78</f>
        <v/>
      </c>
      <c r="I78" s="6">
        <f>IF(G78&gt;0,ROUND(H78/G78,4),IF(C78="","",C78))</f>
        <v/>
      </c>
      <c r="J78" s="5" t="n">
        <v>14451</v>
      </c>
      <c r="K78" s="5">
        <f>IF(I78="","",J78*I78)</f>
        <v/>
      </c>
      <c r="L78" s="7">
        <f>IF(OR(C78="",I78=""),"",I78/C78-1)</f>
        <v/>
      </c>
      <c r="M78" s="8" t="inlineStr">
        <is>
          <t>صنف بلا سعر مُثبت (لا سعر يوليو ولا مشتريات أغسطس) — يلزم إدخال سعر لتقييمه</t>
        </is>
      </c>
    </row>
    <row r="79">
      <c r="A79" s="4" t="inlineStr">
        <is>
          <t>اكياس افيز</t>
        </is>
      </c>
      <c r="B79" s="5" t="n">
        <v>280</v>
      </c>
      <c r="C79" s="6" t="n">
        <v>6.31</v>
      </c>
      <c r="D79" s="5">
        <f>IF(C79="","",B79*C79)</f>
        <v/>
      </c>
      <c r="E79" s="5">
        <f>SUMIF('مشتريات أغسطس التفصيلية'!$I$4:$I$98,A79,'مشتريات أغسطس التفصيلية'!$F$4:$F$98)</f>
        <v/>
      </c>
      <c r="F79" s="5">
        <f>SUMIF('مشتريات أغسطس التفصيلية'!$I$4:$I$98,A79,'مشتريات أغسطس التفصيلية'!$H$4:$H$98)</f>
        <v/>
      </c>
      <c r="G79" s="5">
        <f>IF(C79="",E79,B79+E79)</f>
        <v/>
      </c>
      <c r="H79" s="5">
        <f>N(D79)+F79</f>
        <v/>
      </c>
      <c r="I79" s="6">
        <f>IF(G79&gt;0,ROUND(H79/G79,4),IF(C79="","",C79))</f>
        <v/>
      </c>
      <c r="J79" s="5" t="n">
        <v>731</v>
      </c>
      <c r="K79" s="5">
        <f>IF(I79="","",J79*I79)</f>
        <v/>
      </c>
      <c r="L79" s="7">
        <f>IF(OR(C79="",I79=""),"",I79/C79-1)</f>
        <v/>
      </c>
      <c r="M79" s="4" t="inlineStr">
        <is>
          <t>قياسى: (أول المدة + المشتريات)</t>
        </is>
      </c>
    </row>
    <row r="80">
      <c r="A80" s="4" t="inlineStr">
        <is>
          <t>لازق</t>
        </is>
      </c>
      <c r="B80" s="5" t="n">
        <v>268</v>
      </c>
      <c r="C80" s="6" t="n">
        <v>30.2193</v>
      </c>
      <c r="D80" s="5">
        <f>IF(C80="","",B80*C80)</f>
        <v/>
      </c>
      <c r="E80" s="5">
        <f>SUMIF('مشتريات أغسطس التفصيلية'!$I$4:$I$98,A80,'مشتريات أغسطس التفصيلية'!$F$4:$F$98)</f>
        <v/>
      </c>
      <c r="F80" s="5">
        <f>SUMIF('مشتريات أغسطس التفصيلية'!$I$4:$I$98,A80,'مشتريات أغسطس التفصيلية'!$H$4:$H$98)</f>
        <v/>
      </c>
      <c r="G80" s="5">
        <f>IF(C80="",E80,B80+E80)</f>
        <v/>
      </c>
      <c r="H80" s="5">
        <f>N(D80)+F80</f>
        <v/>
      </c>
      <c r="I80" s="6">
        <f>IF(G80&gt;0,ROUND(H80/G80,4),IF(C80="","",C80))</f>
        <v/>
      </c>
      <c r="J80" s="5" t="n">
        <v>67</v>
      </c>
      <c r="K80" s="5">
        <f>IF(I80="","",J80*I80)</f>
        <v/>
      </c>
      <c r="L80" s="7">
        <f>IF(OR(C80="",I80=""),"",I80/C80-1)</f>
        <v/>
      </c>
      <c r="M80" s="4" t="inlineStr">
        <is>
          <t>لا مشتريات فى أغسطس ⇒ السعر ثابت كما فى يوليو</t>
        </is>
      </c>
    </row>
    <row r="81">
      <c r="A81" s="4" t="inlineStr">
        <is>
          <t>كراتين ابوهاشم</t>
        </is>
      </c>
      <c r="B81" s="5" t="n">
        <v>1467</v>
      </c>
      <c r="C81" s="6" t="n">
        <v>22.3768</v>
      </c>
      <c r="D81" s="5">
        <f>IF(C81="","",B81*C81)</f>
        <v/>
      </c>
      <c r="E81" s="5">
        <f>SUMIF('مشتريات أغسطس التفصيلية'!$I$4:$I$98,A81,'مشتريات أغسطس التفصيلية'!$F$4:$F$98)</f>
        <v/>
      </c>
      <c r="F81" s="5">
        <f>SUMIF('مشتريات أغسطس التفصيلية'!$I$4:$I$98,A81,'مشتريات أغسطس التفصيلية'!$H$4:$H$98)</f>
        <v/>
      </c>
      <c r="G81" s="5">
        <f>IF(C81="",E81,B81+E81)</f>
        <v/>
      </c>
      <c r="H81" s="5">
        <f>N(D81)+F81</f>
        <v/>
      </c>
      <c r="I81" s="6">
        <f>IF(G81&gt;0,ROUND(H81/G81,4),IF(C81="","",C81))</f>
        <v/>
      </c>
      <c r="J81" s="5" t="n">
        <v>1384</v>
      </c>
      <c r="K81" s="5">
        <f>IF(I81="","",J81*I81)</f>
        <v/>
      </c>
      <c r="L81" s="7">
        <f>IF(OR(C81="",I81=""),"",I81/C81-1)</f>
        <v/>
      </c>
      <c r="M81" s="4" t="inlineStr">
        <is>
          <t>لا مشتريات فى أغسطس ⇒ السعر ثابت كما فى يوليو</t>
        </is>
      </c>
    </row>
    <row r="82">
      <c r="A82" s="4" t="inlineStr">
        <is>
          <t>ورق برجر</t>
        </is>
      </c>
      <c r="B82" s="5" t="n">
        <v>640</v>
      </c>
      <c r="C82" s="6" t="n">
        <v>56.5</v>
      </c>
      <c r="D82" s="5">
        <f>IF(C82="","",B82*C82)</f>
        <v/>
      </c>
      <c r="E82" s="5">
        <f>SUMIF('مشتريات أغسطس التفصيلية'!$I$4:$I$98,A82,'مشتريات أغسطس التفصيلية'!$F$4:$F$98)</f>
        <v/>
      </c>
      <c r="F82" s="5">
        <f>SUMIF('مشتريات أغسطس التفصيلية'!$I$4:$I$98,A82,'مشتريات أغسطس التفصيلية'!$H$4:$H$98)</f>
        <v/>
      </c>
      <c r="G82" s="5">
        <f>IF(C82="",E82,B82+E82)</f>
        <v/>
      </c>
      <c r="H82" s="5">
        <f>N(D82)+F82</f>
        <v/>
      </c>
      <c r="I82" s="6">
        <f>IF(G82&gt;0,ROUND(H82/G82,4),IF(C82="","",C82))</f>
        <v/>
      </c>
      <c r="J82" s="5" t="n">
        <v>489</v>
      </c>
      <c r="K82" s="5">
        <f>IF(I82="","",J82*I82)</f>
        <v/>
      </c>
      <c r="L82" s="7">
        <f>IF(OR(C82="",I82=""),"",I82/C82-1)</f>
        <v/>
      </c>
      <c r="M82" s="4" t="inlineStr">
        <is>
          <t>لا مشتريات فى أغسطس ⇒ السعر ثابت كما فى يوليو</t>
        </is>
      </c>
    </row>
    <row r="83">
      <c r="A83" s="8" t="inlineStr">
        <is>
          <t>مزيل لماكينة التغليف</t>
        </is>
      </c>
      <c r="B83" s="5" t="n">
        <v>1</v>
      </c>
      <c r="C83" s="6" t="n"/>
      <c r="D83" s="5">
        <f>IF(C83="","",B83*C83)</f>
        <v/>
      </c>
      <c r="E83" s="5">
        <f>SUMIF('مشتريات أغسطس التفصيلية'!$I$4:$I$98,A83,'مشتريات أغسطس التفصيلية'!$F$4:$F$98)</f>
        <v/>
      </c>
      <c r="F83" s="5">
        <f>SUMIF('مشتريات أغسطس التفصيلية'!$I$4:$I$98,A83,'مشتريات أغسطس التفصيلية'!$H$4:$H$98)</f>
        <v/>
      </c>
      <c r="G83" s="5">
        <f>IF(C83="",E83,B83+E83)</f>
        <v/>
      </c>
      <c r="H83" s="5">
        <f>N(D83)+F83</f>
        <v/>
      </c>
      <c r="I83" s="6">
        <f>IF(G83&gt;0,ROUND(H83/G83,4),IF(C83="","",C83))</f>
        <v/>
      </c>
      <c r="J83" s="5" t="n">
        <v>1</v>
      </c>
      <c r="K83" s="5">
        <f>IF(I83="","",J83*I83)</f>
        <v/>
      </c>
      <c r="L83" s="7">
        <f>IF(OR(C83="",I83=""),"",I83/C83-1)</f>
        <v/>
      </c>
      <c r="M83" s="8" t="inlineStr">
        <is>
          <t>صنف بلا سعر مُثبت (لا سعر يوليو ولا مشتريات أغسطس) — يلزم إدخال سعر لتقييمه</t>
        </is>
      </c>
    </row>
    <row r="84">
      <c r="A84" s="4" t="inlineStr">
        <is>
          <t>اكياس برجر الهنا ص</t>
        </is>
      </c>
      <c r="B84" s="5" t="n">
        <v>469</v>
      </c>
      <c r="C84" s="6" t="n">
        <v>165</v>
      </c>
      <c r="D84" s="5">
        <f>IF(C84="","",B84*C84)</f>
        <v/>
      </c>
      <c r="E84" s="5">
        <f>SUMIF('مشتريات أغسطس التفصيلية'!$I$4:$I$98,A84,'مشتريات أغسطس التفصيلية'!$F$4:$F$98)</f>
        <v/>
      </c>
      <c r="F84" s="5">
        <f>SUMIF('مشتريات أغسطس التفصيلية'!$I$4:$I$98,A84,'مشتريات أغسطس التفصيلية'!$H$4:$H$98)</f>
        <v/>
      </c>
      <c r="G84" s="5">
        <f>IF(C84="",E84,B84+E84)</f>
        <v/>
      </c>
      <c r="H84" s="5">
        <f>N(D84)+F84</f>
        <v/>
      </c>
      <c r="I84" s="6">
        <f>IF(G84&gt;0,ROUND(H84/G84,4),IF(C84="","",C84))</f>
        <v/>
      </c>
      <c r="J84" s="5" t="n">
        <v>486</v>
      </c>
      <c r="K84" s="5">
        <f>IF(I84="","",J84*I84)</f>
        <v/>
      </c>
      <c r="L84" s="7">
        <f>IF(OR(C84="",I84=""),"",I84/C84-1)</f>
        <v/>
      </c>
      <c r="M84" s="4" t="inlineStr">
        <is>
          <t>قياسى: (أول المدة + المشتريات)</t>
        </is>
      </c>
    </row>
    <row r="85">
      <c r="A85" s="4" t="inlineStr">
        <is>
          <t>اكياس برجر الهنا ك</t>
        </is>
      </c>
      <c r="B85" s="5" t="n">
        <v>138</v>
      </c>
      <c r="C85" s="6" t="n">
        <v>165</v>
      </c>
      <c r="D85" s="5">
        <f>IF(C85="","",B85*C85)</f>
        <v/>
      </c>
      <c r="E85" s="5">
        <f>SUMIF('مشتريات أغسطس التفصيلية'!$I$4:$I$98,A85,'مشتريات أغسطس التفصيلية'!$F$4:$F$98)</f>
        <v/>
      </c>
      <c r="F85" s="5">
        <f>SUMIF('مشتريات أغسطس التفصيلية'!$I$4:$I$98,A85,'مشتريات أغسطس التفصيلية'!$H$4:$H$98)</f>
        <v/>
      </c>
      <c r="G85" s="5">
        <f>IF(C85="",E85,B85+E85)</f>
        <v/>
      </c>
      <c r="H85" s="5">
        <f>N(D85)+F85</f>
        <v/>
      </c>
      <c r="I85" s="6">
        <f>IF(G85&gt;0,ROUND(H85/G85,4),IF(C85="","",C85))</f>
        <v/>
      </c>
      <c r="J85" s="5" t="n">
        <v>159.5</v>
      </c>
      <c r="K85" s="5">
        <f>IF(I85="","",J85*I85)</f>
        <v/>
      </c>
      <c r="L85" s="7">
        <f>IF(OR(C85="",I85=""),"",I85/C85-1)</f>
        <v/>
      </c>
      <c r="M85" s="4" t="inlineStr">
        <is>
          <t>قياسى: (أول المدة + المشتريات)</t>
        </is>
      </c>
    </row>
    <row r="86">
      <c r="A86" s="4" t="inlineStr">
        <is>
          <t>اكياس كفتة الهنا ص</t>
        </is>
      </c>
      <c r="B86" s="5" t="n">
        <v>145</v>
      </c>
      <c r="C86" s="6" t="n">
        <v>165</v>
      </c>
      <c r="D86" s="5">
        <f>IF(C86="","",B86*C86)</f>
        <v/>
      </c>
      <c r="E86" s="5">
        <f>SUMIF('مشتريات أغسطس التفصيلية'!$I$4:$I$98,A86,'مشتريات أغسطس التفصيلية'!$F$4:$F$98)</f>
        <v/>
      </c>
      <c r="F86" s="5">
        <f>SUMIF('مشتريات أغسطس التفصيلية'!$I$4:$I$98,A86,'مشتريات أغسطس التفصيلية'!$H$4:$H$98)</f>
        <v/>
      </c>
      <c r="G86" s="5">
        <f>IF(C86="",E86,B86+E86)</f>
        <v/>
      </c>
      <c r="H86" s="5">
        <f>N(D86)+F86</f>
        <v/>
      </c>
      <c r="I86" s="6">
        <f>IF(G86&gt;0,ROUND(H86/G86,4),IF(C86="","",C86))</f>
        <v/>
      </c>
      <c r="J86" s="5" t="n">
        <v>177</v>
      </c>
      <c r="K86" s="5">
        <f>IF(I86="","",J86*I86)</f>
        <v/>
      </c>
      <c r="L86" s="7">
        <f>IF(OR(C86="",I86=""),"",I86/C86-1)</f>
        <v/>
      </c>
      <c r="M86" s="4" t="inlineStr">
        <is>
          <t>قياسى: (أول المدة + المشتريات)</t>
        </is>
      </c>
    </row>
    <row r="87">
      <c r="A87" s="4" t="inlineStr">
        <is>
          <t>اكياس كفته الهنا ك</t>
        </is>
      </c>
      <c r="B87" s="5" t="n">
        <v>577</v>
      </c>
      <c r="C87" s="6" t="n">
        <v>264.4955</v>
      </c>
      <c r="D87" s="5">
        <f>IF(C87="","",B87*C87)</f>
        <v/>
      </c>
      <c r="E87" s="5">
        <f>SUMIF('مشتريات أغسطس التفصيلية'!$I$4:$I$98,A87,'مشتريات أغسطس التفصيلية'!$F$4:$F$98)</f>
        <v/>
      </c>
      <c r="F87" s="5">
        <f>SUMIF('مشتريات أغسطس التفصيلية'!$I$4:$I$98,A87,'مشتريات أغسطس التفصيلية'!$H$4:$H$98)</f>
        <v/>
      </c>
      <c r="G87" s="5">
        <f>IF(C87="",E87,B87+E87)</f>
        <v/>
      </c>
      <c r="H87" s="5">
        <f>N(D87)+F87</f>
        <v/>
      </c>
      <c r="I87" s="6">
        <f>IF(G87&gt;0,ROUND(H87/G87,4),IF(C87="","",C87))</f>
        <v/>
      </c>
      <c r="J87" s="5" t="n">
        <v>570</v>
      </c>
      <c r="K87" s="5">
        <f>IF(I87="","",J87*I87)</f>
        <v/>
      </c>
      <c r="L87" s="7">
        <f>IF(OR(C87="",I87=""),"",I87/C87-1)</f>
        <v/>
      </c>
      <c r="M87" s="4" t="inlineStr">
        <is>
          <t>لا مشتريات فى أغسطس ⇒ السعر ثابت كما فى يوليو</t>
        </is>
      </c>
    </row>
    <row r="88">
      <c r="A88" s="4" t="inlineStr">
        <is>
          <t>اكياس مفروم3ك</t>
        </is>
      </c>
      <c r="B88" s="5" t="n">
        <v>45.6</v>
      </c>
      <c r="C88" s="6" t="n">
        <v>115</v>
      </c>
      <c r="D88" s="5">
        <f>IF(C88="","",B88*C88)</f>
        <v/>
      </c>
      <c r="E88" s="5">
        <f>SUMIF('مشتريات أغسطس التفصيلية'!$I$4:$I$98,A88,'مشتريات أغسطس التفصيلية'!$F$4:$F$98)</f>
        <v/>
      </c>
      <c r="F88" s="5">
        <f>SUMIF('مشتريات أغسطس التفصيلية'!$I$4:$I$98,A88,'مشتريات أغسطس التفصيلية'!$H$4:$H$98)</f>
        <v/>
      </c>
      <c r="G88" s="5">
        <f>IF(C88="",E88,B88+E88)</f>
        <v/>
      </c>
      <c r="H88" s="5">
        <f>N(D88)+F88</f>
        <v/>
      </c>
      <c r="I88" s="6">
        <f>IF(G88&gt;0,ROUND(H88/G88,4),IF(C88="","",C88))</f>
        <v/>
      </c>
      <c r="J88" s="5" t="n">
        <v>45.6</v>
      </c>
      <c r="K88" s="5">
        <f>IF(I88="","",J88*I88)</f>
        <v/>
      </c>
      <c r="L88" s="7">
        <f>IF(OR(C88="",I88=""),"",I88/C88-1)</f>
        <v/>
      </c>
      <c r="M88" s="4" t="inlineStr">
        <is>
          <t>لا مشتريات فى أغسطس ⇒ السعر ثابت كما فى يوليو</t>
        </is>
      </c>
    </row>
    <row r="89">
      <c r="A89" s="4" t="inlineStr">
        <is>
          <t>اكياس سجق الهنا ك</t>
        </is>
      </c>
      <c r="B89" s="5" t="n">
        <v>534.5</v>
      </c>
      <c r="C89" s="6" t="n">
        <v>165</v>
      </c>
      <c r="D89" s="5">
        <f>IF(C89="","",B89*C89)</f>
        <v/>
      </c>
      <c r="E89" s="5">
        <f>SUMIF('مشتريات أغسطس التفصيلية'!$I$4:$I$98,A89,'مشتريات أغسطس التفصيلية'!$F$4:$F$98)</f>
        <v/>
      </c>
      <c r="F89" s="5">
        <f>SUMIF('مشتريات أغسطس التفصيلية'!$I$4:$I$98,A89,'مشتريات أغسطس التفصيلية'!$H$4:$H$98)</f>
        <v/>
      </c>
      <c r="G89" s="5">
        <f>IF(C89="",E89,B89+E89)</f>
        <v/>
      </c>
      <c r="H89" s="5">
        <f>N(D89)+F89</f>
        <v/>
      </c>
      <c r="I89" s="6">
        <f>IF(G89&gt;0,ROUND(H89/G89,4),IF(C89="","",C89))</f>
        <v/>
      </c>
      <c r="J89" s="5" t="n">
        <v>524.7</v>
      </c>
      <c r="K89" s="5">
        <f>IF(I89="","",J89*I89)</f>
        <v/>
      </c>
      <c r="L89" s="7">
        <f>IF(OR(C89="",I89=""),"",I89/C89-1)</f>
        <v/>
      </c>
      <c r="M89" s="4" t="inlineStr">
        <is>
          <t>لا مشتريات فى أغسطس ⇒ السعر ثابت كما فى يوليو</t>
        </is>
      </c>
    </row>
    <row r="90">
      <c r="A90" s="4" t="inlineStr">
        <is>
          <t>اكياس سجق الهنا ص</t>
        </is>
      </c>
      <c r="B90" s="5" t="n">
        <v>45</v>
      </c>
      <c r="C90" s="6" t="n">
        <v>165</v>
      </c>
      <c r="D90" s="5">
        <f>IF(C90="","",B90*C90)</f>
        <v/>
      </c>
      <c r="E90" s="5">
        <f>SUMIF('مشتريات أغسطس التفصيلية'!$I$4:$I$98,A90,'مشتريات أغسطس التفصيلية'!$F$4:$F$98)</f>
        <v/>
      </c>
      <c r="F90" s="5">
        <f>SUMIF('مشتريات أغسطس التفصيلية'!$I$4:$I$98,A90,'مشتريات أغسطس التفصيلية'!$H$4:$H$98)</f>
        <v/>
      </c>
      <c r="G90" s="5">
        <f>IF(C90="",E90,B90+E90)</f>
        <v/>
      </c>
      <c r="H90" s="5">
        <f>N(D90)+F90</f>
        <v/>
      </c>
      <c r="I90" s="6">
        <f>IF(G90&gt;0,ROUND(H90/G90,4),IF(C90="","",C90))</f>
        <v/>
      </c>
      <c r="J90" s="5" t="n">
        <v>60.5</v>
      </c>
      <c r="K90" s="5">
        <f>IF(I90="","",J90*I90)</f>
        <v/>
      </c>
      <c r="L90" s="7">
        <f>IF(OR(C90="",I90=""),"",I90/C90-1)</f>
        <v/>
      </c>
      <c r="M90" s="4" t="inlineStr">
        <is>
          <t>قياسى: (أول المدة + المشتريات)</t>
        </is>
      </c>
    </row>
    <row r="91">
      <c r="A91" s="4" t="inlineStr">
        <is>
          <t>اكياس سجق ابوهاشم ك</t>
        </is>
      </c>
      <c r="B91" s="5" t="n">
        <v>377</v>
      </c>
      <c r="C91" s="6" t="n">
        <v>165</v>
      </c>
      <c r="D91" s="5">
        <f>IF(C91="","",B91*C91)</f>
        <v/>
      </c>
      <c r="E91" s="5">
        <f>SUMIF('مشتريات أغسطس التفصيلية'!$I$4:$I$98,A91,'مشتريات أغسطس التفصيلية'!$F$4:$F$98)</f>
        <v/>
      </c>
      <c r="F91" s="5">
        <f>SUMIF('مشتريات أغسطس التفصيلية'!$I$4:$I$98,A91,'مشتريات أغسطس التفصيلية'!$H$4:$H$98)</f>
        <v/>
      </c>
      <c r="G91" s="5">
        <f>IF(C91="",E91,B91+E91)</f>
        <v/>
      </c>
      <c r="H91" s="5">
        <f>N(D91)+F91</f>
        <v/>
      </c>
      <c r="I91" s="6">
        <f>IF(G91&gt;0,ROUND(H91/G91,4),IF(C91="","",C91))</f>
        <v/>
      </c>
      <c r="J91" s="5" t="n">
        <v>373</v>
      </c>
      <c r="K91" s="5">
        <f>IF(I91="","",J91*I91)</f>
        <v/>
      </c>
      <c r="L91" s="7">
        <f>IF(OR(C91="",I91=""),"",I91/C91-1)</f>
        <v/>
      </c>
      <c r="M91" s="4" t="inlineStr">
        <is>
          <t>لا مشتريات فى أغسطس ⇒ السعر ثابت كما فى يوليو</t>
        </is>
      </c>
    </row>
    <row r="92">
      <c r="A92" s="4" t="inlineStr">
        <is>
          <t>اكياس كفته ابوهاشم ك</t>
        </is>
      </c>
      <c r="B92" s="5" t="n">
        <v>12.54</v>
      </c>
      <c r="C92" s="6" t="n">
        <v>165</v>
      </c>
      <c r="D92" s="5">
        <f>IF(C92="","",B92*C92)</f>
        <v/>
      </c>
      <c r="E92" s="5">
        <f>SUMIF('مشتريات أغسطس التفصيلية'!$I$4:$I$98,A92,'مشتريات أغسطس التفصيلية'!$F$4:$F$98)</f>
        <v/>
      </c>
      <c r="F92" s="5">
        <f>SUMIF('مشتريات أغسطس التفصيلية'!$I$4:$I$98,A92,'مشتريات أغسطس التفصيلية'!$H$4:$H$98)</f>
        <v/>
      </c>
      <c r="G92" s="5">
        <f>IF(C92="",E92,B92+E92)</f>
        <v/>
      </c>
      <c r="H92" s="5">
        <f>N(D92)+F92</f>
        <v/>
      </c>
      <c r="I92" s="6">
        <f>IF(G92&gt;0,ROUND(H92/G92,4),IF(C92="","",C92))</f>
        <v/>
      </c>
      <c r="J92" s="5" t="n">
        <v>7</v>
      </c>
      <c r="K92" s="5">
        <f>IF(I92="","",J92*I92)</f>
        <v/>
      </c>
      <c r="L92" s="7">
        <f>IF(OR(C92="",I92=""),"",I92/C92-1)</f>
        <v/>
      </c>
      <c r="M92" s="4" t="inlineStr">
        <is>
          <t>لا مشتريات فى أغسطس ⇒ السعر ثابت كما فى يوليو</t>
        </is>
      </c>
    </row>
    <row r="93">
      <c r="A93" s="4" t="inlineStr">
        <is>
          <t>اكياس برجر ابوهاشم ص</t>
        </is>
      </c>
      <c r="B93" s="5" t="n">
        <v>4.85</v>
      </c>
      <c r="C93" s="6" t="n">
        <v>165</v>
      </c>
      <c r="D93" s="5">
        <f>IF(C93="","",B93*C93)</f>
        <v/>
      </c>
      <c r="E93" s="5">
        <f>SUMIF('مشتريات أغسطس التفصيلية'!$I$4:$I$98,A93,'مشتريات أغسطس التفصيلية'!$F$4:$F$98)</f>
        <v/>
      </c>
      <c r="F93" s="5">
        <f>SUMIF('مشتريات أغسطس التفصيلية'!$I$4:$I$98,A93,'مشتريات أغسطس التفصيلية'!$H$4:$H$98)</f>
        <v/>
      </c>
      <c r="G93" s="5">
        <f>IF(C93="",E93,B93+E93)</f>
        <v/>
      </c>
      <c r="H93" s="5">
        <f>N(D93)+F93</f>
        <v/>
      </c>
      <c r="I93" s="6">
        <f>IF(G93&gt;0,ROUND(H93/G93,4),IF(C93="","",C93))</f>
        <v/>
      </c>
      <c r="J93" s="5" t="n">
        <v>4.85</v>
      </c>
      <c r="K93" s="5">
        <f>IF(I93="","",J93*I93)</f>
        <v/>
      </c>
      <c r="L93" s="7">
        <f>IF(OR(C93="",I93=""),"",I93/C93-1)</f>
        <v/>
      </c>
      <c r="M93" s="4" t="inlineStr">
        <is>
          <t>لا مشتريات فى أغسطس ⇒ السعر ثابت كما فى يوليو</t>
        </is>
      </c>
    </row>
    <row r="94">
      <c r="A94" s="4" t="inlineStr">
        <is>
          <t>اكياس كفته ابوهاشم ص</t>
        </is>
      </c>
      <c r="B94" s="5" t="n">
        <v>74.8</v>
      </c>
      <c r="C94" s="6" t="n">
        <v>165</v>
      </c>
      <c r="D94" s="5">
        <f>IF(C94="","",B94*C94)</f>
        <v/>
      </c>
      <c r="E94" s="5">
        <f>SUMIF('مشتريات أغسطس التفصيلية'!$I$4:$I$98,A94,'مشتريات أغسطس التفصيلية'!$F$4:$F$98)</f>
        <v/>
      </c>
      <c r="F94" s="5">
        <f>SUMIF('مشتريات أغسطس التفصيلية'!$I$4:$I$98,A94,'مشتريات أغسطس التفصيلية'!$H$4:$H$98)</f>
        <v/>
      </c>
      <c r="G94" s="5">
        <f>IF(C94="",E94,B94+E94)</f>
        <v/>
      </c>
      <c r="H94" s="5">
        <f>N(D94)+F94</f>
        <v/>
      </c>
      <c r="I94" s="6">
        <f>IF(G94&gt;0,ROUND(H94/G94,4),IF(C94="","",C94))</f>
        <v/>
      </c>
      <c r="J94" s="5" t="n">
        <v>88.8</v>
      </c>
      <c r="K94" s="5">
        <f>IF(I94="","",J94*I94)</f>
        <v/>
      </c>
      <c r="L94" s="7">
        <f>IF(OR(C94="",I94=""),"",I94/C94-1)</f>
        <v/>
      </c>
      <c r="M94" s="4" t="inlineStr">
        <is>
          <t>لا مشتريات فى أغسطس ⇒ السعر ثابت كما فى يوليو</t>
        </is>
      </c>
    </row>
    <row r="95">
      <c r="A95" s="4" t="inlineStr">
        <is>
          <t>اكياس مفروم صافي</t>
        </is>
      </c>
      <c r="B95" s="5" t="n">
        <v>46</v>
      </c>
      <c r="C95" s="6" t="n">
        <v>165</v>
      </c>
      <c r="D95" s="5">
        <f>IF(C95="","",B95*C95)</f>
        <v/>
      </c>
      <c r="E95" s="5">
        <f>SUMIF('مشتريات أغسطس التفصيلية'!$I$4:$I$98,A95,'مشتريات أغسطس التفصيلية'!$F$4:$F$98)</f>
        <v/>
      </c>
      <c r="F95" s="5">
        <f>SUMIF('مشتريات أغسطس التفصيلية'!$I$4:$I$98,A95,'مشتريات أغسطس التفصيلية'!$H$4:$H$98)</f>
        <v/>
      </c>
      <c r="G95" s="5">
        <f>IF(C95="",E95,B95+E95)</f>
        <v/>
      </c>
      <c r="H95" s="5">
        <f>N(D95)+F95</f>
        <v/>
      </c>
      <c r="I95" s="6">
        <f>IF(G95&gt;0,ROUND(H95/G95,4),IF(C95="","",C95))</f>
        <v/>
      </c>
      <c r="J95" s="5" t="n">
        <v>46</v>
      </c>
      <c r="K95" s="5">
        <f>IF(I95="","",J95*I95)</f>
        <v/>
      </c>
      <c r="L95" s="7">
        <f>IF(OR(C95="",I95=""),"",I95/C95-1)</f>
        <v/>
      </c>
      <c r="M95" s="4" t="inlineStr">
        <is>
          <t>لا مشتريات فى أغسطس ⇒ السعر ثابت كما فى يوليو</t>
        </is>
      </c>
    </row>
    <row r="96">
      <c r="A96" s="4" t="inlineStr">
        <is>
          <t>اكياس مفروم صويا</t>
        </is>
      </c>
      <c r="B96" s="5" t="n">
        <v>0</v>
      </c>
      <c r="C96" s="6" t="n"/>
      <c r="D96" s="5">
        <f>IF(C96="","",B96*C96)</f>
        <v/>
      </c>
      <c r="E96" s="5">
        <f>SUMIF('مشتريات أغسطس التفصيلية'!$I$4:$I$98,A96,'مشتريات أغسطس التفصيلية'!$F$4:$F$98)</f>
        <v/>
      </c>
      <c r="F96" s="5">
        <f>SUMIF('مشتريات أغسطس التفصيلية'!$I$4:$I$98,A96,'مشتريات أغسطس التفصيلية'!$H$4:$H$98)</f>
        <v/>
      </c>
      <c r="G96" s="5">
        <f>IF(C96="",E96,B96+E96)</f>
        <v/>
      </c>
      <c r="H96" s="5">
        <f>N(D96)+F96</f>
        <v/>
      </c>
      <c r="I96" s="6">
        <f>IF(G96&gt;0,ROUND(H96/G96,4),IF(C96="","",C96))</f>
        <v/>
      </c>
      <c r="J96" s="5" t="n">
        <v>0</v>
      </c>
      <c r="K96" s="5">
        <f>IF(I96="","",J96*I96)</f>
        <v/>
      </c>
      <c r="L96" s="7">
        <f>IF(OR(C96="",I96=""),"",I96/C96-1)</f>
        <v/>
      </c>
      <c r="M96" s="4" t="inlineStr"/>
    </row>
    <row r="97">
      <c r="A97" s="4" t="inlineStr">
        <is>
          <t>اكياس سجق ابوهاشم 3ك</t>
        </is>
      </c>
      <c r="B97" s="5" t="n">
        <v>109</v>
      </c>
      <c r="C97" s="6" t="n">
        <v>119.4035</v>
      </c>
      <c r="D97" s="5">
        <f>IF(C97="","",B97*C97)</f>
        <v/>
      </c>
      <c r="E97" s="5">
        <f>SUMIF('مشتريات أغسطس التفصيلية'!$I$4:$I$98,A97,'مشتريات أغسطس التفصيلية'!$F$4:$F$98)</f>
        <v/>
      </c>
      <c r="F97" s="5">
        <f>SUMIF('مشتريات أغسطس التفصيلية'!$I$4:$I$98,A97,'مشتريات أغسطس التفصيلية'!$H$4:$H$98)</f>
        <v/>
      </c>
      <c r="G97" s="5">
        <f>IF(C97="",E97,B97+E97)</f>
        <v/>
      </c>
      <c r="H97" s="5">
        <f>N(D97)+F97</f>
        <v/>
      </c>
      <c r="I97" s="6">
        <f>IF(G97&gt;0,ROUND(H97/G97,4),IF(C97="","",C97))</f>
        <v/>
      </c>
      <c r="J97" s="5" t="n">
        <v>102</v>
      </c>
      <c r="K97" s="5">
        <f>IF(I97="","",J97*I97)</f>
        <v/>
      </c>
      <c r="L97" s="7">
        <f>IF(OR(C97="",I97=""),"",I97/C97-1)</f>
        <v/>
      </c>
      <c r="M97" s="4" t="inlineStr">
        <is>
          <t>لا مشتريات فى أغسطس ⇒ السعر ثابت كما فى يوليو</t>
        </is>
      </c>
    </row>
    <row r="98">
      <c r="A98" s="4" t="inlineStr">
        <is>
          <t>اكياس سجق ابو هاشم ص</t>
        </is>
      </c>
      <c r="B98" s="5" t="n">
        <v>40.1</v>
      </c>
      <c r="C98" s="6" t="n">
        <v>165</v>
      </c>
      <c r="D98" s="5">
        <f>IF(C98="","",B98*C98)</f>
        <v/>
      </c>
      <c r="E98" s="5">
        <f>SUMIF('مشتريات أغسطس التفصيلية'!$I$4:$I$98,A98,'مشتريات أغسطس التفصيلية'!$F$4:$F$98)</f>
        <v/>
      </c>
      <c r="F98" s="5">
        <f>SUMIF('مشتريات أغسطس التفصيلية'!$I$4:$I$98,A98,'مشتريات أغسطس التفصيلية'!$H$4:$H$98)</f>
        <v/>
      </c>
      <c r="G98" s="5">
        <f>IF(C98="",E98,B98+E98)</f>
        <v/>
      </c>
      <c r="H98" s="5">
        <f>N(D98)+F98</f>
        <v/>
      </c>
      <c r="I98" s="6">
        <f>IF(G98&gt;0,ROUND(H98/G98,4),IF(C98="","",C98))</f>
        <v/>
      </c>
      <c r="J98" s="5" t="n">
        <v>35.933</v>
      </c>
      <c r="K98" s="5">
        <f>IF(I98="","",J98*I98)</f>
        <v/>
      </c>
      <c r="L98" s="7">
        <f>IF(OR(C98="",I98=""),"",I98/C98-1)</f>
        <v/>
      </c>
      <c r="M98" s="4" t="inlineStr">
        <is>
          <t>لا مشتريات فى أغسطس ⇒ السعر ثابت كما فى يوليو</t>
        </is>
      </c>
    </row>
    <row r="99">
      <c r="A99" s="4" t="inlineStr">
        <is>
          <t>اكياس برجر ابوهاشم 1.5</t>
        </is>
      </c>
      <c r="B99" s="5" t="n">
        <v>9</v>
      </c>
      <c r="C99" s="6" t="n">
        <v>165</v>
      </c>
      <c r="D99" s="5">
        <f>IF(C99="","",B99*C99)</f>
        <v/>
      </c>
      <c r="E99" s="5">
        <f>SUMIF('مشتريات أغسطس التفصيلية'!$I$4:$I$98,A99,'مشتريات أغسطس التفصيلية'!$F$4:$F$98)</f>
        <v/>
      </c>
      <c r="F99" s="5">
        <f>SUMIF('مشتريات أغسطس التفصيلية'!$I$4:$I$98,A99,'مشتريات أغسطس التفصيلية'!$H$4:$H$98)</f>
        <v/>
      </c>
      <c r="G99" s="5">
        <f>IF(C99="",E99,B99+E99)</f>
        <v/>
      </c>
      <c r="H99" s="5">
        <f>N(D99)+F99</f>
        <v/>
      </c>
      <c r="I99" s="6">
        <f>IF(G99&gt;0,ROUND(H99/G99,4),IF(C99="","",C99))</f>
        <v/>
      </c>
      <c r="J99" s="5" t="n">
        <v>5.29</v>
      </c>
      <c r="K99" s="5">
        <f>IF(I99="","",J99*I99)</f>
        <v/>
      </c>
      <c r="L99" s="7">
        <f>IF(OR(C99="",I99=""),"",I99/C99-1)</f>
        <v/>
      </c>
      <c r="M99" s="4" t="inlineStr">
        <is>
          <t>لا مشتريات فى أغسطس ⇒ السعر ثابت كما فى يوليو</t>
        </is>
      </c>
    </row>
    <row r="100">
      <c r="A100" s="4" t="inlineStr">
        <is>
          <t>علب سوداء</t>
        </is>
      </c>
      <c r="B100" s="5" t="n">
        <v>754</v>
      </c>
      <c r="C100" s="6" t="n">
        <v>4.1162</v>
      </c>
      <c r="D100" s="5">
        <f>IF(C100="","",B100*C100)</f>
        <v/>
      </c>
      <c r="E100" s="5">
        <f>SUMIF('مشتريات أغسطس التفصيلية'!$I$4:$I$98,A100,'مشتريات أغسطس التفصيلية'!$F$4:$F$98)</f>
        <v/>
      </c>
      <c r="F100" s="5">
        <f>SUMIF('مشتريات أغسطس التفصيلية'!$I$4:$I$98,A100,'مشتريات أغسطس التفصيلية'!$H$4:$H$98)</f>
        <v/>
      </c>
      <c r="G100" s="5">
        <f>IF(C100="",E100,B100+E100)</f>
        <v/>
      </c>
      <c r="H100" s="5">
        <f>N(D100)+F100</f>
        <v/>
      </c>
      <c r="I100" s="6">
        <f>IF(G100&gt;0,ROUND(H100/G100,4),IF(C100="","",C100))</f>
        <v/>
      </c>
      <c r="J100" s="5" t="n">
        <v>140.474</v>
      </c>
      <c r="K100" s="5">
        <f>IF(I100="","",J100*I100)</f>
        <v/>
      </c>
      <c r="L100" s="7">
        <f>IF(OR(C100="",I100=""),"",I100/C100-1)</f>
        <v/>
      </c>
      <c r="M100" s="4" t="inlineStr">
        <is>
          <t>لا مشتريات فى أغسطس ⇒ السعر ثابت كما فى يوليو</t>
        </is>
      </c>
    </row>
    <row r="101">
      <c r="A101" s="4" t="inlineStr">
        <is>
          <t>اطباق 1/2</t>
        </is>
      </c>
      <c r="B101" s="5" t="n">
        <v>32850</v>
      </c>
      <c r="C101" s="6" t="n">
        <v>0.483</v>
      </c>
      <c r="D101" s="5">
        <f>IF(C101="","",B101*C101)</f>
        <v/>
      </c>
      <c r="E101" s="5">
        <f>SUMIF('مشتريات أغسطس التفصيلية'!$I$4:$I$98,A101,'مشتريات أغسطس التفصيلية'!$F$4:$F$98)</f>
        <v/>
      </c>
      <c r="F101" s="5">
        <f>SUMIF('مشتريات أغسطس التفصيلية'!$I$4:$I$98,A101,'مشتريات أغسطس التفصيلية'!$H$4:$H$98)</f>
        <v/>
      </c>
      <c r="G101" s="5">
        <f>IF(C101="",E101,B101+E101)</f>
        <v/>
      </c>
      <c r="H101" s="5">
        <f>N(D101)+F101</f>
        <v/>
      </c>
      <c r="I101" s="6">
        <f>IF(G101&gt;0,ROUND(H101/G101,4),IF(C101="","",C101))</f>
        <v/>
      </c>
      <c r="J101" s="5" t="n">
        <v>44700</v>
      </c>
      <c r="K101" s="5">
        <f>IF(I101="","",J101*I101)</f>
        <v/>
      </c>
      <c r="L101" s="7">
        <f>IF(OR(C101="",I101=""),"",I101/C101-1)</f>
        <v/>
      </c>
      <c r="M101" s="4" t="inlineStr">
        <is>
          <t>قياسى: (أول المدة + المشتريات)</t>
        </is>
      </c>
    </row>
    <row r="102">
      <c r="A102" s="4" t="inlineStr">
        <is>
          <t>اطباق 3/4</t>
        </is>
      </c>
      <c r="B102" s="5" t="n">
        <v>18300</v>
      </c>
      <c r="C102" s="6" t="n">
        <v>0.5391</v>
      </c>
      <c r="D102" s="5">
        <f>IF(C102="","",B102*C102)</f>
        <v/>
      </c>
      <c r="E102" s="5">
        <f>SUMIF('مشتريات أغسطس التفصيلية'!$I$4:$I$98,A102,'مشتريات أغسطس التفصيلية'!$F$4:$F$98)</f>
        <v/>
      </c>
      <c r="F102" s="5">
        <f>SUMIF('مشتريات أغسطس التفصيلية'!$I$4:$I$98,A102,'مشتريات أغسطس التفصيلية'!$H$4:$H$98)</f>
        <v/>
      </c>
      <c r="G102" s="5">
        <f>IF(C102="",E102,B102+E102)</f>
        <v/>
      </c>
      <c r="H102" s="5">
        <f>N(D102)+F102</f>
        <v/>
      </c>
      <c r="I102" s="6">
        <f>IF(G102&gt;0,ROUND(H102/G102,4),IF(C102="","",C102))</f>
        <v/>
      </c>
      <c r="J102" s="5" t="n">
        <v>21200</v>
      </c>
      <c r="K102" s="5">
        <f>IF(I102="","",J102*I102)</f>
        <v/>
      </c>
      <c r="L102" s="7">
        <f>IF(OR(C102="",I102=""),"",I102/C102-1)</f>
        <v/>
      </c>
      <c r="M102" s="4" t="inlineStr">
        <is>
          <t>قياسى: (أول المدة + المشتريات)</t>
        </is>
      </c>
    </row>
    <row r="103">
      <c r="A103" s="4" t="inlineStr">
        <is>
          <t>فرش البرجر 11*11</t>
        </is>
      </c>
      <c r="B103" s="5" t="n">
        <v>15.25</v>
      </c>
      <c r="C103" s="6" t="n">
        <v>112.9513</v>
      </c>
      <c r="D103" s="5">
        <f>IF(C103="","",B103*C103)</f>
        <v/>
      </c>
      <c r="E103" s="5">
        <f>SUMIF('مشتريات أغسطس التفصيلية'!$I$4:$I$98,A103,'مشتريات أغسطس التفصيلية'!$F$4:$F$98)</f>
        <v/>
      </c>
      <c r="F103" s="5">
        <f>SUMIF('مشتريات أغسطس التفصيلية'!$I$4:$I$98,A103,'مشتريات أغسطس التفصيلية'!$H$4:$H$98)</f>
        <v/>
      </c>
      <c r="G103" s="5">
        <f>IF(C103="",E103,B103+E103)</f>
        <v/>
      </c>
      <c r="H103" s="5">
        <f>N(D103)+F103</f>
        <v/>
      </c>
      <c r="I103" s="6">
        <f>IF(G103&gt;0,ROUND(H103/G103,4),IF(C103="","",C103))</f>
        <v/>
      </c>
      <c r="J103" s="5" t="n">
        <v>260</v>
      </c>
      <c r="K103" s="5">
        <f>IF(I103="","",J103*I103)</f>
        <v/>
      </c>
      <c r="L103" s="7">
        <f>IF(OR(C103="",I103=""),"",I103/C103-1)</f>
        <v/>
      </c>
      <c r="M103" s="4" t="inlineStr">
        <is>
          <t>قياسى: (أول المدة + المشتريات)</t>
        </is>
      </c>
    </row>
    <row r="104">
      <c r="A104" s="4" t="inlineStr">
        <is>
          <t>اكياس سجق الهنا 5ك</t>
        </is>
      </c>
      <c r="B104" s="5" t="n">
        <v>78.5</v>
      </c>
      <c r="C104" s="6" t="n">
        <v>115</v>
      </c>
      <c r="D104" s="5">
        <f>IF(C104="","",B104*C104)</f>
        <v/>
      </c>
      <c r="E104" s="5">
        <f>SUMIF('مشتريات أغسطس التفصيلية'!$I$4:$I$98,A104,'مشتريات أغسطس التفصيلية'!$F$4:$F$98)</f>
        <v/>
      </c>
      <c r="F104" s="5">
        <f>SUMIF('مشتريات أغسطس التفصيلية'!$I$4:$I$98,A104,'مشتريات أغسطس التفصيلية'!$H$4:$H$98)</f>
        <v/>
      </c>
      <c r="G104" s="5">
        <f>IF(C104="",E104,B104+E104)</f>
        <v/>
      </c>
      <c r="H104" s="5">
        <f>N(D104)+F104</f>
        <v/>
      </c>
      <c r="I104" s="6">
        <f>IF(G104&gt;0,ROUND(H104/G104,4),IF(C104="","",C104))</f>
        <v/>
      </c>
      <c r="J104" s="5" t="n">
        <v>68.59999999999999</v>
      </c>
      <c r="K104" s="5">
        <f>IF(I104="","",J104*I104)</f>
        <v/>
      </c>
      <c r="L104" s="7">
        <f>IF(OR(C104="",I104=""),"",I104/C104-1)</f>
        <v/>
      </c>
      <c r="M104" s="4" t="inlineStr">
        <is>
          <t>لا مشتريات فى أغسطس ⇒ السعر ثابت كما فى يوليو</t>
        </is>
      </c>
    </row>
    <row r="105">
      <c r="A105" s="4" t="inlineStr">
        <is>
          <t>فرش كفته</t>
        </is>
      </c>
      <c r="B105" s="5" t="n">
        <v>13.65</v>
      </c>
      <c r="C105" s="6" t="n">
        <v>105.1189</v>
      </c>
      <c r="D105" s="5">
        <f>IF(C105="","",B105*C105)</f>
        <v/>
      </c>
      <c r="E105" s="5">
        <f>SUMIF('مشتريات أغسطس التفصيلية'!$I$4:$I$98,A105,'مشتريات أغسطس التفصيلية'!$F$4:$F$98)</f>
        <v/>
      </c>
      <c r="F105" s="5">
        <f>SUMIF('مشتريات أغسطس التفصيلية'!$I$4:$I$98,A105,'مشتريات أغسطس التفصيلية'!$H$4:$H$98)</f>
        <v/>
      </c>
      <c r="G105" s="5">
        <f>IF(C105="",E105,B105+E105)</f>
        <v/>
      </c>
      <c r="H105" s="5">
        <f>N(D105)+F105</f>
        <v/>
      </c>
      <c r="I105" s="6">
        <f>IF(G105&gt;0,ROUND(H105/G105,4),IF(C105="","",C105))</f>
        <v/>
      </c>
      <c r="J105" s="5" t="n">
        <v>51.90000000000001</v>
      </c>
      <c r="K105" s="5">
        <f>IF(I105="","",J105*I105)</f>
        <v/>
      </c>
      <c r="L105" s="7">
        <f>IF(OR(C105="",I105=""),"",I105/C105-1)</f>
        <v/>
      </c>
      <c r="M105" s="4" t="inlineStr">
        <is>
          <t>قياسى: (أول المدة + المشتريات)</t>
        </is>
      </c>
    </row>
    <row r="106">
      <c r="A106" s="4" t="inlineStr">
        <is>
          <t>فرش برانيك</t>
        </is>
      </c>
      <c r="B106" s="5" t="n">
        <v>75</v>
      </c>
      <c r="C106" s="6" t="n">
        <v>102.1166</v>
      </c>
      <c r="D106" s="5">
        <f>IF(C106="","",B106*C106)</f>
        <v/>
      </c>
      <c r="E106" s="5">
        <f>SUMIF('مشتريات أغسطس التفصيلية'!$I$4:$I$98,A106,'مشتريات أغسطس التفصيلية'!$F$4:$F$98)</f>
        <v/>
      </c>
      <c r="F106" s="5">
        <f>SUMIF('مشتريات أغسطس التفصيلية'!$I$4:$I$98,A106,'مشتريات أغسطس التفصيلية'!$H$4:$H$98)</f>
        <v/>
      </c>
      <c r="G106" s="5">
        <f>IF(C106="",E106,B106+E106)</f>
        <v/>
      </c>
      <c r="H106" s="5">
        <f>N(D106)+F106</f>
        <v/>
      </c>
      <c r="I106" s="6">
        <f>IF(G106&gt;0,ROUND(H106/G106,4),IF(C106="","",C106))</f>
        <v/>
      </c>
      <c r="J106" s="5" t="n">
        <v>48.65000000000001</v>
      </c>
      <c r="K106" s="5">
        <f>IF(I106="","",J106*I106)</f>
        <v/>
      </c>
      <c r="L106" s="7">
        <f>IF(OR(C106="",I106=""),"",I106/C106-1)</f>
        <v/>
      </c>
      <c r="M106" s="4" t="inlineStr">
        <is>
          <t>لا مشتريات فى أغسطس ⇒ السعر ثابت كما فى يوليو</t>
        </is>
      </c>
    </row>
    <row r="107">
      <c r="A107" s="4" t="inlineStr">
        <is>
          <t>اكياس كبده 3ك</t>
        </is>
      </c>
      <c r="B107" s="5" t="n">
        <v>21.3</v>
      </c>
      <c r="C107" s="6" t="n">
        <v>115</v>
      </c>
      <c r="D107" s="5">
        <f>IF(C107="","",B107*C107)</f>
        <v/>
      </c>
      <c r="E107" s="5">
        <f>SUMIF('مشتريات أغسطس التفصيلية'!$I$4:$I$98,A107,'مشتريات أغسطس التفصيلية'!$F$4:$F$98)</f>
        <v/>
      </c>
      <c r="F107" s="5">
        <f>SUMIF('مشتريات أغسطس التفصيلية'!$I$4:$I$98,A107,'مشتريات أغسطس التفصيلية'!$H$4:$H$98)</f>
        <v/>
      </c>
      <c r="G107" s="5">
        <f>IF(C107="",E107,B107+E107)</f>
        <v/>
      </c>
      <c r="H107" s="5">
        <f>N(D107)+F107</f>
        <v/>
      </c>
      <c r="I107" s="6">
        <f>IF(G107&gt;0,ROUND(H107/G107,4),IF(C107="","",C107))</f>
        <v/>
      </c>
      <c r="J107" s="5" t="n">
        <v>21.3</v>
      </c>
      <c r="K107" s="5">
        <f>IF(I107="","",J107*I107)</f>
        <v/>
      </c>
      <c r="L107" s="7">
        <f>IF(OR(C107="",I107=""),"",I107/C107-1)</f>
        <v/>
      </c>
      <c r="M107" s="4" t="inlineStr">
        <is>
          <t>لا مشتريات فى أغسطس ⇒ السعر ثابت كما فى يوليو</t>
        </is>
      </c>
    </row>
    <row r="108">
      <c r="A108" s="8" t="inlineStr">
        <is>
          <t>كروت مفروم صويا ازرق 350</t>
        </is>
      </c>
      <c r="B108" s="5" t="n">
        <v>2000</v>
      </c>
      <c r="C108" s="6" t="n"/>
      <c r="D108" s="5">
        <f>IF(C108="","",B108*C108)</f>
        <v/>
      </c>
      <c r="E108" s="5">
        <f>SUMIF('مشتريات أغسطس التفصيلية'!$I$4:$I$98,A108,'مشتريات أغسطس التفصيلية'!$F$4:$F$98)</f>
        <v/>
      </c>
      <c r="F108" s="5">
        <f>SUMIF('مشتريات أغسطس التفصيلية'!$I$4:$I$98,A108,'مشتريات أغسطس التفصيلية'!$H$4:$H$98)</f>
        <v/>
      </c>
      <c r="G108" s="5">
        <f>IF(C108="",E108,B108+E108)</f>
        <v/>
      </c>
      <c r="H108" s="5">
        <f>N(D108)+F108</f>
        <v/>
      </c>
      <c r="I108" s="6">
        <f>IF(G108&gt;0,ROUND(H108/G108,4),IF(C108="","",C108))</f>
        <v/>
      </c>
      <c r="J108" s="5" t="n">
        <v>2000</v>
      </c>
      <c r="K108" s="5">
        <f>IF(I108="","",J108*I108)</f>
        <v/>
      </c>
      <c r="L108" s="7">
        <f>IF(OR(C108="",I108=""),"",I108/C108-1)</f>
        <v/>
      </c>
      <c r="M108" s="8" t="inlineStr">
        <is>
          <t>صنف بلا سعر مُثبت (لا سعر يوليو ولا مشتريات أغسطس) — يلزم إدخال سعر لتقييمه</t>
        </is>
      </c>
    </row>
    <row r="109">
      <c r="A109" s="8" t="inlineStr">
        <is>
          <t>كروت مفروم صافي 350</t>
        </is>
      </c>
      <c r="B109" s="5" t="n">
        <v>9707</v>
      </c>
      <c r="C109" s="6" t="n"/>
      <c r="D109" s="5">
        <f>IF(C109="","",B109*C109)</f>
        <v/>
      </c>
      <c r="E109" s="5">
        <f>SUMIF('مشتريات أغسطس التفصيلية'!$I$4:$I$98,A109,'مشتريات أغسطس التفصيلية'!$F$4:$F$98)</f>
        <v/>
      </c>
      <c r="F109" s="5">
        <f>SUMIF('مشتريات أغسطس التفصيلية'!$I$4:$I$98,A109,'مشتريات أغسطس التفصيلية'!$H$4:$H$98)</f>
        <v/>
      </c>
      <c r="G109" s="5">
        <f>IF(C109="",E109,B109+E109)</f>
        <v/>
      </c>
      <c r="H109" s="5">
        <f>N(D109)+F109</f>
        <v/>
      </c>
      <c r="I109" s="6">
        <f>IF(G109&gt;0,ROUND(H109/G109,4),IF(C109="","",C109))</f>
        <v/>
      </c>
      <c r="J109" s="5" t="n">
        <v>9225</v>
      </c>
      <c r="K109" s="5">
        <f>IF(I109="","",J109*I109)</f>
        <v/>
      </c>
      <c r="L109" s="7">
        <f>IF(OR(C109="",I109=""),"",I109/C109-1)</f>
        <v/>
      </c>
      <c r="M109" s="8" t="inlineStr">
        <is>
          <t>صنف بلا سعر مُثبت (لا سعر يوليو ولا مشتريات أغسطس) — يلزم إدخال سعر لتقييمه</t>
        </is>
      </c>
    </row>
    <row r="110">
      <c r="A110" s="8" t="inlineStr">
        <is>
          <t>كروت مفروم صويا 350</t>
        </is>
      </c>
      <c r="B110" s="5" t="n">
        <v>9399</v>
      </c>
      <c r="C110" s="6" t="n"/>
      <c r="D110" s="5">
        <f>IF(C110="","",B110*C110)</f>
        <v/>
      </c>
      <c r="E110" s="5">
        <f>SUMIF('مشتريات أغسطس التفصيلية'!$I$4:$I$98,A110,'مشتريات أغسطس التفصيلية'!$F$4:$F$98)</f>
        <v/>
      </c>
      <c r="F110" s="5">
        <f>SUMIF('مشتريات أغسطس التفصيلية'!$I$4:$I$98,A110,'مشتريات أغسطس التفصيلية'!$H$4:$H$98)</f>
        <v/>
      </c>
      <c r="G110" s="5">
        <f>IF(C110="",E110,B110+E110)</f>
        <v/>
      </c>
      <c r="H110" s="5">
        <f>N(D110)+F110</f>
        <v/>
      </c>
      <c r="I110" s="6">
        <f>IF(G110&gt;0,ROUND(H110/G110,4),IF(C110="","",C110))</f>
        <v/>
      </c>
      <c r="J110" s="5" t="n">
        <v>8786</v>
      </c>
      <c r="K110" s="5">
        <f>IF(I110="","",J110*I110)</f>
        <v/>
      </c>
      <c r="L110" s="7">
        <f>IF(OR(C110="",I110=""),"",I110/C110-1)</f>
        <v/>
      </c>
      <c r="M110" s="8" t="inlineStr">
        <is>
          <t>صنف بلا سعر مُثبت (لا سعر يوليو ولا مشتريات أغسطس) — يلزم إدخال سعر لتقييمه</t>
        </is>
      </c>
    </row>
    <row r="111">
      <c r="A111" s="4" t="inlineStr">
        <is>
          <t>اكياس بانيه الهنا</t>
        </is>
      </c>
      <c r="B111" s="5" t="n">
        <v>592.5</v>
      </c>
      <c r="C111" s="6" t="n">
        <v>165</v>
      </c>
      <c r="D111" s="5">
        <f>IF(C111="","",B111*C111)</f>
        <v/>
      </c>
      <c r="E111" s="5">
        <f>SUMIF('مشتريات أغسطس التفصيلية'!$I$4:$I$98,A111,'مشتريات أغسطس التفصيلية'!$F$4:$F$98)</f>
        <v/>
      </c>
      <c r="F111" s="5">
        <f>SUMIF('مشتريات أغسطس التفصيلية'!$I$4:$I$98,A111,'مشتريات أغسطس التفصيلية'!$H$4:$H$98)</f>
        <v/>
      </c>
      <c r="G111" s="5">
        <f>IF(C111="",E111,B111+E111)</f>
        <v/>
      </c>
      <c r="H111" s="5">
        <f>N(D111)+F111</f>
        <v/>
      </c>
      <c r="I111" s="6">
        <f>IF(G111&gt;0,ROUND(H111/G111,4),IF(C111="","",C111))</f>
        <v/>
      </c>
      <c r="J111" s="5" t="n">
        <v>673.5</v>
      </c>
      <c r="K111" s="5">
        <f>IF(I111="","",J111*I111)</f>
        <v/>
      </c>
      <c r="L111" s="7">
        <f>IF(OR(C111="",I111=""),"",I111/C111-1)</f>
        <v/>
      </c>
      <c r="M111" s="4" t="inlineStr">
        <is>
          <t>لا مشتريات فى أغسطس ⇒ السعر ثابت كما فى يوليو</t>
        </is>
      </c>
    </row>
    <row r="112">
      <c r="A112" s="4" t="inlineStr">
        <is>
          <t>اكياس s.p شفاف برجر</t>
        </is>
      </c>
      <c r="B112" s="5" t="n">
        <v>13.8</v>
      </c>
      <c r="C112" s="6" t="n">
        <v>165</v>
      </c>
      <c r="D112" s="5">
        <f>IF(C112="","",B112*C112)</f>
        <v/>
      </c>
      <c r="E112" s="5">
        <f>SUMIF('مشتريات أغسطس التفصيلية'!$I$4:$I$98,A112,'مشتريات أغسطس التفصيلية'!$F$4:$F$98)</f>
        <v/>
      </c>
      <c r="F112" s="5">
        <f>SUMIF('مشتريات أغسطس التفصيلية'!$I$4:$I$98,A112,'مشتريات أغسطس التفصيلية'!$H$4:$H$98)</f>
        <v/>
      </c>
      <c r="G112" s="5">
        <f>IF(C112="",E112,B112+E112)</f>
        <v/>
      </c>
      <c r="H112" s="5">
        <f>N(D112)+F112</f>
        <v/>
      </c>
      <c r="I112" s="6">
        <f>IF(G112&gt;0,ROUND(H112/G112,4),IF(C112="","",C112))</f>
        <v/>
      </c>
      <c r="J112" s="5" t="n">
        <v>13.8</v>
      </c>
      <c r="K112" s="5">
        <f>IF(I112="","",J112*I112)</f>
        <v/>
      </c>
      <c r="L112" s="7">
        <f>IF(OR(C112="",I112=""),"",I112/C112-1)</f>
        <v/>
      </c>
      <c r="M112" s="4" t="inlineStr">
        <is>
          <t>لا مشتريات فى أغسطس ⇒ السعر ثابت كما فى يوليو</t>
        </is>
      </c>
    </row>
    <row r="113">
      <c r="A113" s="4" t="inlineStr">
        <is>
          <t>اكياس برجر ابوهاشم 1ك</t>
        </is>
      </c>
      <c r="B113" s="5" t="n">
        <v>50</v>
      </c>
      <c r="C113" s="6" t="n">
        <v>165</v>
      </c>
      <c r="D113" s="5">
        <f>IF(C113="","",B113*C113)</f>
        <v/>
      </c>
      <c r="E113" s="5">
        <f>SUMIF('مشتريات أغسطس التفصيلية'!$I$4:$I$98,A113,'مشتريات أغسطس التفصيلية'!$F$4:$F$98)</f>
        <v/>
      </c>
      <c r="F113" s="5">
        <f>SUMIF('مشتريات أغسطس التفصيلية'!$I$4:$I$98,A113,'مشتريات أغسطس التفصيلية'!$H$4:$H$98)</f>
        <v/>
      </c>
      <c r="G113" s="5">
        <f>IF(C113="",E113,B113+E113)</f>
        <v/>
      </c>
      <c r="H113" s="5">
        <f>N(D113)+F113</f>
        <v/>
      </c>
      <c r="I113" s="6">
        <f>IF(G113&gt;0,ROUND(H113/G113,4),IF(C113="","",C113))</f>
        <v/>
      </c>
      <c r="J113" s="5" t="n">
        <v>2036</v>
      </c>
      <c r="K113" s="5">
        <f>IF(I113="","",J113*I113)</f>
        <v/>
      </c>
      <c r="L113" s="7">
        <f>IF(OR(C113="",I113=""),"",I113/C113-1)</f>
        <v/>
      </c>
      <c r="M113" s="4" t="inlineStr">
        <is>
          <t>لا مشتريات فى أغسطس ⇒ السعر ثابت كما فى يوليو</t>
        </is>
      </c>
    </row>
    <row r="114">
      <c r="A114" s="4" t="inlineStr">
        <is>
          <t>اكياس سجق s.p صغير</t>
        </is>
      </c>
      <c r="B114" s="5" t="n">
        <v>200</v>
      </c>
      <c r="C114" s="6" t="n">
        <v>165</v>
      </c>
      <c r="D114" s="5">
        <f>IF(C114="","",B114*C114)</f>
        <v/>
      </c>
      <c r="E114" s="5">
        <f>SUMIF('مشتريات أغسطس التفصيلية'!$I$4:$I$98,A114,'مشتريات أغسطس التفصيلية'!$F$4:$F$98)</f>
        <v/>
      </c>
      <c r="F114" s="5">
        <f>SUMIF('مشتريات أغسطس التفصيلية'!$I$4:$I$98,A114,'مشتريات أغسطس التفصيلية'!$H$4:$H$98)</f>
        <v/>
      </c>
      <c r="G114" s="5">
        <f>IF(C114="",E114,B114+E114)</f>
        <v/>
      </c>
      <c r="H114" s="5">
        <f>N(D114)+F114</f>
        <v/>
      </c>
      <c r="I114" s="6">
        <f>IF(G114&gt;0,ROUND(H114/G114,4),IF(C114="","",C114))</f>
        <v/>
      </c>
      <c r="J114" s="5" t="n">
        <v>146.128</v>
      </c>
      <c r="K114" s="5">
        <f>IF(I114="","",J114*I114)</f>
        <v/>
      </c>
      <c r="L114" s="7">
        <f>IF(OR(C114="",I114=""),"",I114/C114-1)</f>
        <v/>
      </c>
      <c r="M114" s="4" t="inlineStr">
        <is>
          <t>لا مشتريات فى أغسطس ⇒ السعر ثابت كما فى يوليو</t>
        </is>
      </c>
    </row>
    <row r="115">
      <c r="A115" s="4" t="inlineStr">
        <is>
          <t>اكياس سجق s.p كبير</t>
        </is>
      </c>
      <c r="B115" s="5" t="n">
        <v>366</v>
      </c>
      <c r="C115" s="6" t="n">
        <v>165</v>
      </c>
      <c r="D115" s="5">
        <f>IF(C115="","",B115*C115)</f>
        <v/>
      </c>
      <c r="E115" s="5">
        <f>SUMIF('مشتريات أغسطس التفصيلية'!$I$4:$I$98,A115,'مشتريات أغسطس التفصيلية'!$F$4:$F$98)</f>
        <v/>
      </c>
      <c r="F115" s="5">
        <f>SUMIF('مشتريات أغسطس التفصيلية'!$I$4:$I$98,A115,'مشتريات أغسطس التفصيلية'!$H$4:$H$98)</f>
        <v/>
      </c>
      <c r="G115" s="5">
        <f>IF(C115="",E115,B115+E115)</f>
        <v/>
      </c>
      <c r="H115" s="5">
        <f>N(D115)+F115</f>
        <v/>
      </c>
      <c r="I115" s="6">
        <f>IF(G115&gt;0,ROUND(H115/G115,4),IF(C115="","",C115))</f>
        <v/>
      </c>
      <c r="J115" s="5" t="n">
        <v>288.3</v>
      </c>
      <c r="K115" s="5">
        <f>IF(I115="","",J115*I115)</f>
        <v/>
      </c>
      <c r="L115" s="7">
        <f>IF(OR(C115="",I115=""),"",I115/C115-1)</f>
        <v/>
      </c>
      <c r="M115" s="4" t="inlineStr">
        <is>
          <t>لا مشتريات فى أغسطس ⇒ السعر ثابت كما فى يوليو</t>
        </is>
      </c>
    </row>
    <row r="116">
      <c r="A116" s="4" t="inlineStr">
        <is>
          <t>اكياس برجر s.p صغير</t>
        </is>
      </c>
      <c r="B116" s="5" t="n">
        <v>288.35</v>
      </c>
      <c r="C116" s="6" t="n">
        <v>231.916</v>
      </c>
      <c r="D116" s="5">
        <f>IF(C116="","",B116*C116)</f>
        <v/>
      </c>
      <c r="E116" s="5">
        <f>SUMIF('مشتريات أغسطس التفصيلية'!$I$4:$I$98,A116,'مشتريات أغسطس التفصيلية'!$F$4:$F$98)</f>
        <v/>
      </c>
      <c r="F116" s="5">
        <f>SUMIF('مشتريات أغسطس التفصيلية'!$I$4:$I$98,A116,'مشتريات أغسطس التفصيلية'!$H$4:$H$98)</f>
        <v/>
      </c>
      <c r="G116" s="5">
        <f>IF(C116="",E116,B116+E116)</f>
        <v/>
      </c>
      <c r="H116" s="5">
        <f>N(D116)+F116</f>
        <v/>
      </c>
      <c r="I116" s="6">
        <f>IF(G116&gt;0,ROUND(H116/G116,4),IF(C116="","",C116))</f>
        <v/>
      </c>
      <c r="J116" s="5" t="n">
        <v>359.95</v>
      </c>
      <c r="K116" s="5">
        <f>IF(I116="","",J116*I116)</f>
        <v/>
      </c>
      <c r="L116" s="7">
        <f>IF(OR(C116="",I116=""),"",I116/C116-1)</f>
        <v/>
      </c>
      <c r="M116" s="4" t="inlineStr">
        <is>
          <t>لا مشتريات فى أغسطس ⇒ السعر ثابت كما فى يوليو</t>
        </is>
      </c>
    </row>
    <row r="117">
      <c r="A117" s="4" t="inlineStr">
        <is>
          <t>اكياس كفته s.p صغير</t>
        </is>
      </c>
      <c r="B117" s="5" t="n">
        <v>479.15</v>
      </c>
      <c r="C117" s="6" t="n">
        <v>245.3606</v>
      </c>
      <c r="D117" s="5">
        <f>IF(C117="","",B117*C117)</f>
        <v/>
      </c>
      <c r="E117" s="5">
        <f>SUMIF('مشتريات أغسطس التفصيلية'!$I$4:$I$98,A117,'مشتريات أغسطس التفصيلية'!$F$4:$F$98)</f>
        <v/>
      </c>
      <c r="F117" s="5">
        <f>SUMIF('مشتريات أغسطس التفصيلية'!$I$4:$I$98,A117,'مشتريات أغسطس التفصيلية'!$H$4:$H$98)</f>
        <v/>
      </c>
      <c r="G117" s="5">
        <f>IF(C117="",E117,B117+E117)</f>
        <v/>
      </c>
      <c r="H117" s="5">
        <f>N(D117)+F117</f>
        <v/>
      </c>
      <c r="I117" s="6">
        <f>IF(G117&gt;0,ROUND(H117/G117,4),IF(C117="","",C117))</f>
        <v/>
      </c>
      <c r="J117" s="5" t="n">
        <v>532.95</v>
      </c>
      <c r="K117" s="5">
        <f>IF(I117="","",J117*I117)</f>
        <v/>
      </c>
      <c r="L117" s="7">
        <f>IF(OR(C117="",I117=""),"",I117/C117-1)</f>
        <v/>
      </c>
      <c r="M117" s="4" t="inlineStr">
        <is>
          <t>لا مشتريات فى أغسطس ⇒ السعر ثابت كما فى يوليو</t>
        </is>
      </c>
    </row>
    <row r="118">
      <c r="A118" s="4" t="inlineStr">
        <is>
          <t>اكياس كفته s.p كبير</t>
        </is>
      </c>
      <c r="B118" s="5" t="n">
        <v>800.5</v>
      </c>
      <c r="C118" s="6" t="n">
        <v>165</v>
      </c>
      <c r="D118" s="5">
        <f>IF(C118="","",B118*C118)</f>
        <v/>
      </c>
      <c r="E118" s="5">
        <f>SUMIF('مشتريات أغسطس التفصيلية'!$I$4:$I$98,A118,'مشتريات أغسطس التفصيلية'!$F$4:$F$98)</f>
        <v/>
      </c>
      <c r="F118" s="5">
        <f>SUMIF('مشتريات أغسطس التفصيلية'!$I$4:$I$98,A118,'مشتريات أغسطس التفصيلية'!$H$4:$H$98)</f>
        <v/>
      </c>
      <c r="G118" s="5">
        <f>IF(C118="",E118,B118+E118)</f>
        <v/>
      </c>
      <c r="H118" s="5">
        <f>N(D118)+F118</f>
        <v/>
      </c>
      <c r="I118" s="6">
        <f>IF(G118&gt;0,ROUND(H118/G118,4),IF(C118="","",C118))</f>
        <v/>
      </c>
      <c r="J118" s="5" t="n">
        <v>768</v>
      </c>
      <c r="K118" s="5">
        <f>IF(I118="","",J118*I118)</f>
        <v/>
      </c>
      <c r="L118" s="7">
        <f>IF(OR(C118="",I118=""),"",I118/C118-1)</f>
        <v/>
      </c>
      <c r="M118" s="4" t="inlineStr">
        <is>
          <t>لا مشتريات فى أغسطس ⇒ السعر ثابت كما فى يوليو</t>
        </is>
      </c>
    </row>
    <row r="119">
      <c r="A119" s="4" t="inlineStr">
        <is>
          <t>اكياس برجر s.p كبير</t>
        </is>
      </c>
      <c r="B119" s="5" t="n">
        <v>161.2</v>
      </c>
      <c r="C119" s="6" t="n">
        <v>165</v>
      </c>
      <c r="D119" s="5">
        <f>IF(C119="","",B119*C119)</f>
        <v/>
      </c>
      <c r="E119" s="5">
        <f>SUMIF('مشتريات أغسطس التفصيلية'!$I$4:$I$98,A119,'مشتريات أغسطس التفصيلية'!$F$4:$F$98)</f>
        <v/>
      </c>
      <c r="F119" s="5">
        <f>SUMIF('مشتريات أغسطس التفصيلية'!$I$4:$I$98,A119,'مشتريات أغسطس التفصيلية'!$H$4:$H$98)</f>
        <v/>
      </c>
      <c r="G119" s="5">
        <f>IF(C119="",E119,B119+E119)</f>
        <v/>
      </c>
      <c r="H119" s="5">
        <f>N(D119)+F119</f>
        <v/>
      </c>
      <c r="I119" s="6">
        <f>IF(G119&gt;0,ROUND(H119/G119,4),IF(C119="","",C119))</f>
        <v/>
      </c>
      <c r="J119" s="5" t="n">
        <v>823.3</v>
      </c>
      <c r="K119" s="5">
        <f>IF(I119="","",J119*I119)</f>
        <v/>
      </c>
      <c r="L119" s="7">
        <f>IF(OR(C119="",I119=""),"",I119/C119-1)</f>
        <v/>
      </c>
      <c r="M119" s="4" t="inlineStr">
        <is>
          <t>قياسى: (أول المدة + المشتريات)</t>
        </is>
      </c>
    </row>
    <row r="120">
      <c r="A120" s="4" t="inlineStr">
        <is>
          <t>اكياس بانيه s.p</t>
        </is>
      </c>
      <c r="B120" s="5" t="n">
        <v>192</v>
      </c>
      <c r="C120" s="6" t="n">
        <v>165</v>
      </c>
      <c r="D120" s="5">
        <f>IF(C120="","",B120*C120)</f>
        <v/>
      </c>
      <c r="E120" s="5">
        <f>SUMIF('مشتريات أغسطس التفصيلية'!$I$4:$I$98,A120,'مشتريات أغسطس التفصيلية'!$F$4:$F$98)</f>
        <v/>
      </c>
      <c r="F120" s="5">
        <f>SUMIF('مشتريات أغسطس التفصيلية'!$I$4:$I$98,A120,'مشتريات أغسطس التفصيلية'!$H$4:$H$98)</f>
        <v/>
      </c>
      <c r="G120" s="5">
        <f>IF(C120="",E120,B120+E120)</f>
        <v/>
      </c>
      <c r="H120" s="5">
        <f>N(D120)+F120</f>
        <v/>
      </c>
      <c r="I120" s="6">
        <f>IF(G120&gt;0,ROUND(H120/G120,4),IF(C120="","",C120))</f>
        <v/>
      </c>
      <c r="J120" s="5" t="n">
        <v>274.8</v>
      </c>
      <c r="K120" s="5">
        <f>IF(I120="","",J120*I120)</f>
        <v/>
      </c>
      <c r="L120" s="7">
        <f>IF(OR(C120="",I120=""),"",I120/C120-1)</f>
        <v/>
      </c>
      <c r="M120" s="4" t="inlineStr">
        <is>
          <t>لا مشتريات فى أغسطس ⇒ السعر ثابت كما فى يوليو</t>
        </is>
      </c>
    </row>
    <row r="121">
      <c r="A121" s="8" t="inlineStr">
        <is>
          <t>طبق مسطح 1/2 شفاف</t>
        </is>
      </c>
      <c r="B121" s="5" t="n">
        <v>1450</v>
      </c>
      <c r="C121" s="6" t="n"/>
      <c r="D121" s="5">
        <f>IF(C121="","",B121*C121)</f>
        <v/>
      </c>
      <c r="E121" s="5">
        <f>SUMIF('مشتريات أغسطس التفصيلية'!$I$4:$I$98,A121,'مشتريات أغسطس التفصيلية'!$F$4:$F$98)</f>
        <v/>
      </c>
      <c r="F121" s="5">
        <f>SUMIF('مشتريات أغسطس التفصيلية'!$I$4:$I$98,A121,'مشتريات أغسطس التفصيلية'!$H$4:$H$98)</f>
        <v/>
      </c>
      <c r="G121" s="5">
        <f>IF(C121="",E121,B121+E121)</f>
        <v/>
      </c>
      <c r="H121" s="5">
        <f>N(D121)+F121</f>
        <v/>
      </c>
      <c r="I121" s="6">
        <f>IF(G121&gt;0,ROUND(H121/G121,4),IF(C121="","",C121))</f>
        <v/>
      </c>
      <c r="J121" s="5" t="n">
        <v>14</v>
      </c>
      <c r="K121" s="5">
        <f>IF(I121="","",J121*I121)</f>
        <v/>
      </c>
      <c r="L121" s="7">
        <f>IF(OR(C121="",I121=""),"",I121/C121-1)</f>
        <v/>
      </c>
      <c r="M121" s="8" t="inlineStr">
        <is>
          <t>صنف بلا سعر مُثبت (لا سعر يوليو ولا مشتريات أغسطس) — يلزم إدخال سعر لتقييمه</t>
        </is>
      </c>
    </row>
    <row r="122">
      <c r="A122" s="8" t="inlineStr">
        <is>
          <t>طبق مسطح 3/4شفاف</t>
        </is>
      </c>
      <c r="B122" s="5" t="n">
        <v>1406</v>
      </c>
      <c r="C122" s="6" t="n"/>
      <c r="D122" s="5">
        <f>IF(C122="","",B122*C122)</f>
        <v/>
      </c>
      <c r="E122" s="5">
        <f>SUMIF('مشتريات أغسطس التفصيلية'!$I$4:$I$98,A122,'مشتريات أغسطس التفصيلية'!$F$4:$F$98)</f>
        <v/>
      </c>
      <c r="F122" s="5">
        <f>SUMIF('مشتريات أغسطس التفصيلية'!$I$4:$I$98,A122,'مشتريات أغسطس التفصيلية'!$H$4:$H$98)</f>
        <v/>
      </c>
      <c r="G122" s="5">
        <f>IF(C122="",E122,B122+E122)</f>
        <v/>
      </c>
      <c r="H122" s="5">
        <f>N(D122)+F122</f>
        <v/>
      </c>
      <c r="I122" s="6">
        <f>IF(G122&gt;0,ROUND(H122/G122,4),IF(C122="","",C122))</f>
        <v/>
      </c>
      <c r="J122" s="5" t="n">
        <v>827</v>
      </c>
      <c r="K122" s="5">
        <f>IF(I122="","",J122*I122)</f>
        <v/>
      </c>
      <c r="L122" s="7">
        <f>IF(OR(C122="",I122=""),"",I122/C122-1)</f>
        <v/>
      </c>
      <c r="M122" s="8" t="inlineStr">
        <is>
          <t>صنف بلا سعر مُثبت (لا سعر يوليو ولا مشتريات أغسطس) — يلزم إدخال سعر لتقييمه</t>
        </is>
      </c>
    </row>
    <row r="123">
      <c r="A123" s="8" t="inlineStr">
        <is>
          <t>أكياس استربس ص SP</t>
        </is>
      </c>
      <c r="B123" s="5" t="n">
        <v>1.5</v>
      </c>
      <c r="C123" s="6" t="n"/>
      <c r="D123" s="5">
        <f>IF(C123="","",B123*C123)</f>
        <v/>
      </c>
      <c r="E123" s="5">
        <f>SUMIF('مشتريات أغسطس التفصيلية'!$I$4:$I$98,A123,'مشتريات أغسطس التفصيلية'!$F$4:$F$98)</f>
        <v/>
      </c>
      <c r="F123" s="5">
        <f>SUMIF('مشتريات أغسطس التفصيلية'!$I$4:$I$98,A123,'مشتريات أغسطس التفصيلية'!$H$4:$H$98)</f>
        <v/>
      </c>
      <c r="G123" s="5">
        <f>IF(C123="",E123,B123+E123)</f>
        <v/>
      </c>
      <c r="H123" s="5">
        <f>N(D123)+F123</f>
        <v/>
      </c>
      <c r="I123" s="6">
        <f>IF(G123&gt;0,ROUND(H123/G123,4),IF(C123="","",C123))</f>
        <v/>
      </c>
      <c r="J123" s="5" t="n">
        <v>379</v>
      </c>
      <c r="K123" s="5">
        <f>IF(I123="","",J123*I123)</f>
        <v/>
      </c>
      <c r="L123" s="7">
        <f>IF(OR(C123="",I123=""),"",I123/C123-1)</f>
        <v/>
      </c>
      <c r="M123" s="8" t="inlineStr">
        <is>
          <t>صنف بلا سعر مُثبت (لا سعر يوليو ولا مشتريات أغسطس) — يلزم إدخال سعر لتقييمه</t>
        </is>
      </c>
    </row>
    <row r="124">
      <c r="A124" s="4" t="inlineStr">
        <is>
          <t>كراتين s.p ابيض</t>
        </is>
      </c>
      <c r="B124" s="5" t="n">
        <v>0</v>
      </c>
      <c r="C124" s="6" t="n"/>
      <c r="D124" s="5">
        <f>IF(C124="","",B124*C124)</f>
        <v/>
      </c>
      <c r="E124" s="5">
        <f>SUMIF('مشتريات أغسطس التفصيلية'!$I$4:$I$98,A124,'مشتريات أغسطس التفصيلية'!$F$4:$F$98)</f>
        <v/>
      </c>
      <c r="F124" s="5">
        <f>SUMIF('مشتريات أغسطس التفصيلية'!$I$4:$I$98,A124,'مشتريات أغسطس التفصيلية'!$H$4:$H$98)</f>
        <v/>
      </c>
      <c r="G124" s="5">
        <f>IF(C124="",E124,B124+E124)</f>
        <v/>
      </c>
      <c r="H124" s="5">
        <f>N(D124)+F124</f>
        <v/>
      </c>
      <c r="I124" s="6">
        <f>IF(G124&gt;0,ROUND(H124/G124,4),IF(C124="","",C124))</f>
        <v/>
      </c>
      <c r="J124" s="5" t="n">
        <v>0</v>
      </c>
      <c r="K124" s="5">
        <f>IF(I124="","",J124*I124)</f>
        <v/>
      </c>
      <c r="L124" s="7">
        <f>IF(OR(C124="",I124=""),"",I124/C124-1)</f>
        <v/>
      </c>
      <c r="M124" s="4" t="inlineStr">
        <is>
          <t>لا رصيد أول مدة مُسعّر ⇒ المتوسط = متوسط سعر الشراء</t>
        </is>
      </c>
    </row>
    <row r="125">
      <c r="A125" s="4" t="inlineStr">
        <is>
          <t>علب بلاستيك شفاف</t>
        </is>
      </c>
      <c r="B125" s="5" t="n">
        <v>2450</v>
      </c>
      <c r="C125" s="6" t="n">
        <v>2.6373</v>
      </c>
      <c r="D125" s="5">
        <f>IF(C125="","",B125*C125)</f>
        <v/>
      </c>
      <c r="E125" s="5">
        <f>SUMIF('مشتريات أغسطس التفصيلية'!$I$4:$I$98,A125,'مشتريات أغسطس التفصيلية'!$F$4:$F$98)</f>
        <v/>
      </c>
      <c r="F125" s="5">
        <f>SUMIF('مشتريات أغسطس التفصيلية'!$I$4:$I$98,A125,'مشتريات أغسطس التفصيلية'!$H$4:$H$98)</f>
        <v/>
      </c>
      <c r="G125" s="5">
        <f>IF(C125="",E125,B125+E125)</f>
        <v/>
      </c>
      <c r="H125" s="5">
        <f>N(D125)+F125</f>
        <v/>
      </c>
      <c r="I125" s="6">
        <f>IF(G125&gt;0,ROUND(H125/G125,4),IF(C125="","",C125))</f>
        <v/>
      </c>
      <c r="J125" s="5" t="n">
        <v>1073</v>
      </c>
      <c r="K125" s="5">
        <f>IF(I125="","",J125*I125)</f>
        <v/>
      </c>
      <c r="L125" s="7">
        <f>IF(OR(C125="",I125=""),"",I125/C125-1)</f>
        <v/>
      </c>
      <c r="M125" s="4" t="inlineStr">
        <is>
          <t>لا مشتريات فى أغسطس ⇒ السعر ثابت كما فى يوليو</t>
        </is>
      </c>
    </row>
    <row r="126">
      <c r="A126" s="4" t="inlineStr">
        <is>
          <t>اكياس كفته 3ك ابوهاشم</t>
        </is>
      </c>
      <c r="B126" s="5" t="n">
        <v>0</v>
      </c>
      <c r="C126" s="6" t="n"/>
      <c r="D126" s="5">
        <f>IF(C126="","",B126*C126)</f>
        <v/>
      </c>
      <c r="E126" s="5">
        <f>SUMIF('مشتريات أغسطس التفصيلية'!$I$4:$I$98,A126,'مشتريات أغسطس التفصيلية'!$F$4:$F$98)</f>
        <v/>
      </c>
      <c r="F126" s="5">
        <f>SUMIF('مشتريات أغسطس التفصيلية'!$I$4:$I$98,A126,'مشتريات أغسطس التفصيلية'!$H$4:$H$98)</f>
        <v/>
      </c>
      <c r="G126" s="5">
        <f>IF(C126="",E126,B126+E126)</f>
        <v/>
      </c>
      <c r="H126" s="5">
        <f>N(D126)+F126</f>
        <v/>
      </c>
      <c r="I126" s="6">
        <f>IF(G126&gt;0,ROUND(H126/G126,4),IF(C126="","",C126))</f>
        <v/>
      </c>
      <c r="J126" s="5" t="n">
        <v>0</v>
      </c>
      <c r="K126" s="5">
        <f>IF(I126="","",J126*I126)</f>
        <v/>
      </c>
      <c r="L126" s="7">
        <f>IF(OR(C126="",I126=""),"",I126/C126-1)</f>
        <v/>
      </c>
      <c r="M126" s="4" t="inlineStr"/>
    </row>
    <row r="127">
      <c r="A127" s="4" t="inlineStr">
        <is>
          <t>أكياس استربس الهنا ص</t>
        </is>
      </c>
      <c r="B127" s="5" t="n">
        <v>11.8</v>
      </c>
      <c r="C127" s="6" t="n">
        <v>119.5355</v>
      </c>
      <c r="D127" s="5">
        <f>IF(C127="","",B127*C127)</f>
        <v/>
      </c>
      <c r="E127" s="5">
        <f>SUMIF('مشتريات أغسطس التفصيلية'!$I$4:$I$98,A127,'مشتريات أغسطس التفصيلية'!$F$4:$F$98)</f>
        <v/>
      </c>
      <c r="F127" s="5">
        <f>SUMIF('مشتريات أغسطس التفصيلية'!$I$4:$I$98,A127,'مشتريات أغسطس التفصيلية'!$H$4:$H$98)</f>
        <v/>
      </c>
      <c r="G127" s="5">
        <f>IF(C127="",E127,B127+E127)</f>
        <v/>
      </c>
      <c r="H127" s="5">
        <f>N(D127)+F127</f>
        <v/>
      </c>
      <c r="I127" s="6">
        <f>IF(G127&gt;0,ROUND(H127/G127,4),IF(C127="","",C127))</f>
        <v/>
      </c>
      <c r="J127" s="5" t="n">
        <v>11.8</v>
      </c>
      <c r="K127" s="5">
        <f>IF(I127="","",J127*I127)</f>
        <v/>
      </c>
      <c r="L127" s="7">
        <f>IF(OR(C127="",I127=""),"",I127/C127-1)</f>
        <v/>
      </c>
      <c r="M127" s="4" t="inlineStr">
        <is>
          <t>لا مشتريات فى أغسطس ⇒ السعر ثابت كما فى يوليو</t>
        </is>
      </c>
    </row>
    <row r="128">
      <c r="A128" s="4" t="inlineStr">
        <is>
          <t>اكياس عجينه بقري 5كيلو اسبيشيال</t>
        </is>
      </c>
      <c r="B128" s="5" t="n">
        <v>114.25</v>
      </c>
      <c r="C128" s="6" t="n">
        <v>115</v>
      </c>
      <c r="D128" s="5">
        <f>IF(C128="","",B128*C128)</f>
        <v/>
      </c>
      <c r="E128" s="5">
        <f>SUMIF('مشتريات أغسطس التفصيلية'!$I$4:$I$98,A128,'مشتريات أغسطس التفصيلية'!$F$4:$F$98)</f>
        <v/>
      </c>
      <c r="F128" s="5">
        <f>SUMIF('مشتريات أغسطس التفصيلية'!$I$4:$I$98,A128,'مشتريات أغسطس التفصيلية'!$H$4:$H$98)</f>
        <v/>
      </c>
      <c r="G128" s="5">
        <f>IF(C128="",E128,B128+E128)</f>
        <v/>
      </c>
      <c r="H128" s="5">
        <f>N(D128)+F128</f>
        <v/>
      </c>
      <c r="I128" s="6">
        <f>IF(G128&gt;0,ROUND(H128/G128,4),IF(C128="","",C128))</f>
        <v/>
      </c>
      <c r="J128" s="5" t="n">
        <v>112.878</v>
      </c>
      <c r="K128" s="5">
        <f>IF(I128="","",J128*I128)</f>
        <v/>
      </c>
      <c r="L128" s="7">
        <f>IF(OR(C128="",I128=""),"",I128/C128-1)</f>
        <v/>
      </c>
      <c r="M128" s="4" t="inlineStr">
        <is>
          <t>لا مشتريات فى أغسطس ⇒ السعر ثابت كما فى يوليو</t>
        </is>
      </c>
    </row>
    <row r="129">
      <c r="A129" s="4" t="inlineStr">
        <is>
          <t>اكياس سجق اسبيشيال كيلو5</t>
        </is>
      </c>
      <c r="B129" s="5" t="n">
        <v>128.63</v>
      </c>
      <c r="C129" s="6" t="n">
        <v>115</v>
      </c>
      <c r="D129" s="5">
        <f>IF(C129="","",B129*C129)</f>
        <v/>
      </c>
      <c r="E129" s="5">
        <f>SUMIF('مشتريات أغسطس التفصيلية'!$I$4:$I$98,A129,'مشتريات أغسطس التفصيلية'!$F$4:$F$98)</f>
        <v/>
      </c>
      <c r="F129" s="5">
        <f>SUMIF('مشتريات أغسطس التفصيلية'!$I$4:$I$98,A129,'مشتريات أغسطس التفصيلية'!$H$4:$H$98)</f>
        <v/>
      </c>
      <c r="G129" s="5">
        <f>IF(C129="",E129,B129+E129)</f>
        <v/>
      </c>
      <c r="H129" s="5">
        <f>N(D129)+F129</f>
        <v/>
      </c>
      <c r="I129" s="6">
        <f>IF(G129&gt;0,ROUND(H129/G129,4),IF(C129="","",C129))</f>
        <v/>
      </c>
      <c r="J129" s="5" t="n">
        <v>128.63</v>
      </c>
      <c r="K129" s="5">
        <f>IF(I129="","",J129*I129)</f>
        <v/>
      </c>
      <c r="L129" s="7">
        <f>IF(OR(C129="",I129=""),"",I129/C129-1)</f>
        <v/>
      </c>
      <c r="M129" s="4" t="inlineStr">
        <is>
          <t>لا مشتريات فى أغسطس ⇒ السعر ثابت كما فى يوليو</t>
        </is>
      </c>
    </row>
    <row r="130">
      <c r="A130" s="4" t="inlineStr">
        <is>
          <t>اكياس عرض نايلون(60*90)</t>
        </is>
      </c>
      <c r="B130" s="5" t="n">
        <v>0</v>
      </c>
      <c r="C130" s="6" t="n"/>
      <c r="D130" s="5">
        <f>IF(C130="","",B130*C130)</f>
        <v/>
      </c>
      <c r="E130" s="5">
        <f>SUMIF('مشتريات أغسطس التفصيلية'!$I$4:$I$98,A130,'مشتريات أغسطس التفصيلية'!$F$4:$F$98)</f>
        <v/>
      </c>
      <c r="F130" s="5">
        <f>SUMIF('مشتريات أغسطس التفصيلية'!$I$4:$I$98,A130,'مشتريات أغسطس التفصيلية'!$H$4:$H$98)</f>
        <v/>
      </c>
      <c r="G130" s="5">
        <f>IF(C130="",E130,B130+E130)</f>
        <v/>
      </c>
      <c r="H130" s="5">
        <f>N(D130)+F130</f>
        <v/>
      </c>
      <c r="I130" s="6">
        <f>IF(G130&gt;0,ROUND(H130/G130,4),IF(C130="","",C130))</f>
        <v/>
      </c>
      <c r="J130" s="5" t="n">
        <v>0</v>
      </c>
      <c r="K130" s="5">
        <f>IF(I130="","",J130*I130)</f>
        <v/>
      </c>
      <c r="L130" s="7">
        <f>IF(OR(C130="",I130=""),"",I130/C130-1)</f>
        <v/>
      </c>
      <c r="M130" s="4" t="inlineStr"/>
    </row>
    <row r="131">
      <c r="A131" s="4" t="inlineStr">
        <is>
          <t>كراتين الهنا ازرق</t>
        </is>
      </c>
      <c r="B131" s="5" t="n">
        <v>3298</v>
      </c>
      <c r="C131" s="6" t="n">
        <v>22.6926</v>
      </c>
      <c r="D131" s="5">
        <f>IF(C131="","",B131*C131)</f>
        <v/>
      </c>
      <c r="E131" s="5">
        <f>SUMIF('مشتريات أغسطس التفصيلية'!$I$4:$I$98,A131,'مشتريات أغسطس التفصيلية'!$F$4:$F$98)</f>
        <v/>
      </c>
      <c r="F131" s="5">
        <f>SUMIF('مشتريات أغسطس التفصيلية'!$I$4:$I$98,A131,'مشتريات أغسطس التفصيلية'!$H$4:$H$98)</f>
        <v/>
      </c>
      <c r="G131" s="5">
        <f>IF(C131="",E131,B131+E131)</f>
        <v/>
      </c>
      <c r="H131" s="5">
        <f>N(D131)+F131</f>
        <v/>
      </c>
      <c r="I131" s="6">
        <f>IF(G131&gt;0,ROUND(H131/G131,4),IF(C131="","",C131))</f>
        <v/>
      </c>
      <c r="J131" s="5" t="n">
        <v>3283</v>
      </c>
      <c r="K131" s="5">
        <f>IF(I131="","",J131*I131)</f>
        <v/>
      </c>
      <c r="L131" s="7">
        <f>IF(OR(C131="",I131=""),"",I131/C131-1)</f>
        <v/>
      </c>
      <c r="M131" s="4" t="inlineStr">
        <is>
          <t>قياسى: (أول المدة + المشتريات)</t>
        </is>
      </c>
    </row>
    <row r="132">
      <c r="A132" s="4" t="inlineStr">
        <is>
          <t>كراتين الهنا اخضر</t>
        </is>
      </c>
      <c r="B132" s="5" t="n">
        <v>2980</v>
      </c>
      <c r="C132" s="6" t="n">
        <v>21.6127</v>
      </c>
      <c r="D132" s="5">
        <f>IF(C132="","",B132*C132)</f>
        <v/>
      </c>
      <c r="E132" s="5">
        <f>SUMIF('مشتريات أغسطس التفصيلية'!$I$4:$I$98,A132,'مشتريات أغسطس التفصيلية'!$F$4:$F$98)</f>
        <v/>
      </c>
      <c r="F132" s="5">
        <f>SUMIF('مشتريات أغسطس التفصيلية'!$I$4:$I$98,A132,'مشتريات أغسطس التفصيلية'!$H$4:$H$98)</f>
        <v/>
      </c>
      <c r="G132" s="5">
        <f>IF(C132="",E132,B132+E132)</f>
        <v/>
      </c>
      <c r="H132" s="5">
        <f>N(D132)+F132</f>
        <v/>
      </c>
      <c r="I132" s="6">
        <f>IF(G132&gt;0,ROUND(H132/G132,4),IF(C132="","",C132))</f>
        <v/>
      </c>
      <c r="J132" s="5" t="n">
        <v>2505</v>
      </c>
      <c r="K132" s="5">
        <f>IF(I132="","",J132*I132)</f>
        <v/>
      </c>
      <c r="L132" s="7">
        <f>IF(OR(C132="",I132=""),"",I132/C132-1)</f>
        <v/>
      </c>
      <c r="M132" s="4" t="inlineStr">
        <is>
          <t>لا مشتريات فى أغسطس ⇒ السعر ثابت كما فى يوليو</t>
        </is>
      </c>
    </row>
    <row r="133">
      <c r="A133" s="4" t="inlineStr">
        <is>
          <t>كراتين اسبشيال احمر</t>
        </is>
      </c>
      <c r="B133" s="5" t="n">
        <v>492</v>
      </c>
      <c r="C133" s="6" t="n">
        <v>22.5917</v>
      </c>
      <c r="D133" s="5">
        <f>IF(C133="","",B133*C133)</f>
        <v/>
      </c>
      <c r="E133" s="5">
        <f>SUMIF('مشتريات أغسطس التفصيلية'!$I$4:$I$98,A133,'مشتريات أغسطس التفصيلية'!$F$4:$F$98)</f>
        <v/>
      </c>
      <c r="F133" s="5">
        <f>SUMIF('مشتريات أغسطس التفصيلية'!$I$4:$I$98,A133,'مشتريات أغسطس التفصيلية'!$H$4:$H$98)</f>
        <v/>
      </c>
      <c r="G133" s="5">
        <f>IF(C133="",E133,B133+E133)</f>
        <v/>
      </c>
      <c r="H133" s="5">
        <f>N(D133)+F133</f>
        <v/>
      </c>
      <c r="I133" s="6">
        <f>IF(G133&gt;0,ROUND(H133/G133,4),IF(C133="","",C133))</f>
        <v/>
      </c>
      <c r="J133" s="5" t="n">
        <v>330</v>
      </c>
      <c r="K133" s="5">
        <f>IF(I133="","",J133*I133)</f>
        <v/>
      </c>
      <c r="L133" s="7">
        <f>IF(OR(C133="",I133=""),"",I133/C133-1)</f>
        <v/>
      </c>
      <c r="M133" s="4" t="inlineStr">
        <is>
          <t>قياسى: (أول المدة + المشتريات)</t>
        </is>
      </c>
    </row>
    <row r="134">
      <c r="A134" s="4" t="inlineStr">
        <is>
          <t>كراتين اسبشيال اسود</t>
        </is>
      </c>
      <c r="B134" s="5" t="n">
        <v>2235</v>
      </c>
      <c r="C134" s="6" t="n">
        <v>22</v>
      </c>
      <c r="D134" s="5">
        <f>IF(C134="","",B134*C134)</f>
        <v/>
      </c>
      <c r="E134" s="5">
        <f>SUMIF('مشتريات أغسطس التفصيلية'!$I$4:$I$98,A134,'مشتريات أغسطس التفصيلية'!$F$4:$F$98)</f>
        <v/>
      </c>
      <c r="F134" s="5">
        <f>SUMIF('مشتريات أغسطس التفصيلية'!$I$4:$I$98,A134,'مشتريات أغسطس التفصيلية'!$H$4:$H$98)</f>
        <v/>
      </c>
      <c r="G134" s="5">
        <f>IF(C134="",E134,B134+E134)</f>
        <v/>
      </c>
      <c r="H134" s="5">
        <f>N(D134)+F134</f>
        <v/>
      </c>
      <c r="I134" s="6">
        <f>IF(G134&gt;0,ROUND(H134/G134,4),IF(C134="","",C134))</f>
        <v/>
      </c>
      <c r="J134" s="5" t="n">
        <v>2245</v>
      </c>
      <c r="K134" s="5">
        <f>IF(I134="","",J134*I134)</f>
        <v/>
      </c>
      <c r="L134" s="7">
        <f>IF(OR(C134="",I134=""),"",I134/C134-1)</f>
        <v/>
      </c>
      <c r="M134" s="4" t="inlineStr">
        <is>
          <t>لا مشتريات فى أغسطس ⇒ السعر ثابت كما فى يوليو</t>
        </is>
      </c>
    </row>
    <row r="135">
      <c r="A135" s="8" t="inlineStr">
        <is>
          <t>مذيب</t>
        </is>
      </c>
      <c r="B135" s="5" t="n">
        <v>0</v>
      </c>
      <c r="C135" s="6" t="n"/>
      <c r="D135" s="5">
        <f>IF(C135="","",B135*C135)</f>
        <v/>
      </c>
      <c r="E135" s="5">
        <f>SUMIF('مشتريات أغسطس التفصيلية'!$I$4:$I$98,A135,'مشتريات أغسطس التفصيلية'!$F$4:$F$98)</f>
        <v/>
      </c>
      <c r="F135" s="5">
        <f>SUMIF('مشتريات أغسطس التفصيلية'!$I$4:$I$98,A135,'مشتريات أغسطس التفصيلية'!$H$4:$H$98)</f>
        <v/>
      </c>
      <c r="G135" s="5">
        <f>IF(C135="",E135,B135+E135)</f>
        <v/>
      </c>
      <c r="H135" s="5">
        <f>N(D135)+F135</f>
        <v/>
      </c>
      <c r="I135" s="6">
        <f>IF(G135&gt;0,ROUND(H135/G135,4),IF(C135="","",C135))</f>
        <v/>
      </c>
      <c r="J135" s="5" t="n">
        <v>2</v>
      </c>
      <c r="K135" s="5">
        <f>IF(I135="","",J135*I135)</f>
        <v/>
      </c>
      <c r="L135" s="7">
        <f>IF(OR(C135="",I135=""),"",I135/C135-1)</f>
        <v/>
      </c>
      <c r="M135" s="8" t="inlineStr">
        <is>
          <t>صنف بلا سعر مُثبت (لا سعر يوليو ولا مشتريات أغسطس) — يلزم إدخال سعر لتقييمه</t>
        </is>
      </c>
    </row>
    <row r="136">
      <c r="A136" s="4" t="inlineStr">
        <is>
          <t>اكياس 40 * 60</t>
        </is>
      </c>
      <c r="B136" s="5" t="n">
        <v>0</v>
      </c>
      <c r="C136" s="6" t="n"/>
      <c r="D136" s="5">
        <f>IF(C136="","",B136*C136)</f>
        <v/>
      </c>
      <c r="E136" s="5">
        <f>SUMIF('مشتريات أغسطس التفصيلية'!$I$4:$I$98,A136,'مشتريات أغسطس التفصيلية'!$F$4:$F$98)</f>
        <v/>
      </c>
      <c r="F136" s="5">
        <f>SUMIF('مشتريات أغسطس التفصيلية'!$I$4:$I$98,A136,'مشتريات أغسطس التفصيلية'!$H$4:$H$98)</f>
        <v/>
      </c>
      <c r="G136" s="5">
        <f>IF(C136="",E136,B136+E136)</f>
        <v/>
      </c>
      <c r="H136" s="5">
        <f>N(D136)+F136</f>
        <v/>
      </c>
      <c r="I136" s="6">
        <f>IF(G136&gt;0,ROUND(H136/G136,4),IF(C136="","",C136))</f>
        <v/>
      </c>
      <c r="J136" s="5" t="n">
        <v>0</v>
      </c>
      <c r="K136" s="5">
        <f>IF(I136="","",J136*I136)</f>
        <v/>
      </c>
      <c r="L136" s="7">
        <f>IF(OR(C136="",I136=""),"",I136/C136-1)</f>
        <v/>
      </c>
      <c r="M136" s="4" t="inlineStr"/>
    </row>
    <row r="137">
      <c r="A137" s="4" t="inlineStr">
        <is>
          <t>برانيك صويا</t>
        </is>
      </c>
      <c r="B137" s="5" t="n">
        <v>0</v>
      </c>
      <c r="C137" s="6" t="n"/>
      <c r="D137" s="5">
        <f>IF(C137="","",B137*C137)</f>
        <v/>
      </c>
      <c r="E137" s="5">
        <f>SUMIF('مشتريات أغسطس التفصيلية'!$I$4:$I$98,A137,'مشتريات أغسطس التفصيلية'!$F$4:$F$98)</f>
        <v/>
      </c>
      <c r="F137" s="5">
        <f>SUMIF('مشتريات أغسطس التفصيلية'!$I$4:$I$98,A137,'مشتريات أغسطس التفصيلية'!$H$4:$H$98)</f>
        <v/>
      </c>
      <c r="G137" s="5">
        <f>IF(C137="",E137,B137+E137)</f>
        <v/>
      </c>
      <c r="H137" s="5">
        <f>N(D137)+F137</f>
        <v/>
      </c>
      <c r="I137" s="6">
        <f>IF(G137&gt;0,ROUND(H137/G137,4),IF(C137="","",C137))</f>
        <v/>
      </c>
      <c r="J137" s="5" t="n">
        <v>0</v>
      </c>
      <c r="K137" s="5">
        <f>IF(I137="","",J137*I137)</f>
        <v/>
      </c>
      <c r="L137" s="7">
        <f>IF(OR(C137="",I137=""),"",I137/C137-1)</f>
        <v/>
      </c>
      <c r="M137" s="4" t="inlineStr"/>
    </row>
    <row r="138">
      <c r="A138" s="8" t="inlineStr">
        <is>
          <t>برنيك برجر</t>
        </is>
      </c>
      <c r="B138" s="5" t="n">
        <v>442</v>
      </c>
      <c r="C138" s="6" t="n"/>
      <c r="D138" s="5">
        <f>IF(C138="","",B138*C138)</f>
        <v/>
      </c>
      <c r="E138" s="5">
        <f>SUMIF('مشتريات أغسطس التفصيلية'!$I$4:$I$98,A138,'مشتريات أغسطس التفصيلية'!$F$4:$F$98)</f>
        <v/>
      </c>
      <c r="F138" s="5">
        <f>SUMIF('مشتريات أغسطس التفصيلية'!$I$4:$I$98,A138,'مشتريات أغسطس التفصيلية'!$H$4:$H$98)</f>
        <v/>
      </c>
      <c r="G138" s="5">
        <f>IF(C138="",E138,B138+E138)</f>
        <v/>
      </c>
      <c r="H138" s="5">
        <f>N(D138)+F138</f>
        <v/>
      </c>
      <c r="I138" s="6">
        <f>IF(G138&gt;0,ROUND(H138/G138,4),IF(C138="","",C138))</f>
        <v/>
      </c>
      <c r="J138" s="5" t="n">
        <v>442</v>
      </c>
      <c r="K138" s="5">
        <f>IF(I138="","",J138*I138)</f>
        <v/>
      </c>
      <c r="L138" s="7">
        <f>IF(OR(C138="",I138=""),"",I138/C138-1)</f>
        <v/>
      </c>
      <c r="M138" s="8" t="inlineStr">
        <is>
          <t>صنف بلا سعر مُثبت (لا سعر يوليو ولا مشتريات أغسطس) — يلزم إدخال سعر لتقييمه</t>
        </is>
      </c>
    </row>
    <row r="139">
      <c r="A139" s="8" t="inlineStr">
        <is>
          <t>برنيك سجق</t>
        </is>
      </c>
      <c r="B139" s="5" t="n">
        <v>258</v>
      </c>
      <c r="C139" s="6" t="n"/>
      <c r="D139" s="5">
        <f>IF(C139="","",B139*C139)</f>
        <v/>
      </c>
      <c r="E139" s="5">
        <f>SUMIF('مشتريات أغسطس التفصيلية'!$I$4:$I$98,A139,'مشتريات أغسطس التفصيلية'!$F$4:$F$98)</f>
        <v/>
      </c>
      <c r="F139" s="5">
        <f>SUMIF('مشتريات أغسطس التفصيلية'!$I$4:$I$98,A139,'مشتريات أغسطس التفصيلية'!$H$4:$H$98)</f>
        <v/>
      </c>
      <c r="G139" s="5">
        <f>IF(C139="",E139,B139+E139)</f>
        <v/>
      </c>
      <c r="H139" s="5">
        <f>N(D139)+F139</f>
        <v/>
      </c>
      <c r="I139" s="6">
        <f>IF(G139&gt;0,ROUND(H139/G139,4),IF(C139="","",C139))</f>
        <v/>
      </c>
      <c r="J139" s="5" t="n">
        <v>258</v>
      </c>
      <c r="K139" s="5">
        <f>IF(I139="","",J139*I139)</f>
        <v/>
      </c>
      <c r="L139" s="7">
        <f>IF(OR(C139="",I139=""),"",I139/C139-1)</f>
        <v/>
      </c>
      <c r="M139" s="8" t="inlineStr">
        <is>
          <t>صنف بلا سعر مُثبت (لا سعر يوليو ولا مشتريات أغسطس) — يلزم إدخال سعر لتقييمه</t>
        </is>
      </c>
    </row>
    <row r="140">
      <c r="A140" s="8" t="inlineStr">
        <is>
          <t>أكياس استربس اسبيشيال ص</t>
        </is>
      </c>
      <c r="B140" s="5" t="n">
        <v>0</v>
      </c>
      <c r="C140" s="6" t="n"/>
      <c r="D140" s="5">
        <f>IF(C140="","",B140*C140)</f>
        <v/>
      </c>
      <c r="E140" s="5">
        <f>SUMIF('مشتريات أغسطس التفصيلية'!$I$4:$I$98,A140,'مشتريات أغسطس التفصيلية'!$F$4:$F$98)</f>
        <v/>
      </c>
      <c r="F140" s="5">
        <f>SUMIF('مشتريات أغسطس التفصيلية'!$I$4:$I$98,A140,'مشتريات أغسطس التفصيلية'!$H$4:$H$98)</f>
        <v/>
      </c>
      <c r="G140" s="5">
        <f>IF(C140="",E140,B140+E140)</f>
        <v/>
      </c>
      <c r="H140" s="5">
        <f>N(D140)+F140</f>
        <v/>
      </c>
      <c r="I140" s="6">
        <f>IF(G140&gt;0,ROUND(H140/G140,4),IF(C140="","",C140))</f>
        <v/>
      </c>
      <c r="J140" s="5" t="n">
        <v>82</v>
      </c>
      <c r="K140" s="5">
        <f>IF(I140="","",J140*I140)</f>
        <v/>
      </c>
      <c r="L140" s="7">
        <f>IF(OR(C140="",I140=""),"",I140/C140-1)</f>
        <v/>
      </c>
      <c r="M140" s="8" t="inlineStr">
        <is>
          <t>صنف بلا سعر مُثبت (لا سعر يوليو ولا مشتريات أغسطس) — يلزم إدخال سعر لتقييمه; صنف جديد بجرد أغسطس لم يكن بجرد يوليو</t>
        </is>
      </c>
    </row>
    <row r="141">
      <c r="A141" s="4" t="inlineStr">
        <is>
          <t>أكياس بانيه الهنا 5 ك</t>
        </is>
      </c>
      <c r="B141" s="5" t="n">
        <v>0</v>
      </c>
      <c r="C141" s="6" t="n">
        <v>165</v>
      </c>
      <c r="D141" s="5">
        <f>IF(C141="","",B141*C141)</f>
        <v/>
      </c>
      <c r="E141" s="5">
        <f>SUMIF('مشتريات أغسطس التفصيلية'!$I$4:$I$98,A141,'مشتريات أغسطس التفصيلية'!$F$4:$F$98)</f>
        <v/>
      </c>
      <c r="F141" s="5">
        <f>SUMIF('مشتريات أغسطس التفصيلية'!$I$4:$I$98,A141,'مشتريات أغسطس التفصيلية'!$H$4:$H$98)</f>
        <v/>
      </c>
      <c r="G141" s="5">
        <f>IF(C141="",E141,B141+E141)</f>
        <v/>
      </c>
      <c r="H141" s="5">
        <f>N(D141)+F141</f>
        <v/>
      </c>
      <c r="I141" s="6">
        <f>IF(G141&gt;0,ROUND(H141/G141,4),IF(C141="","",C141))</f>
        <v/>
      </c>
      <c r="J141" s="5" t="n">
        <v>15</v>
      </c>
      <c r="K141" s="5">
        <f>IF(I141="","",J141*I141)</f>
        <v/>
      </c>
      <c r="L141" s="7">
        <f>IF(OR(C141="",I141=""),"",I141/C141-1)</f>
        <v/>
      </c>
      <c r="M141" s="4" t="inlineStr">
        <is>
          <t>لا مشتريات فى أغسطس ⇒ السعر ثابت كما فى يوليو</t>
        </is>
      </c>
    </row>
    <row r="142">
      <c r="A142" s="8" t="inlineStr">
        <is>
          <t>فلاتر</t>
        </is>
      </c>
      <c r="B142" s="5" t="n">
        <v>0</v>
      </c>
      <c r="C142" s="6" t="n"/>
      <c r="D142" s="5">
        <f>IF(C142="","",B142*C142)</f>
        <v/>
      </c>
      <c r="E142" s="5">
        <f>SUMIF('مشتريات أغسطس التفصيلية'!$I$4:$I$98,A142,'مشتريات أغسطس التفصيلية'!$F$4:$F$98)</f>
        <v/>
      </c>
      <c r="F142" s="5">
        <f>SUMIF('مشتريات أغسطس التفصيلية'!$I$4:$I$98,A142,'مشتريات أغسطس التفصيلية'!$H$4:$H$98)</f>
        <v/>
      </c>
      <c r="G142" s="5">
        <f>IF(C142="",E142,B142+E142)</f>
        <v/>
      </c>
      <c r="H142" s="5">
        <f>N(D142)+F142</f>
        <v/>
      </c>
      <c r="I142" s="6">
        <f>IF(G142&gt;0,ROUND(H142/G142,4),IF(C142="","",C142))</f>
        <v/>
      </c>
      <c r="J142" s="5" t="n">
        <v>9</v>
      </c>
      <c r="K142" s="5">
        <f>IF(I142="","",J142*I142)</f>
        <v/>
      </c>
      <c r="L142" s="7">
        <f>IF(OR(C142="",I142=""),"",I142/C142-1)</f>
        <v/>
      </c>
      <c r="M142" s="8" t="inlineStr">
        <is>
          <t>صنف بلا سعر مُثبت (لا سعر يوليو ولا مشتريات أغسطس) — يلزم إدخال سعر لتقييمه</t>
        </is>
      </c>
    </row>
    <row r="143">
      <c r="A143" s="8" t="inlineStr">
        <is>
          <t>استطوانة فريون</t>
        </is>
      </c>
      <c r="B143" s="5" t="n">
        <v>0</v>
      </c>
      <c r="C143" s="6" t="n"/>
      <c r="D143" s="5">
        <f>IF(C143="","",B143*C143)</f>
        <v/>
      </c>
      <c r="E143" s="5">
        <f>SUMIF('مشتريات أغسطس التفصيلية'!$I$4:$I$98,A143,'مشتريات أغسطس التفصيلية'!$F$4:$F$98)</f>
        <v/>
      </c>
      <c r="F143" s="5">
        <f>SUMIF('مشتريات أغسطس التفصيلية'!$I$4:$I$98,A143,'مشتريات أغسطس التفصيلية'!$H$4:$H$98)</f>
        <v/>
      </c>
      <c r="G143" s="5">
        <f>IF(C143="",E143,B143+E143)</f>
        <v/>
      </c>
      <c r="H143" s="5">
        <f>N(D143)+F143</f>
        <v/>
      </c>
      <c r="I143" s="6">
        <f>IF(G143&gt;0,ROUND(H143/G143,4),IF(C143="","",C143))</f>
        <v/>
      </c>
      <c r="J143" s="5" t="n">
        <v>1</v>
      </c>
      <c r="K143" s="5">
        <f>IF(I143="","",J143*I143)</f>
        <v/>
      </c>
      <c r="L143" s="7">
        <f>IF(OR(C143="",I143=""),"",I143/C143-1)</f>
        <v/>
      </c>
      <c r="M143" s="8" t="inlineStr">
        <is>
          <t>صنف بلا سعر مُثبت (لا سعر يوليو ولا مشتريات أغسطس) — يلزم إدخال سعر لتقييمه</t>
        </is>
      </c>
    </row>
    <row r="144">
      <c r="A144" s="8" t="inlineStr">
        <is>
          <t>فلتر خاص بالثلاجة</t>
        </is>
      </c>
      <c r="B144" s="5" t="n">
        <v>0</v>
      </c>
      <c r="C144" s="6" t="n"/>
      <c r="D144" s="5">
        <f>IF(C144="","",B144*C144)</f>
        <v/>
      </c>
      <c r="E144" s="5">
        <f>SUMIF('مشتريات أغسطس التفصيلية'!$I$4:$I$98,A144,'مشتريات أغسطس التفصيلية'!$F$4:$F$98)</f>
        <v/>
      </c>
      <c r="F144" s="5">
        <f>SUMIF('مشتريات أغسطس التفصيلية'!$I$4:$I$98,A144,'مشتريات أغسطس التفصيلية'!$H$4:$H$98)</f>
        <v/>
      </c>
      <c r="G144" s="5">
        <f>IF(C144="",E144,B144+E144)</f>
        <v/>
      </c>
      <c r="H144" s="5">
        <f>N(D144)+F144</f>
        <v/>
      </c>
      <c r="I144" s="6">
        <f>IF(G144&gt;0,ROUND(H144/G144,4),IF(C144="","",C144))</f>
        <v/>
      </c>
      <c r="J144" s="5" t="n">
        <v>1</v>
      </c>
      <c r="K144" s="5">
        <f>IF(I144="","",J144*I144)</f>
        <v/>
      </c>
      <c r="L144" s="7">
        <f>IF(OR(C144="",I144=""),"",I144/C144-1)</f>
        <v/>
      </c>
      <c r="M144" s="8" t="inlineStr">
        <is>
          <t>صنف بلا سعر مُثبت (لا سعر يوليو ولا مشتريات أغسطس) — يلزم إدخال سعر لتقييمه</t>
        </is>
      </c>
    </row>
    <row r="145">
      <c r="A145" s="4" t="inlineStr">
        <is>
          <t>زيت سيارات</t>
        </is>
      </c>
      <c r="B145" s="5" t="n">
        <v>0</v>
      </c>
      <c r="C145" s="6" t="n"/>
      <c r="D145" s="5">
        <f>IF(C145="","",B145*C145)</f>
        <v/>
      </c>
      <c r="E145" s="5">
        <f>SUMIF('مشتريات أغسطس التفصيلية'!$I$4:$I$98,A145,'مشتريات أغسطس التفصيلية'!$F$4:$F$98)</f>
        <v/>
      </c>
      <c r="F145" s="5">
        <f>SUMIF('مشتريات أغسطس التفصيلية'!$I$4:$I$98,A145,'مشتريات أغسطس التفصيلية'!$H$4:$H$98)</f>
        <v/>
      </c>
      <c r="G145" s="5">
        <f>IF(C145="",E145,B145+E145)</f>
        <v/>
      </c>
      <c r="H145" s="5">
        <f>N(D145)+F145</f>
        <v/>
      </c>
      <c r="I145" s="6">
        <f>IF(G145&gt;0,ROUND(H145/G145,4),IF(C145="","",C145))</f>
        <v/>
      </c>
      <c r="J145" s="5" t="n">
        <v>2</v>
      </c>
      <c r="K145" s="5">
        <f>IF(I145="","",J145*I145)</f>
        <v/>
      </c>
      <c r="L145" s="7">
        <f>IF(OR(C145="",I145=""),"",I145/C145-1)</f>
        <v/>
      </c>
      <c r="M145" s="4" t="inlineStr">
        <is>
          <t>لا رصيد أول مدة مُسعّر ⇒ المتوسط = متوسط سعر الشراء</t>
        </is>
      </c>
    </row>
    <row r="146">
      <c r="A146" s="8" t="inlineStr">
        <is>
          <t>حشوة زيت</t>
        </is>
      </c>
      <c r="B146" s="5" t="n">
        <v>0</v>
      </c>
      <c r="C146" s="6" t="n"/>
      <c r="D146" s="5">
        <f>IF(C146="","",B146*C146)</f>
        <v/>
      </c>
      <c r="E146" s="5">
        <f>SUMIF('مشتريات أغسطس التفصيلية'!$I$4:$I$98,A146,'مشتريات أغسطس التفصيلية'!$F$4:$F$98)</f>
        <v/>
      </c>
      <c r="F146" s="5">
        <f>SUMIF('مشتريات أغسطس التفصيلية'!$I$4:$I$98,A146,'مشتريات أغسطس التفصيلية'!$H$4:$H$98)</f>
        <v/>
      </c>
      <c r="G146" s="5">
        <f>IF(C146="",E146,B146+E146)</f>
        <v/>
      </c>
      <c r="H146" s="5">
        <f>N(D146)+F146</f>
        <v/>
      </c>
      <c r="I146" s="6">
        <f>IF(G146&gt;0,ROUND(H146/G146,4),IF(C146="","",C146))</f>
        <v/>
      </c>
      <c r="J146" s="5" t="n">
        <v>7</v>
      </c>
      <c r="K146" s="5">
        <f>IF(I146="","",J146*I146)</f>
        <v/>
      </c>
      <c r="L146" s="7">
        <f>IF(OR(C146="",I146=""),"",I146/C146-1)</f>
        <v/>
      </c>
      <c r="M146" s="8" t="inlineStr">
        <is>
          <t>صنف بلا سعر مُثبت (لا سعر يوليو ولا مشتريات أغسطس) — يلزم إدخال سعر لتقييمه</t>
        </is>
      </c>
    </row>
    <row r="147">
      <c r="A147" s="8" t="inlineStr">
        <is>
          <t>خام عجينة برجر أبو هاشم</t>
        </is>
      </c>
      <c r="B147" s="5" t="n">
        <v>0</v>
      </c>
      <c r="C147" s="6" t="n"/>
      <c r="D147" s="5">
        <f>IF(C147="","",B147*C147)</f>
        <v/>
      </c>
      <c r="E147" s="5">
        <f>SUMIF('مشتريات أغسطس التفصيلية'!$I$4:$I$98,A147,'مشتريات أغسطس التفصيلية'!$F$4:$F$98)</f>
        <v/>
      </c>
      <c r="F147" s="5">
        <f>SUMIF('مشتريات أغسطس التفصيلية'!$I$4:$I$98,A147,'مشتريات أغسطس التفصيلية'!$H$4:$H$98)</f>
        <v/>
      </c>
      <c r="G147" s="5">
        <f>IF(C147="",E147,B147+E147)</f>
        <v/>
      </c>
      <c r="H147" s="5">
        <f>N(D147)+F147</f>
        <v/>
      </c>
      <c r="I147" s="6">
        <f>IF(G147&gt;0,ROUND(H147/G147,4),IF(C147="","",C147))</f>
        <v/>
      </c>
      <c r="J147" s="5" t="n">
        <v>16.5</v>
      </c>
      <c r="K147" s="5">
        <f>IF(I147="","",J147*I147)</f>
        <v/>
      </c>
      <c r="L147" s="7">
        <f>IF(OR(C147="",I147=""),"",I147/C147-1)</f>
        <v/>
      </c>
      <c r="M147" s="8" t="inlineStr">
        <is>
          <t>صنف بلا سعر مُثبت (لا سعر يوليو ولا مشتريات أغسطس) — يلزم إدخال سعر لتقييمه; الإجمالى مُدخل يدويًا (0) بينما مجموع المواقع 16.5 — اعتُمد مجموع المواقع</t>
        </is>
      </c>
    </row>
    <row r="148">
      <c r="A148" s="4" t="inlineStr">
        <is>
          <t>خام عجينه بقري اسبيشيال</t>
        </is>
      </c>
      <c r="B148" s="5" t="n">
        <v>0</v>
      </c>
      <c r="C148" s="6" t="n"/>
      <c r="D148" s="5">
        <f>IF(C148="","",B148*C148)</f>
        <v/>
      </c>
      <c r="E148" s="5">
        <f>SUMIF('مشتريات أغسطس التفصيلية'!$I$4:$I$98,A148,'مشتريات أغسطس التفصيلية'!$F$4:$F$98)</f>
        <v/>
      </c>
      <c r="F148" s="5">
        <f>SUMIF('مشتريات أغسطس التفصيلية'!$I$4:$I$98,A148,'مشتريات أغسطس التفصيلية'!$H$4:$H$98)</f>
        <v/>
      </c>
      <c r="G148" s="5">
        <f>IF(C148="",E148,B148+E148)</f>
        <v/>
      </c>
      <c r="H148" s="5">
        <f>N(D148)+F148</f>
        <v/>
      </c>
      <c r="I148" s="6">
        <f>IF(G148&gt;0,ROUND(H148/G148,4),IF(C148="","",C148))</f>
        <v/>
      </c>
      <c r="J148" s="5" t="n">
        <v>0</v>
      </c>
      <c r="K148" s="5">
        <f>IF(I148="","",J148*I148)</f>
        <v/>
      </c>
      <c r="L148" s="7">
        <f>IF(OR(C148="",I148=""),"",I148/C148-1)</f>
        <v/>
      </c>
      <c r="M148" s="4" t="inlineStr"/>
    </row>
    <row r="149">
      <c r="A149" s="4" t="inlineStr">
        <is>
          <t>خام عجينة برجر الهنا</t>
        </is>
      </c>
      <c r="B149" s="5" t="n">
        <v>0</v>
      </c>
      <c r="C149" s="6" t="n"/>
      <c r="D149" s="5">
        <f>IF(C149="","",B149*C149)</f>
        <v/>
      </c>
      <c r="E149" s="5">
        <f>SUMIF('مشتريات أغسطس التفصيلية'!$I$4:$I$98,A149,'مشتريات أغسطس التفصيلية'!$F$4:$F$98)</f>
        <v/>
      </c>
      <c r="F149" s="5">
        <f>SUMIF('مشتريات أغسطس التفصيلية'!$I$4:$I$98,A149,'مشتريات أغسطس التفصيلية'!$H$4:$H$98)</f>
        <v/>
      </c>
      <c r="G149" s="5">
        <f>IF(C149="",E149,B149+E149)</f>
        <v/>
      </c>
      <c r="H149" s="5">
        <f>N(D149)+F149</f>
        <v/>
      </c>
      <c r="I149" s="6">
        <f>IF(G149&gt;0,ROUND(H149/G149,4),IF(C149="","",C149))</f>
        <v/>
      </c>
      <c r="J149" s="5" t="n">
        <v>0</v>
      </c>
      <c r="K149" s="5">
        <f>IF(I149="","",J149*I149)</f>
        <v/>
      </c>
      <c r="L149" s="7">
        <f>IF(OR(C149="",I149=""),"",I149/C149-1)</f>
        <v/>
      </c>
      <c r="M149" s="4" t="inlineStr"/>
    </row>
    <row r="150">
      <c r="A150" s="8" t="inlineStr">
        <is>
          <t>خام عجينة كفته الهنا</t>
        </is>
      </c>
      <c r="B150" s="5" t="n">
        <v>0</v>
      </c>
      <c r="C150" s="6" t="n"/>
      <c r="D150" s="5">
        <f>IF(C150="","",B150*C150)</f>
        <v/>
      </c>
      <c r="E150" s="5">
        <f>SUMIF('مشتريات أغسطس التفصيلية'!$I$4:$I$98,A150,'مشتريات أغسطس التفصيلية'!$F$4:$F$98)</f>
        <v/>
      </c>
      <c r="F150" s="5">
        <f>SUMIF('مشتريات أغسطس التفصيلية'!$I$4:$I$98,A150,'مشتريات أغسطس التفصيلية'!$H$4:$H$98)</f>
        <v/>
      </c>
      <c r="G150" s="5">
        <f>IF(C150="",E150,B150+E150)</f>
        <v/>
      </c>
      <c r="H150" s="5">
        <f>N(D150)+F150</f>
        <v/>
      </c>
      <c r="I150" s="6">
        <f>IF(G150&gt;0,ROUND(H150/G150,4),IF(C150="","",C150))</f>
        <v/>
      </c>
      <c r="J150" s="5" t="n">
        <v>6.5</v>
      </c>
      <c r="K150" s="5">
        <f>IF(I150="","",J150*I150)</f>
        <v/>
      </c>
      <c r="L150" s="7">
        <f>IF(OR(C150="",I150=""),"",I150/C150-1)</f>
        <v/>
      </c>
      <c r="M150" s="8" t="inlineStr">
        <is>
          <t>صنف بلا سعر مُثبت (لا سعر يوليو ولا مشتريات أغسطس) — يلزم إدخال سعر لتقييمه; الإجمالى مُدخل يدويًا (0) بينما مجموع المواقع 6.5 — اعتُمد مجموع المواقع</t>
        </is>
      </c>
    </row>
    <row r="151">
      <c r="A151" s="4" t="inlineStr">
        <is>
          <t>خام عجينة سجق الهنا</t>
        </is>
      </c>
      <c r="B151" s="5" t="n">
        <v>0</v>
      </c>
      <c r="C151" s="6" t="n"/>
      <c r="D151" s="5">
        <f>IF(C151="","",B151*C151)</f>
        <v/>
      </c>
      <c r="E151" s="5">
        <f>SUMIF('مشتريات أغسطس التفصيلية'!$I$4:$I$98,A151,'مشتريات أغسطس التفصيلية'!$F$4:$F$98)</f>
        <v/>
      </c>
      <c r="F151" s="5">
        <f>SUMIF('مشتريات أغسطس التفصيلية'!$I$4:$I$98,A151,'مشتريات أغسطس التفصيلية'!$H$4:$H$98)</f>
        <v/>
      </c>
      <c r="G151" s="5">
        <f>IF(C151="",E151,B151+E151)</f>
        <v/>
      </c>
      <c r="H151" s="5">
        <f>N(D151)+F151</f>
        <v/>
      </c>
      <c r="I151" s="6">
        <f>IF(G151&gt;0,ROUND(H151/G151,4),IF(C151="","",C151))</f>
        <v/>
      </c>
      <c r="J151" s="5" t="n">
        <v>0</v>
      </c>
      <c r="K151" s="5">
        <f>IF(I151="","",J151*I151)</f>
        <v/>
      </c>
      <c r="L151" s="7">
        <f>IF(OR(C151="",I151=""),"",I151/C151-1)</f>
        <v/>
      </c>
      <c r="M151" s="4" t="inlineStr"/>
    </row>
    <row r="152">
      <c r="A152" s="4" t="inlineStr">
        <is>
          <t>خام عجينة برجر اسبيشيال</t>
        </is>
      </c>
      <c r="B152" s="5" t="n">
        <v>0</v>
      </c>
      <c r="C152" s="6" t="n"/>
      <c r="D152" s="5">
        <f>IF(C152="","",B152*C152)</f>
        <v/>
      </c>
      <c r="E152" s="5">
        <f>SUMIF('مشتريات أغسطس التفصيلية'!$I$4:$I$98,A152,'مشتريات أغسطس التفصيلية'!$F$4:$F$98)</f>
        <v/>
      </c>
      <c r="F152" s="5">
        <f>SUMIF('مشتريات أغسطس التفصيلية'!$I$4:$I$98,A152,'مشتريات أغسطس التفصيلية'!$H$4:$H$98)</f>
        <v/>
      </c>
      <c r="G152" s="5">
        <f>IF(C152="",E152,B152+E152)</f>
        <v/>
      </c>
      <c r="H152" s="5">
        <f>N(D152)+F152</f>
        <v/>
      </c>
      <c r="I152" s="6">
        <f>IF(G152&gt;0,ROUND(H152/G152,4),IF(C152="","",C152))</f>
        <v/>
      </c>
      <c r="J152" s="5" t="n">
        <v>0</v>
      </c>
      <c r="K152" s="5">
        <f>IF(I152="","",J152*I152)</f>
        <v/>
      </c>
      <c r="L152" s="7">
        <f>IF(OR(C152="",I152=""),"",I152/C152-1)</f>
        <v/>
      </c>
      <c r="M152" s="4" t="inlineStr"/>
    </row>
    <row r="153">
      <c r="A153" s="8" t="inlineStr">
        <is>
          <t>فلتر هواء</t>
        </is>
      </c>
      <c r="B153" s="5" t="n">
        <v>0</v>
      </c>
      <c r="C153" s="6" t="n"/>
      <c r="D153" s="5">
        <f>IF(C153="","",B153*C153)</f>
        <v/>
      </c>
      <c r="E153" s="5">
        <f>SUMIF('مشتريات أغسطس التفصيلية'!$I$4:$I$98,A153,'مشتريات أغسطس التفصيلية'!$F$4:$F$98)</f>
        <v/>
      </c>
      <c r="F153" s="5">
        <f>SUMIF('مشتريات أغسطس التفصيلية'!$I$4:$I$98,A153,'مشتريات أغسطس التفصيلية'!$H$4:$H$98)</f>
        <v/>
      </c>
      <c r="G153" s="5">
        <f>IF(C153="",E153,B153+E153)</f>
        <v/>
      </c>
      <c r="H153" s="5">
        <f>N(D153)+F153</f>
        <v/>
      </c>
      <c r="I153" s="6">
        <f>IF(G153&gt;0,ROUND(H153/G153,4),IF(C153="","",C153))</f>
        <v/>
      </c>
      <c r="J153" s="5" t="n">
        <v>7</v>
      </c>
      <c r="K153" s="5">
        <f>IF(I153="","",J153*I153)</f>
        <v/>
      </c>
      <c r="L153" s="7">
        <f>IF(OR(C153="",I153=""),"",I153/C153-1)</f>
        <v/>
      </c>
      <c r="M153" s="8" t="inlineStr">
        <is>
          <t>صنف بلا سعر مُثبت (لا سعر يوليو ولا مشتريات أغسطس) — يلزم إدخال سعر لتقييمه; الإجمالى مُدخل يدويًا (0) بينما مجموع المواقع 7 — اعتُمد مجموع المواقع; صنف جديد بجرد أغسطس لم يكن بجرد يوليو</t>
        </is>
      </c>
    </row>
    <row r="155">
      <c r="A155" s="9" t="inlineStr">
        <is>
          <t>الإجمالى (الأصناف المُسعّرة)</t>
        </is>
      </c>
      <c r="D155" s="10">
        <f>SUM(D5:D153)</f>
        <v/>
      </c>
      <c r="F155" s="10">
        <f>SUM(F5:F153)</f>
        <v/>
      </c>
      <c r="H155" s="10">
        <f>SUM(H5:H153)</f>
        <v/>
      </c>
      <c r="K155" s="10">
        <f>SUM(K5:K153)</f>
        <v/>
      </c>
    </row>
  </sheetData>
  <mergeCells count="2">
    <mergeCell ref="A2:M2"/>
    <mergeCell ref="A1:M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2"/>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1" customWidth="1" min="2" max="2"/>
    <col width="8" customWidth="1" min="3" max="3"/>
    <col width="30" customWidth="1" min="4" max="4"/>
    <col width="7" customWidth="1" min="5" max="5"/>
    <col width="10" customWidth="1" min="6" max="6"/>
    <col width="10" customWidth="1" min="7" max="7"/>
    <col width="13" customWidth="1" min="8" max="8"/>
    <col width="24" customWidth="1" min="9" max="9"/>
    <col width="9" customWidth="1" min="10" max="10"/>
    <col width="50" customWidth="1" min="11" max="11"/>
    <col width="12" customWidth="1" min="12" max="12"/>
  </cols>
  <sheetData>
    <row r="1">
      <c r="A1" s="1" t="inlineStr">
        <is>
          <t>مشتريات الخامات — الفترة 01/08/2026 حتى 31/08/2026 (المصدر: تقرير المشتريات فى الفترة)</t>
        </is>
      </c>
    </row>
    <row r="3" ht="42" customHeight="1">
      <c r="A3" s="3" t="inlineStr">
        <is>
          <t>م</t>
        </is>
      </c>
      <c r="B3" s="3" t="inlineStr">
        <is>
          <t>التاريخ</t>
        </is>
      </c>
      <c r="C3" s="3" t="inlineStr">
        <is>
          <t>كود الصنف</t>
        </is>
      </c>
      <c r="D3" s="3" t="inlineStr">
        <is>
          <t>اسم الصنف بالمشتريات</t>
        </is>
      </c>
      <c r="E3" s="3" t="inlineStr">
        <is>
          <t>الوحدة</t>
        </is>
      </c>
      <c r="F3" s="3" t="inlineStr">
        <is>
          <t>الكمية</t>
        </is>
      </c>
      <c r="G3" s="3" t="inlineStr">
        <is>
          <t>سعر الشراء</t>
        </is>
      </c>
      <c r="H3" s="3" t="inlineStr">
        <is>
          <t>الإجمالى</t>
        </is>
      </c>
      <c r="I3" s="3" t="inlineStr">
        <is>
          <t>الصنف المقابل بالجرد</t>
        </is>
      </c>
      <c r="J3" s="3" t="inlineStr">
        <is>
          <t>درجة الثقة</t>
        </is>
      </c>
      <c r="K3" s="3" t="inlineStr">
        <is>
          <t>أساس المطابقة</t>
        </is>
      </c>
      <c r="L3" s="3" t="inlineStr">
        <is>
          <t>رقم الفاتورة</t>
        </is>
      </c>
    </row>
    <row r="4">
      <c r="A4" s="4" t="n">
        <v>1</v>
      </c>
      <c r="B4" s="4" t="inlineStr">
        <is>
          <t>2026/08/02</t>
        </is>
      </c>
      <c r="C4" s="4" t="inlineStr">
        <is>
          <t>87</t>
        </is>
      </c>
      <c r="D4" s="4" t="inlineStr">
        <is>
          <t>جلتومات الصوديوم</t>
        </is>
      </c>
      <c r="E4" s="4" t="inlineStr">
        <is>
          <t>طبق</t>
        </is>
      </c>
      <c r="F4" s="5" t="n">
        <v>250</v>
      </c>
      <c r="G4" s="6" t="n">
        <v>88</v>
      </c>
      <c r="H4" s="5" t="n">
        <v>22000</v>
      </c>
      <c r="I4" s="4" t="inlineStr">
        <is>
          <t>جلتومات</t>
        </is>
      </c>
      <c r="J4" s="4" t="inlineStr">
        <is>
          <t>عالية</t>
        </is>
      </c>
      <c r="K4" s="4" t="inlineStr">
        <is>
          <t>جلوتامات الصوديوم = «جلتومات/مونوصوديم» بالوصفات؛ سعر 88 مقابل 104.00 ليوليو</t>
        </is>
      </c>
      <c r="L4" s="4" t="inlineStr">
        <is>
          <t>1111115148</t>
        </is>
      </c>
    </row>
    <row r="5">
      <c r="A5" s="4" t="n">
        <v>2</v>
      </c>
      <c r="B5" s="4" t="inlineStr">
        <is>
          <t>2026/08/02</t>
        </is>
      </c>
      <c r="C5" s="4" t="inlineStr">
        <is>
          <t>370</t>
        </is>
      </c>
      <c r="D5" s="4" t="inlineStr">
        <is>
          <t>مفروم فراخ A</t>
        </is>
      </c>
      <c r="E5" s="4" t="inlineStr">
        <is>
          <t>طبق</t>
        </is>
      </c>
      <c r="F5" s="5" t="n">
        <v>450</v>
      </c>
      <c r="G5" s="6" t="n">
        <v>55</v>
      </c>
      <c r="H5" s="5" t="n">
        <v>24750</v>
      </c>
      <c r="I5" s="4" t="inlineStr">
        <is>
          <t>مفروم فراخ فاخر</t>
        </is>
      </c>
      <c r="J5" s="4" t="inlineStr">
        <is>
          <t>عالية</t>
        </is>
      </c>
      <c r="K5" s="4" t="inlineStr">
        <is>
          <t>نفس ربط الكود فى يوليو: الرتبة A = الدرجة الفاخرة (سعر 55–57 ≈ 58.50 ليونيه)</t>
        </is>
      </c>
      <c r="L5" s="4" t="inlineStr">
        <is>
          <t>1111115151</t>
        </is>
      </c>
    </row>
    <row r="6">
      <c r="A6" s="4" t="n">
        <v>3</v>
      </c>
      <c r="B6" s="4" t="inlineStr">
        <is>
          <t>2026/08/02</t>
        </is>
      </c>
      <c r="C6" s="4" t="inlineStr">
        <is>
          <t>372</t>
        </is>
      </c>
      <c r="D6" s="4" t="inlineStr">
        <is>
          <t>مفروم فراخ C</t>
        </is>
      </c>
      <c r="E6" s="4" t="inlineStr">
        <is>
          <t>طبق</t>
        </is>
      </c>
      <c r="F6" s="5" t="n">
        <v>1350</v>
      </c>
      <c r="G6" s="6" t="n">
        <v>28</v>
      </c>
      <c r="H6" s="5" t="n">
        <v>37800</v>
      </c>
      <c r="I6" s="4" t="inlineStr">
        <is>
          <t>مفروم فراخ شعبي</t>
        </is>
      </c>
      <c r="J6" s="4" t="inlineStr">
        <is>
          <t>عالية</t>
        </is>
      </c>
      <c r="K6" s="4" t="inlineStr">
        <is>
          <t>نفس ربط الكود فى يوليو: الرتبة C = الدرجة الشعبية (سعر 28 مقابل 34.7 ليونيه)</t>
        </is>
      </c>
      <c r="L6" s="4" t="inlineStr">
        <is>
          <t>1111115151</t>
        </is>
      </c>
    </row>
    <row r="7">
      <c r="A7" s="4" t="n">
        <v>4</v>
      </c>
      <c r="B7" s="4" t="inlineStr">
        <is>
          <t>2026/08/02</t>
        </is>
      </c>
      <c r="C7" s="4" t="inlineStr">
        <is>
          <t>380</t>
        </is>
      </c>
      <c r="D7" s="4" t="inlineStr">
        <is>
          <t>كراتين اسبشيال احمر مقاس 17.5</t>
        </is>
      </c>
      <c r="E7" s="4" t="inlineStr">
        <is>
          <t>طبق</t>
        </is>
      </c>
      <c r="F7" s="5" t="n">
        <v>3180</v>
      </c>
      <c r="G7" s="6" t="n">
        <v>23.36</v>
      </c>
      <c r="H7" s="5" t="n">
        <v>74284.8</v>
      </c>
      <c r="I7" s="4" t="inlineStr">
        <is>
          <t>كراتين اسبشيال احمر</t>
        </is>
      </c>
      <c r="J7" s="4" t="inlineStr">
        <is>
          <t>عالية</t>
        </is>
      </c>
      <c r="K7" s="4" t="inlineStr">
        <is>
          <t>نفس الكرتونة (اسبشيال أحمر)؛ سعر 23.36 ≈ 22.59 ليوليو</t>
        </is>
      </c>
      <c r="L7" s="4" t="inlineStr">
        <is>
          <t>1111115152</t>
        </is>
      </c>
    </row>
    <row r="8">
      <c r="A8" s="4" t="n">
        <v>5</v>
      </c>
      <c r="B8" s="4" t="inlineStr">
        <is>
          <t>2026/08/02</t>
        </is>
      </c>
      <c r="C8" s="4" t="inlineStr">
        <is>
          <t>381</t>
        </is>
      </c>
      <c r="D8" s="4" t="inlineStr">
        <is>
          <t>كراتين اسباشيل ابيض 20.50</t>
        </is>
      </c>
      <c r="E8" s="4" t="inlineStr">
        <is>
          <t>طبق</t>
        </is>
      </c>
      <c r="F8" s="5" t="n">
        <v>2355</v>
      </c>
      <c r="G8" s="6" t="n">
        <v>21.21</v>
      </c>
      <c r="H8" s="5" t="n">
        <v>49949.55</v>
      </c>
      <c r="I8" s="4" t="inlineStr">
        <is>
          <t>كراتين s.p ابيض</t>
        </is>
      </c>
      <c r="J8" s="4" t="inlineStr">
        <is>
          <t>عالية</t>
        </is>
      </c>
      <c r="K8" s="4" t="inlineStr">
        <is>
          <t>«اسباشيل» = s.p ، كرتونة بيضاء؛ الصنف بلا سعر سابق فيُسعَّر من الشراء</t>
        </is>
      </c>
      <c r="L8" s="4" t="inlineStr">
        <is>
          <t>1111115152</t>
        </is>
      </c>
    </row>
    <row r="9">
      <c r="A9" s="8" t="n">
        <v>6</v>
      </c>
      <c r="B9" s="8" t="inlineStr">
        <is>
          <t>2026/08/03</t>
        </is>
      </c>
      <c r="C9" s="8" t="inlineStr">
        <is>
          <t>312</t>
        </is>
      </c>
      <c r="D9" s="8" t="inlineStr">
        <is>
          <t>فرش برجر</t>
        </is>
      </c>
      <c r="E9" s="8" t="inlineStr">
        <is>
          <t>طبق</t>
        </is>
      </c>
      <c r="F9" s="11" t="n">
        <v>50</v>
      </c>
      <c r="G9" s="12" t="n">
        <v>90</v>
      </c>
      <c r="H9" s="11" t="n">
        <v>4500</v>
      </c>
      <c r="I9" s="8" t="inlineStr">
        <is>
          <t>فرش البرجر 11*11</t>
        </is>
      </c>
      <c r="J9" s="8" t="inlineStr">
        <is>
          <t>متوسطة</t>
        </is>
      </c>
      <c r="K9" s="8" t="inlineStr">
        <is>
          <t>نفس ربط الكود فى يوليو: مقاس 11×11 هو الوحيد ذو رصيد؛ نفس سعر يونيه للمقاسين</t>
        </is>
      </c>
      <c r="L9" s="8" t="inlineStr">
        <is>
          <t>1111115146</t>
        </is>
      </c>
    </row>
    <row r="10">
      <c r="A10" s="4" t="n">
        <v>7</v>
      </c>
      <c r="B10" s="4" t="inlineStr">
        <is>
          <t>2026/08/03</t>
        </is>
      </c>
      <c r="C10" s="4" t="inlineStr">
        <is>
          <t>336</t>
        </is>
      </c>
      <c r="D10" s="4" t="inlineStr">
        <is>
          <t>فرش كفته</t>
        </is>
      </c>
      <c r="E10" s="4" t="inlineStr">
        <is>
          <t>طبق</t>
        </is>
      </c>
      <c r="F10" s="5" t="n">
        <v>50</v>
      </c>
      <c r="G10" s="6" t="n">
        <v>85</v>
      </c>
      <c r="H10" s="5" t="n">
        <v>4250</v>
      </c>
      <c r="I10" s="4" t="inlineStr">
        <is>
          <t>فرش كفته</t>
        </is>
      </c>
      <c r="J10" s="4" t="inlineStr">
        <is>
          <t>عالية</t>
        </is>
      </c>
      <c r="K10" s="4" t="inlineStr">
        <is>
          <t>نفس ربط الكود فى يوليو: تطابق اسمى تام</t>
        </is>
      </c>
      <c r="L10" s="4" t="inlineStr">
        <is>
          <t>1111115146</t>
        </is>
      </c>
    </row>
    <row r="11">
      <c r="A11" s="8" t="n">
        <v>8</v>
      </c>
      <c r="B11" s="8" t="inlineStr">
        <is>
          <t>2026/08/03</t>
        </is>
      </c>
      <c r="C11" s="8" t="inlineStr">
        <is>
          <t>154</t>
        </is>
      </c>
      <c r="D11" s="8" t="inlineStr">
        <is>
          <t>فلفل اخضر عام عام</t>
        </is>
      </c>
      <c r="E11" s="8" t="inlineStr">
        <is>
          <t>طبق</t>
        </is>
      </c>
      <c r="F11" s="11" t="n">
        <v>503</v>
      </c>
      <c r="G11" s="12" t="n">
        <v>8</v>
      </c>
      <c r="H11" s="11" t="n">
        <v>4024</v>
      </c>
      <c r="I11" s="8" t="inlineStr">
        <is>
          <t>فلفل بارد</t>
        </is>
      </c>
      <c r="J11" s="8" t="inlineStr">
        <is>
          <t>متوسطة</t>
        </is>
      </c>
      <c r="K11" s="8" t="inlineStr">
        <is>
          <t>نفس ربط الكود فى يوليو: الفلفل الأخضر غير الحار = «البارد»؛ سعر 12–14 ≈ 14.92 ليونيه</t>
        </is>
      </c>
      <c r="L11" s="8" t="inlineStr">
        <is>
          <t>1111115147</t>
        </is>
      </c>
    </row>
    <row r="12">
      <c r="A12" s="4" t="n">
        <v>9</v>
      </c>
      <c r="B12" s="4" t="inlineStr">
        <is>
          <t>2026/08/04</t>
        </is>
      </c>
      <c r="C12" s="4" t="inlineStr">
        <is>
          <t>60</t>
        </is>
      </c>
      <c r="D12" s="4" t="inlineStr">
        <is>
          <t>فلفل اسمر</t>
        </is>
      </c>
      <c r="E12" s="4" t="inlineStr">
        <is>
          <t>كيلو</t>
        </is>
      </c>
      <c r="F12" s="5" t="n">
        <v>30</v>
      </c>
      <c r="G12" s="6" t="n">
        <v>340</v>
      </c>
      <c r="H12" s="5" t="n">
        <v>10200</v>
      </c>
      <c r="I12" s="4" t="inlineStr">
        <is>
          <t>فلفل اسود</t>
        </is>
      </c>
      <c r="J12" s="4" t="inlineStr">
        <is>
          <t>عالية</t>
        </is>
      </c>
      <c r="K12" s="4" t="inlineStr">
        <is>
          <t>نفس ربط الكود فى يوليو: توابل مطحونة سعرها 340–350 ≈ 379.49 ليونيه</t>
        </is>
      </c>
      <c r="L12" s="4" t="inlineStr">
        <is>
          <t>1111115149</t>
        </is>
      </c>
    </row>
    <row r="13">
      <c r="A13" s="4" t="n">
        <v>10</v>
      </c>
      <c r="B13" s="4" t="inlineStr">
        <is>
          <t>2026/08/04</t>
        </is>
      </c>
      <c r="C13" s="4" t="inlineStr">
        <is>
          <t>74</t>
        </is>
      </c>
      <c r="D13" s="4" t="inlineStr">
        <is>
          <t>كسبره</t>
        </is>
      </c>
      <c r="E13" s="4" t="inlineStr">
        <is>
          <t>طبق</t>
        </is>
      </c>
      <c r="F13" s="5" t="n">
        <v>50</v>
      </c>
      <c r="G13" s="6" t="n">
        <v>75</v>
      </c>
      <c r="H13" s="5" t="n">
        <v>3750</v>
      </c>
      <c r="I13" s="4" t="inlineStr">
        <is>
          <t>كزبره</t>
        </is>
      </c>
      <c r="J13" s="4" t="inlineStr">
        <is>
          <t>عالية</t>
        </is>
      </c>
      <c r="K13" s="4" t="inlineStr">
        <is>
          <t>نفس ربط الكود فى يوليو: فرق نطق (كسبرة/كزبرة)</t>
        </is>
      </c>
      <c r="L13" s="4" t="inlineStr">
        <is>
          <t>1111115149</t>
        </is>
      </c>
    </row>
    <row r="14">
      <c r="A14" s="4" t="n">
        <v>11</v>
      </c>
      <c r="B14" s="4" t="inlineStr">
        <is>
          <t>2026/08/04</t>
        </is>
      </c>
      <c r="C14" s="4" t="inlineStr">
        <is>
          <t>85</t>
        </is>
      </c>
      <c r="D14" s="4" t="inlineStr">
        <is>
          <t>شطه</t>
        </is>
      </c>
      <c r="E14" s="4" t="inlineStr">
        <is>
          <t>طبق</t>
        </is>
      </c>
      <c r="F14" s="5" t="n">
        <v>50</v>
      </c>
      <c r="G14" s="6" t="n">
        <v>75</v>
      </c>
      <c r="H14" s="5" t="n">
        <v>3750</v>
      </c>
      <c r="I14" s="4" t="inlineStr">
        <is>
          <t>شطه</t>
        </is>
      </c>
      <c r="J14" s="4" t="inlineStr">
        <is>
          <t>عالية</t>
        </is>
      </c>
      <c r="K14" s="4" t="inlineStr">
        <is>
          <t>نفس ربط الكود فى يوليو: تطابق اسمى تام</t>
        </is>
      </c>
      <c r="L14" s="4" t="inlineStr">
        <is>
          <t>1111115149</t>
        </is>
      </c>
    </row>
    <row r="15">
      <c r="A15" s="4" t="n">
        <v>12</v>
      </c>
      <c r="B15" s="4" t="inlineStr">
        <is>
          <t>2026/08/04</t>
        </is>
      </c>
      <c r="C15" s="4" t="inlineStr">
        <is>
          <t>322</t>
        </is>
      </c>
      <c r="D15" s="4" t="inlineStr">
        <is>
          <t>قرنفل</t>
        </is>
      </c>
      <c r="E15" s="4" t="inlineStr">
        <is>
          <t>طبق</t>
        </is>
      </c>
      <c r="F15" s="5" t="n">
        <v>10</v>
      </c>
      <c r="G15" s="6" t="n">
        <v>510</v>
      </c>
      <c r="H15" s="5" t="n">
        <v>5100</v>
      </c>
      <c r="I15" s="4" t="inlineStr">
        <is>
          <t>قرنفل</t>
        </is>
      </c>
      <c r="J15" s="4" t="inlineStr">
        <is>
          <t>عالية</t>
        </is>
      </c>
      <c r="K15" s="4" t="inlineStr">
        <is>
          <t>نفس ربط الكود فى يوليو: تطابق اسمى تام</t>
        </is>
      </c>
      <c r="L15" s="4" t="inlineStr">
        <is>
          <t>1111115149</t>
        </is>
      </c>
    </row>
    <row r="16">
      <c r="A16" s="4" t="n">
        <v>13</v>
      </c>
      <c r="B16" s="4" t="inlineStr">
        <is>
          <t>2026/08/04</t>
        </is>
      </c>
      <c r="C16" s="4" t="inlineStr">
        <is>
          <t>199</t>
        </is>
      </c>
      <c r="D16" s="4" t="inlineStr">
        <is>
          <t>لورا</t>
        </is>
      </c>
      <c r="E16" s="4" t="inlineStr">
        <is>
          <t>طبق</t>
        </is>
      </c>
      <c r="F16" s="5" t="n">
        <v>10</v>
      </c>
      <c r="G16" s="6" t="n">
        <v>140</v>
      </c>
      <c r="H16" s="5" t="n">
        <v>1400</v>
      </c>
      <c r="I16" s="4" t="inlineStr">
        <is>
          <t>لورا</t>
        </is>
      </c>
      <c r="J16" s="4" t="inlineStr">
        <is>
          <t>عالية</t>
        </is>
      </c>
      <c r="K16" s="4" t="inlineStr">
        <is>
          <t>نفس ربط الكود فى يوليو: تطابق اسمى تام</t>
        </is>
      </c>
      <c r="L16" s="4" t="inlineStr">
        <is>
          <t>1111115149</t>
        </is>
      </c>
    </row>
    <row r="17">
      <c r="A17" s="4" t="n">
        <v>14</v>
      </c>
      <c r="B17" s="4" t="inlineStr">
        <is>
          <t>2026/08/04</t>
        </is>
      </c>
      <c r="C17" s="4" t="inlineStr">
        <is>
          <t>62</t>
        </is>
      </c>
      <c r="D17" s="4" t="inlineStr">
        <is>
          <t>قرفه</t>
        </is>
      </c>
      <c r="E17" s="4" t="inlineStr">
        <is>
          <t>كيلو</t>
        </is>
      </c>
      <c r="F17" s="5" t="n">
        <v>25</v>
      </c>
      <c r="G17" s="6" t="n">
        <v>130</v>
      </c>
      <c r="H17" s="5" t="n">
        <v>3250</v>
      </c>
      <c r="I17" s="4" t="inlineStr">
        <is>
          <t>قرفه</t>
        </is>
      </c>
      <c r="J17" s="4" t="inlineStr">
        <is>
          <t>عالية</t>
        </is>
      </c>
      <c r="K17" s="4" t="inlineStr">
        <is>
          <t>نفس ربط الكود فى يوليو: تطابق اسمى تام</t>
        </is>
      </c>
      <c r="L17" s="4" t="inlineStr">
        <is>
          <t>1111115149</t>
        </is>
      </c>
    </row>
    <row r="18">
      <c r="A18" s="4" t="n">
        <v>15</v>
      </c>
      <c r="B18" s="4" t="inlineStr">
        <is>
          <t>2026/08/04</t>
        </is>
      </c>
      <c r="C18" s="4" t="inlineStr">
        <is>
          <t>84</t>
        </is>
      </c>
      <c r="D18" s="4" t="inlineStr">
        <is>
          <t>باربيكا</t>
        </is>
      </c>
      <c r="E18" s="4" t="inlineStr">
        <is>
          <t>طبق</t>
        </is>
      </c>
      <c r="F18" s="5" t="n">
        <v>25</v>
      </c>
      <c r="G18" s="6" t="n">
        <v>140</v>
      </c>
      <c r="H18" s="5" t="n">
        <v>3500</v>
      </c>
      <c r="I18" s="4" t="inlineStr">
        <is>
          <t>بابريكا</t>
        </is>
      </c>
      <c r="J18" s="4" t="inlineStr">
        <is>
          <t>عالية</t>
        </is>
      </c>
      <c r="K18" s="4" t="inlineStr">
        <is>
          <t>نفس ربط الكود فى يوليو: فرق إملائى فقط</t>
        </is>
      </c>
      <c r="L18" s="4" t="inlineStr">
        <is>
          <t>1111115149</t>
        </is>
      </c>
    </row>
    <row r="19">
      <c r="A19" s="4" t="n">
        <v>16</v>
      </c>
      <c r="B19" s="4" t="inlineStr">
        <is>
          <t>2026/08/04</t>
        </is>
      </c>
      <c r="C19" s="4" t="inlineStr">
        <is>
          <t>156</t>
        </is>
      </c>
      <c r="D19" s="4" t="inlineStr">
        <is>
          <t>ينسون</t>
        </is>
      </c>
      <c r="E19" s="4" t="inlineStr">
        <is>
          <t>طبق</t>
        </is>
      </c>
      <c r="F19" s="5" t="n">
        <v>10</v>
      </c>
      <c r="G19" s="6" t="n">
        <v>120</v>
      </c>
      <c r="H19" s="5" t="n">
        <v>1200</v>
      </c>
      <c r="I19" s="4" t="inlineStr">
        <is>
          <t>ينسون</t>
        </is>
      </c>
      <c r="J19" s="4" t="inlineStr">
        <is>
          <t>عالية</t>
        </is>
      </c>
      <c r="K19" s="4" t="inlineStr">
        <is>
          <t>نفس ربط الكود فى يوليو: تطابق اسمى تام</t>
        </is>
      </c>
      <c r="L19" s="4" t="inlineStr">
        <is>
          <t>1111115149</t>
        </is>
      </c>
    </row>
    <row r="20">
      <c r="A20" s="4" t="n">
        <v>17</v>
      </c>
      <c r="B20" s="4" t="inlineStr">
        <is>
          <t>2026/08/04</t>
        </is>
      </c>
      <c r="C20" s="4" t="inlineStr">
        <is>
          <t>372</t>
        </is>
      </c>
      <c r="D20" s="4" t="inlineStr">
        <is>
          <t>مفروم فراخ C</t>
        </is>
      </c>
      <c r="E20" s="4" t="inlineStr">
        <is>
          <t>طبق</t>
        </is>
      </c>
      <c r="F20" s="5" t="n">
        <v>1800</v>
      </c>
      <c r="G20" s="6" t="n">
        <v>28</v>
      </c>
      <c r="H20" s="5" t="n">
        <v>50400</v>
      </c>
      <c r="I20" s="4" t="inlineStr">
        <is>
          <t>مفروم فراخ شعبي</t>
        </is>
      </c>
      <c r="J20" s="4" t="inlineStr">
        <is>
          <t>عالية</t>
        </is>
      </c>
      <c r="K20" s="4" t="inlineStr">
        <is>
          <t>نفس ربط الكود فى يوليو: الرتبة C = الدرجة الشعبية (سعر 28 مقابل 34.7 ليونيه)</t>
        </is>
      </c>
      <c r="L20" s="4" t="inlineStr">
        <is>
          <t>1111115153</t>
        </is>
      </c>
    </row>
    <row r="21">
      <c r="A21" s="4" t="n">
        <v>18</v>
      </c>
      <c r="B21" s="4" t="inlineStr">
        <is>
          <t>2026/08/04</t>
        </is>
      </c>
      <c r="C21" s="4" t="inlineStr">
        <is>
          <t>190</t>
        </is>
      </c>
      <c r="D21" s="4" t="inlineStr">
        <is>
          <t>صميد</t>
        </is>
      </c>
      <c r="E21" s="4" t="inlineStr">
        <is>
          <t>طبق</t>
        </is>
      </c>
      <c r="F21" s="5" t="n">
        <v>500</v>
      </c>
      <c r="G21" s="6" t="n">
        <v>16.5</v>
      </c>
      <c r="H21" s="5" t="n">
        <v>8250</v>
      </c>
      <c r="I21" s="4" t="inlineStr">
        <is>
          <t>صميد</t>
        </is>
      </c>
      <c r="J21" s="4" t="inlineStr">
        <is>
          <t>عالية</t>
        </is>
      </c>
      <c r="K21" s="4" t="inlineStr">
        <is>
          <t>نفس ربط الكود فى يوليو: تطابق اسمى تام</t>
        </is>
      </c>
      <c r="L21" s="4" t="inlineStr">
        <is>
          <t>1111115154</t>
        </is>
      </c>
    </row>
    <row r="22">
      <c r="A22" s="4" t="n">
        <v>19</v>
      </c>
      <c r="B22" s="4" t="inlineStr">
        <is>
          <t>2026/08/04</t>
        </is>
      </c>
      <c r="C22" s="4" t="inlineStr">
        <is>
          <t>188</t>
        </is>
      </c>
      <c r="D22" s="4" t="inlineStr">
        <is>
          <t>برغل</t>
        </is>
      </c>
      <c r="E22" s="4" t="inlineStr">
        <is>
          <t>طبق</t>
        </is>
      </c>
      <c r="F22" s="5" t="n">
        <v>1500</v>
      </c>
      <c r="G22" s="6" t="n">
        <v>21.5</v>
      </c>
      <c r="H22" s="5" t="n">
        <v>32250</v>
      </c>
      <c r="I22" s="4" t="inlineStr">
        <is>
          <t>برغل</t>
        </is>
      </c>
      <c r="J22" s="4" t="inlineStr">
        <is>
          <t>عالية</t>
        </is>
      </c>
      <c r="K22" s="4" t="inlineStr">
        <is>
          <t>نفس ربط الكود فى يوليو: تطابق اسمى + سعر يونيه 21.3641 ≈ سعر الشراء 21.50</t>
        </is>
      </c>
      <c r="L22" s="4" t="inlineStr">
        <is>
          <t>1111115154</t>
        </is>
      </c>
    </row>
    <row r="23">
      <c r="A23" s="4" t="n">
        <v>20</v>
      </c>
      <c r="B23" s="4" t="inlineStr">
        <is>
          <t>2026/08/04</t>
        </is>
      </c>
      <c r="C23" s="4" t="inlineStr">
        <is>
          <t>191</t>
        </is>
      </c>
      <c r="D23" s="4" t="inlineStr">
        <is>
          <t>نشا</t>
        </is>
      </c>
      <c r="E23" s="4" t="inlineStr">
        <is>
          <t>طبق</t>
        </is>
      </c>
      <c r="F23" s="5" t="n">
        <v>1000</v>
      </c>
      <c r="G23" s="6" t="n">
        <v>27</v>
      </c>
      <c r="H23" s="5" t="n">
        <v>27000</v>
      </c>
      <c r="I23" s="4" t="inlineStr">
        <is>
          <t>نشا</t>
        </is>
      </c>
      <c r="J23" s="4" t="inlineStr">
        <is>
          <t>عالية</t>
        </is>
      </c>
      <c r="K23" s="4" t="inlineStr">
        <is>
          <t>نفس ربط الكود فى يوليو: تطابق اسمى تام</t>
        </is>
      </c>
      <c r="L23" s="4" t="inlineStr">
        <is>
          <t>1111115155</t>
        </is>
      </c>
    </row>
    <row r="24">
      <c r="A24" s="4" t="n">
        <v>21</v>
      </c>
      <c r="B24" s="4" t="inlineStr">
        <is>
          <t>2026/08/04</t>
        </is>
      </c>
      <c r="C24" s="4" t="inlineStr">
        <is>
          <t>95</t>
        </is>
      </c>
      <c r="D24" s="4" t="inlineStr">
        <is>
          <t>هانك</t>
        </is>
      </c>
      <c r="E24" s="4" t="inlineStr">
        <is>
          <t>طبق</t>
        </is>
      </c>
      <c r="F24" s="5" t="n">
        <v>400</v>
      </c>
      <c r="G24" s="6" t="n">
        <v>250</v>
      </c>
      <c r="H24" s="5" t="n">
        <v>100000</v>
      </c>
      <c r="I24" s="4" t="inlineStr">
        <is>
          <t>هانك</t>
        </is>
      </c>
      <c r="J24" s="4" t="inlineStr">
        <is>
          <t>عالية</t>
        </is>
      </c>
      <c r="K24" s="4" t="inlineStr">
        <is>
          <t>نفس ربط الكود فى يوليو: تطابق اسمى تام</t>
        </is>
      </c>
      <c r="L24" s="4" t="inlineStr">
        <is>
          <t>1111115156</t>
        </is>
      </c>
    </row>
    <row r="25">
      <c r="A25" s="4" t="n">
        <v>22</v>
      </c>
      <c r="B25" s="4" t="inlineStr">
        <is>
          <t>2026/08/04</t>
        </is>
      </c>
      <c r="C25" s="4" t="inlineStr">
        <is>
          <t>50</t>
        </is>
      </c>
      <c r="D25" s="4" t="inlineStr">
        <is>
          <t>بصل</t>
        </is>
      </c>
      <c r="E25" s="4" t="inlineStr">
        <is>
          <t>طبق</t>
        </is>
      </c>
      <c r="F25" s="5" t="n">
        <v>1000</v>
      </c>
      <c r="G25" s="6" t="n">
        <v>13.5</v>
      </c>
      <c r="H25" s="5" t="n">
        <v>13500</v>
      </c>
      <c r="I25" s="4" t="inlineStr">
        <is>
          <t>بصل</t>
        </is>
      </c>
      <c r="J25" s="4" t="inlineStr">
        <is>
          <t>عالية</t>
        </is>
      </c>
      <c r="K25" s="4" t="inlineStr">
        <is>
          <t>نفس ربط الكود فى يوليو: تطابق اسمى تام</t>
        </is>
      </c>
      <c r="L25" s="4" t="inlineStr">
        <is>
          <t>1111115150</t>
        </is>
      </c>
    </row>
    <row r="26">
      <c r="A26" s="4" t="n">
        <v>23</v>
      </c>
      <c r="B26" s="4" t="inlineStr">
        <is>
          <t>2026/08/05</t>
        </is>
      </c>
      <c r="C26" s="4" t="inlineStr">
        <is>
          <t>190</t>
        </is>
      </c>
      <c r="D26" s="4" t="inlineStr">
        <is>
          <t>صميد</t>
        </is>
      </c>
      <c r="E26" s="4" t="inlineStr">
        <is>
          <t>طبق</t>
        </is>
      </c>
      <c r="F26" s="5" t="n">
        <v>1100</v>
      </c>
      <c r="G26" s="6" t="n">
        <v>16.25</v>
      </c>
      <c r="H26" s="5" t="n">
        <v>17875</v>
      </c>
      <c r="I26" s="4" t="inlineStr">
        <is>
          <t>صميد</t>
        </is>
      </c>
      <c r="J26" s="4" t="inlineStr">
        <is>
          <t>عالية</t>
        </is>
      </c>
      <c r="K26" s="4" t="inlineStr">
        <is>
          <t>نفس ربط الكود فى يوليو: تطابق اسمى تام</t>
        </is>
      </c>
      <c r="L26" s="4" t="inlineStr">
        <is>
          <t>1111115157</t>
        </is>
      </c>
    </row>
    <row r="27">
      <c r="A27" s="8" t="n">
        <v>24</v>
      </c>
      <c r="B27" s="8" t="inlineStr">
        <is>
          <t>2026/08/05</t>
        </is>
      </c>
      <c r="C27" s="8" t="inlineStr">
        <is>
          <t>395</t>
        </is>
      </c>
      <c r="D27" s="8" t="inlineStr">
        <is>
          <t>زيت عربيات 5كيلو</t>
        </is>
      </c>
      <c r="E27" s="8" t="inlineStr">
        <is>
          <t>كيلو</t>
        </is>
      </c>
      <c r="F27" s="11" t="n">
        <v>9</v>
      </c>
      <c r="G27" s="12" t="n">
        <v>1350</v>
      </c>
      <c r="H27" s="11" t="n">
        <v>12150</v>
      </c>
      <c r="I27" s="8" t="inlineStr">
        <is>
          <t>زيت سيارات</t>
        </is>
      </c>
      <c r="J27" s="8" t="inlineStr">
        <is>
          <t>متوسطة</t>
        </is>
      </c>
      <c r="K27" s="8" t="inlineStr">
        <is>
          <t>«عربيات» = سيارات؛ وحدة الشراء «كيلو» بسعر 1350 للعبوة 5 كيلو بينما الجرد بالعدد — يُراجَع</t>
        </is>
      </c>
      <c r="L27" s="8" t="inlineStr">
        <is>
          <t>1111115158</t>
        </is>
      </c>
    </row>
    <row r="28">
      <c r="A28" s="8" t="n">
        <v>25</v>
      </c>
      <c r="B28" s="8" t="inlineStr">
        <is>
          <t>2026/08/12</t>
        </is>
      </c>
      <c r="C28" s="8" t="inlineStr">
        <is>
          <t>51</t>
        </is>
      </c>
      <c r="D28" s="8" t="inlineStr">
        <is>
          <t>صويا مصرى</t>
        </is>
      </c>
      <c r="E28" s="8" t="inlineStr">
        <is>
          <t>طبق</t>
        </is>
      </c>
      <c r="F28" s="11" t="n">
        <v>1000</v>
      </c>
      <c r="G28" s="12" t="n">
        <v>37</v>
      </c>
      <c r="H28" s="11" t="n">
        <v>37000</v>
      </c>
      <c r="I28" s="8" t="inlineStr">
        <is>
          <t>صويا لحمه</t>
        </is>
      </c>
      <c r="J28" s="8" t="inlineStr">
        <is>
          <t>متوسطة</t>
        </is>
      </c>
      <c r="K28" s="8" t="inlineStr">
        <is>
          <t>نفس ربط الكود فى يوليو: الصويا العامة تُحمَّل على «صويا لحمه» (سعر 32–40 ≈ 39.44) — نفس افتراض ملف يونيه</t>
        </is>
      </c>
      <c r="L28" s="8" t="inlineStr">
        <is>
          <t>1111115159</t>
        </is>
      </c>
    </row>
    <row r="29">
      <c r="A29" s="8" t="n">
        <v>26</v>
      </c>
      <c r="B29" s="8" t="inlineStr">
        <is>
          <t>2026/08/12</t>
        </is>
      </c>
      <c r="C29" s="8" t="inlineStr">
        <is>
          <t>14</t>
        </is>
      </c>
      <c r="D29" s="8" t="inlineStr">
        <is>
          <t>تشكيله هندى امامى</t>
        </is>
      </c>
      <c r="E29" s="8" t="inlineStr">
        <is>
          <t>كيلو</t>
        </is>
      </c>
      <c r="F29" s="11" t="n">
        <v>160</v>
      </c>
      <c r="G29" s="12" t="n">
        <v>255</v>
      </c>
      <c r="H29" s="11" t="n">
        <v>40800</v>
      </c>
      <c r="I29" s="8" t="inlineStr">
        <is>
          <t>@مجمع اللحوم الهندى</t>
        </is>
      </c>
      <c r="J29" s="8" t="inlineStr">
        <is>
          <t>متوسطة</t>
        </is>
      </c>
      <c r="K29" s="8" t="inlineStr">
        <is>
          <t>نفس ربط الكود فى يوليو: لحوم هندى مجمَّعة: بنود (كتف/رقبه/سن/أرباع) بسعر يونيه موحَّد 253</t>
        </is>
      </c>
      <c r="L29" s="8" t="inlineStr">
        <is>
          <t>1111115161</t>
        </is>
      </c>
    </row>
    <row r="30">
      <c r="A30" s="4" t="n">
        <v>27</v>
      </c>
      <c r="B30" s="4" t="inlineStr">
        <is>
          <t>2026/08/12</t>
        </is>
      </c>
      <c r="C30" s="4" t="inlineStr">
        <is>
          <t>334</t>
        </is>
      </c>
      <c r="D30" s="4" t="inlineStr">
        <is>
          <t>فلنك</t>
        </is>
      </c>
      <c r="E30" s="4" t="inlineStr">
        <is>
          <t>طبق</t>
        </is>
      </c>
      <c r="F30" s="5" t="n">
        <v>200</v>
      </c>
      <c r="G30" s="6" t="n">
        <v>200</v>
      </c>
      <c r="H30" s="5" t="n">
        <v>40000</v>
      </c>
      <c r="I30" s="4" t="inlineStr">
        <is>
          <t>فلانك</t>
        </is>
      </c>
      <c r="J30" s="4" t="inlineStr">
        <is>
          <t>عالية</t>
        </is>
      </c>
      <c r="K30" s="4" t="inlineStr">
        <is>
          <t>نفس ربط الكود فى يوليو: فرق إملائى فقط (فلنك/فلانك) + نفس نطاق السعر</t>
        </is>
      </c>
      <c r="L30" s="4" t="inlineStr">
        <is>
          <t>1111115161</t>
        </is>
      </c>
    </row>
    <row r="31">
      <c r="A31" s="4" t="n">
        <v>28</v>
      </c>
      <c r="B31" s="4" t="inlineStr">
        <is>
          <t>2026/08/12</t>
        </is>
      </c>
      <c r="C31" s="4" t="inlineStr">
        <is>
          <t>49</t>
        </is>
      </c>
      <c r="D31" s="4" t="inlineStr">
        <is>
          <t>دهن</t>
        </is>
      </c>
      <c r="E31" s="4" t="inlineStr">
        <is>
          <t>طبق</t>
        </is>
      </c>
      <c r="F31" s="5" t="n">
        <v>480</v>
      </c>
      <c r="G31" s="6" t="n">
        <v>50</v>
      </c>
      <c r="H31" s="5" t="n">
        <v>24000</v>
      </c>
      <c r="I31" s="4" t="inlineStr">
        <is>
          <t>دهن بلدي</t>
        </is>
      </c>
      <c r="J31" s="4" t="inlineStr">
        <is>
          <t>عالية</t>
        </is>
      </c>
      <c r="K31" s="4" t="inlineStr">
        <is>
          <t>نفس ربط الكود فى يوليو: بند الدهن الوحيد بالجرد</t>
        </is>
      </c>
      <c r="L31" s="4" t="inlineStr">
        <is>
          <t>1111115160</t>
        </is>
      </c>
    </row>
    <row r="32">
      <c r="A32" s="4" t="n">
        <v>29</v>
      </c>
      <c r="B32" s="4" t="inlineStr">
        <is>
          <t>2026/08/12</t>
        </is>
      </c>
      <c r="C32" s="4" t="inlineStr">
        <is>
          <t>16</t>
        </is>
      </c>
      <c r="D32" s="4" t="inlineStr">
        <is>
          <t>كرتونه كبده امريكى</t>
        </is>
      </c>
      <c r="E32" s="4" t="inlineStr">
        <is>
          <t>كيلو</t>
        </is>
      </c>
      <c r="F32" s="5" t="n">
        <v>179.64</v>
      </c>
      <c r="G32" s="6" t="n">
        <v>165</v>
      </c>
      <c r="H32" s="5" t="n">
        <v>29639.94</v>
      </c>
      <c r="I32" s="4" t="inlineStr">
        <is>
          <t>كبده</t>
        </is>
      </c>
      <c r="J32" s="4" t="inlineStr">
        <is>
          <t>عالية</t>
        </is>
      </c>
      <c r="K32" s="4" t="inlineStr">
        <is>
          <t>نفس ربط الكود فى يوليو: بند الكبدة الوحيد بالجرد + سعر 158 ≈ 169.49 ليونيه</t>
        </is>
      </c>
      <c r="L32" s="4" t="inlineStr">
        <is>
          <t>1111115161</t>
        </is>
      </c>
    </row>
    <row r="33">
      <c r="A33" s="4" t="n">
        <v>30</v>
      </c>
      <c r="B33" s="4" t="inlineStr">
        <is>
          <t>2026/08/13</t>
        </is>
      </c>
      <c r="C33" s="4" t="inlineStr">
        <is>
          <t>49</t>
        </is>
      </c>
      <c r="D33" s="4" t="inlineStr">
        <is>
          <t>دهن</t>
        </is>
      </c>
      <c r="E33" s="4" t="inlineStr">
        <is>
          <t>طبق</t>
        </is>
      </c>
      <c r="F33" s="5" t="n">
        <v>1550</v>
      </c>
      <c r="G33" s="6" t="n">
        <v>55</v>
      </c>
      <c r="H33" s="5" t="n">
        <v>85250</v>
      </c>
      <c r="I33" s="4" t="inlineStr">
        <is>
          <t>دهن بلدي</t>
        </is>
      </c>
      <c r="J33" s="4" t="inlineStr">
        <is>
          <t>عالية</t>
        </is>
      </c>
      <c r="K33" s="4" t="inlineStr">
        <is>
          <t>نفس ربط الكود فى يوليو: بند الدهن الوحيد بالجرد</t>
        </is>
      </c>
      <c r="L33" s="4" t="inlineStr">
        <is>
          <t>1111115162</t>
        </is>
      </c>
    </row>
    <row r="34">
      <c r="A34" s="4" t="n">
        <v>31</v>
      </c>
      <c r="B34" s="4" t="inlineStr">
        <is>
          <t>2026/08/13</t>
        </is>
      </c>
      <c r="C34" s="4" t="inlineStr">
        <is>
          <t>188</t>
        </is>
      </c>
      <c r="D34" s="4" t="inlineStr">
        <is>
          <t>برغل</t>
        </is>
      </c>
      <c r="E34" s="4" t="inlineStr">
        <is>
          <t>طبق</t>
        </is>
      </c>
      <c r="F34" s="5" t="n">
        <v>350</v>
      </c>
      <c r="G34" s="6" t="n">
        <v>21.5</v>
      </c>
      <c r="H34" s="5" t="n">
        <v>7525</v>
      </c>
      <c r="I34" s="4" t="inlineStr">
        <is>
          <t>برغل</t>
        </is>
      </c>
      <c r="J34" s="4" t="inlineStr">
        <is>
          <t>عالية</t>
        </is>
      </c>
      <c r="K34" s="4" t="inlineStr">
        <is>
          <t>نفس ربط الكود فى يوليو: تطابق اسمى + سعر يونيه 21.3641 ≈ سعر الشراء 21.50</t>
        </is>
      </c>
      <c r="L34" s="4" t="inlineStr">
        <is>
          <t>1111115163</t>
        </is>
      </c>
    </row>
    <row r="35">
      <c r="A35" s="4" t="n">
        <v>32</v>
      </c>
      <c r="B35" s="4" t="inlineStr">
        <is>
          <t>2026/08/13</t>
        </is>
      </c>
      <c r="C35" s="4" t="inlineStr">
        <is>
          <t>89</t>
        </is>
      </c>
      <c r="D35" s="4" t="inlineStr">
        <is>
          <t>طعم ليه</t>
        </is>
      </c>
      <c r="E35" s="4" t="inlineStr">
        <is>
          <t>طبق</t>
        </is>
      </c>
      <c r="F35" s="5" t="n">
        <v>25</v>
      </c>
      <c r="G35" s="6" t="n">
        <v>295</v>
      </c>
      <c r="H35" s="5" t="n">
        <v>7375</v>
      </c>
      <c r="I35" s="4" t="inlineStr">
        <is>
          <t>طعم ليه</t>
        </is>
      </c>
      <c r="J35" s="4" t="inlineStr">
        <is>
          <t>عالية</t>
        </is>
      </c>
      <c r="K35" s="4" t="inlineStr">
        <is>
          <t>نفس ربط الكود فى يوليو: تطابق اسمى تام</t>
        </is>
      </c>
      <c r="L35" s="4" t="inlineStr">
        <is>
          <t>1111115164</t>
        </is>
      </c>
    </row>
    <row r="36">
      <c r="A36" s="4" t="n">
        <v>33</v>
      </c>
      <c r="B36" s="4" t="inlineStr">
        <is>
          <t>2026/08/13</t>
        </is>
      </c>
      <c r="C36" s="4" t="inlineStr">
        <is>
          <t>222</t>
        </is>
      </c>
      <c r="D36" s="4" t="inlineStr">
        <is>
          <t>طعم كفته</t>
        </is>
      </c>
      <c r="E36" s="4" t="inlineStr">
        <is>
          <t>طبق</t>
        </is>
      </c>
      <c r="F36" s="5" t="n">
        <v>25</v>
      </c>
      <c r="G36" s="6" t="n">
        <v>190</v>
      </c>
      <c r="H36" s="5" t="n">
        <v>4750</v>
      </c>
      <c r="I36" s="4" t="inlineStr">
        <is>
          <t>طعم كفته</t>
        </is>
      </c>
      <c r="J36" s="4" t="inlineStr">
        <is>
          <t>عالية</t>
        </is>
      </c>
      <c r="K36" s="4" t="inlineStr">
        <is>
          <t>تطابق اسمى تام</t>
        </is>
      </c>
      <c r="L36" s="4" t="inlineStr">
        <is>
          <t>1111115164</t>
        </is>
      </c>
    </row>
    <row r="37">
      <c r="A37" s="4" t="n">
        <v>34</v>
      </c>
      <c r="B37" s="4" t="inlineStr">
        <is>
          <t>2026/08/13</t>
        </is>
      </c>
      <c r="C37" s="4" t="inlineStr">
        <is>
          <t>235</t>
        </is>
      </c>
      <c r="D37" s="4" t="inlineStr">
        <is>
          <t>طعم بيف</t>
        </is>
      </c>
      <c r="E37" s="4" t="inlineStr">
        <is>
          <t>طبق</t>
        </is>
      </c>
      <c r="F37" s="5" t="n">
        <v>25</v>
      </c>
      <c r="G37" s="6" t="n">
        <v>310</v>
      </c>
      <c r="H37" s="5" t="n">
        <v>7750</v>
      </c>
      <c r="I37" s="4" t="inlineStr">
        <is>
          <t>طعم بيف</t>
        </is>
      </c>
      <c r="J37" s="4" t="inlineStr">
        <is>
          <t>عالية</t>
        </is>
      </c>
      <c r="K37" s="4" t="inlineStr">
        <is>
          <t>نفس ربط الكود فى يوليو: تطابق اسمى تام</t>
        </is>
      </c>
      <c r="L37" s="4" t="inlineStr">
        <is>
          <t>1111115164</t>
        </is>
      </c>
    </row>
    <row r="38">
      <c r="A38" s="4" t="n">
        <v>35</v>
      </c>
      <c r="B38" s="4" t="inlineStr">
        <is>
          <t>2026/08/13</t>
        </is>
      </c>
      <c r="C38" s="4" t="inlineStr">
        <is>
          <t>244</t>
        </is>
      </c>
      <c r="D38" s="4" t="inlineStr">
        <is>
          <t>طعم شواي</t>
        </is>
      </c>
      <c r="E38" s="4" t="inlineStr">
        <is>
          <t>طبق</t>
        </is>
      </c>
      <c r="F38" s="5" t="n">
        <v>50</v>
      </c>
      <c r="G38" s="6" t="n">
        <v>295</v>
      </c>
      <c r="H38" s="5" t="n">
        <v>14750</v>
      </c>
      <c r="I38" s="4" t="inlineStr">
        <is>
          <t>طعم شواي</t>
        </is>
      </c>
      <c r="J38" s="4" t="inlineStr">
        <is>
          <t>عالية</t>
        </is>
      </c>
      <c r="K38" s="4" t="inlineStr">
        <is>
          <t>نفس ربط الكود فى يوليو: سعر الشراء 295.00 = سعر يونيه 295.00</t>
        </is>
      </c>
      <c r="L38" s="4" t="inlineStr">
        <is>
          <t>1111115164</t>
        </is>
      </c>
    </row>
    <row r="39">
      <c r="A39" s="4" t="n">
        <v>36</v>
      </c>
      <c r="B39" s="4" t="inlineStr">
        <is>
          <t>2026/08/15</t>
        </is>
      </c>
      <c r="C39" s="4" t="inlineStr">
        <is>
          <t>372</t>
        </is>
      </c>
      <c r="D39" s="4" t="inlineStr">
        <is>
          <t>مفروم فراخ C</t>
        </is>
      </c>
      <c r="E39" s="4" t="inlineStr">
        <is>
          <t>طبق</t>
        </is>
      </c>
      <c r="F39" s="5" t="n">
        <v>1500</v>
      </c>
      <c r="G39" s="6" t="n">
        <v>28</v>
      </c>
      <c r="H39" s="5" t="n">
        <v>42000</v>
      </c>
      <c r="I39" s="4" t="inlineStr">
        <is>
          <t>مفروم فراخ شعبي</t>
        </is>
      </c>
      <c r="J39" s="4" t="inlineStr">
        <is>
          <t>عالية</t>
        </is>
      </c>
      <c r="K39" s="4" t="inlineStr">
        <is>
          <t>نفس ربط الكود فى يوليو: الرتبة C = الدرجة الشعبية (سعر 28 مقابل 34.7 ليونيه)</t>
        </is>
      </c>
      <c r="L39" s="4" t="inlineStr">
        <is>
          <t>1111115165</t>
        </is>
      </c>
    </row>
    <row r="40">
      <c r="A40" s="4" t="n">
        <v>37</v>
      </c>
      <c r="B40" s="4" t="inlineStr">
        <is>
          <t>2026/08/15</t>
        </is>
      </c>
      <c r="C40" s="4" t="inlineStr">
        <is>
          <t>370</t>
        </is>
      </c>
      <c r="D40" s="4" t="inlineStr">
        <is>
          <t>مفروم فراخ A</t>
        </is>
      </c>
      <c r="E40" s="4" t="inlineStr">
        <is>
          <t>طبق</t>
        </is>
      </c>
      <c r="F40" s="5" t="n">
        <v>300</v>
      </c>
      <c r="G40" s="6" t="n">
        <v>55</v>
      </c>
      <c r="H40" s="5" t="n">
        <v>16500</v>
      </c>
      <c r="I40" s="4" t="inlineStr">
        <is>
          <t>مفروم فراخ فاخر</t>
        </is>
      </c>
      <c r="J40" s="4" t="inlineStr">
        <is>
          <t>عالية</t>
        </is>
      </c>
      <c r="K40" s="4" t="inlineStr">
        <is>
          <t>نفس ربط الكود فى يوليو: الرتبة A = الدرجة الفاخرة (سعر 55–57 ≈ 58.50 ليونيه)</t>
        </is>
      </c>
      <c r="L40" s="4" t="inlineStr">
        <is>
          <t>1111115165</t>
        </is>
      </c>
    </row>
    <row r="41">
      <c r="A41" s="4" t="n">
        <v>38</v>
      </c>
      <c r="B41" s="4" t="inlineStr">
        <is>
          <t>2026/08/15</t>
        </is>
      </c>
      <c r="C41" s="4" t="inlineStr">
        <is>
          <t>50</t>
        </is>
      </c>
      <c r="D41" s="4" t="inlineStr">
        <is>
          <t>بصل</t>
        </is>
      </c>
      <c r="E41" s="4" t="inlineStr">
        <is>
          <t>طبق</t>
        </is>
      </c>
      <c r="F41" s="5" t="n">
        <v>990</v>
      </c>
      <c r="G41" s="6" t="n">
        <v>14</v>
      </c>
      <c r="H41" s="5" t="n">
        <v>13860</v>
      </c>
      <c r="I41" s="4" t="inlineStr">
        <is>
          <t>بصل</t>
        </is>
      </c>
      <c r="J41" s="4" t="inlineStr">
        <is>
          <t>عالية</t>
        </is>
      </c>
      <c r="K41" s="4" t="inlineStr">
        <is>
          <t>نفس ربط الكود فى يوليو: تطابق اسمى تام</t>
        </is>
      </c>
      <c r="L41" s="4" t="inlineStr">
        <is>
          <t>1111115166</t>
        </is>
      </c>
    </row>
    <row r="42">
      <c r="A42" s="4" t="n">
        <v>39</v>
      </c>
      <c r="B42" s="4" t="inlineStr">
        <is>
          <t>2026/08/15</t>
        </is>
      </c>
      <c r="C42" s="4" t="inlineStr">
        <is>
          <t>334</t>
        </is>
      </c>
      <c r="D42" s="4" t="inlineStr">
        <is>
          <t>فلنك</t>
        </is>
      </c>
      <c r="E42" s="4" t="inlineStr">
        <is>
          <t>طبق</t>
        </is>
      </c>
      <c r="F42" s="5" t="n">
        <v>200</v>
      </c>
      <c r="G42" s="6" t="n">
        <v>195</v>
      </c>
      <c r="H42" s="5" t="n">
        <v>39000</v>
      </c>
      <c r="I42" s="4" t="inlineStr">
        <is>
          <t>فلانك</t>
        </is>
      </c>
      <c r="J42" s="4" t="inlineStr">
        <is>
          <t>عالية</t>
        </is>
      </c>
      <c r="K42" s="4" t="inlineStr">
        <is>
          <t>نفس ربط الكود فى يوليو: فرق إملائى فقط (فلنك/فلانك) + نفس نطاق السعر</t>
        </is>
      </c>
      <c r="L42" s="4" t="inlineStr">
        <is>
          <t>1111115167</t>
        </is>
      </c>
    </row>
    <row r="43">
      <c r="A43" s="4" t="n">
        <v>40</v>
      </c>
      <c r="B43" s="4" t="inlineStr">
        <is>
          <t>2026/08/15</t>
        </is>
      </c>
      <c r="C43" s="4" t="inlineStr">
        <is>
          <t>178</t>
        </is>
      </c>
      <c r="D43" s="4" t="inlineStr">
        <is>
          <t>اكياس تغليف برجر الهنا كبير</t>
        </is>
      </c>
      <c r="E43" s="4" t="inlineStr">
        <is>
          <t>طبق</t>
        </is>
      </c>
      <c r="F43" s="5" t="n">
        <v>529.3</v>
      </c>
      <c r="G43" s="6" t="n">
        <v>213</v>
      </c>
      <c r="H43" s="5" t="n">
        <v>112740.9</v>
      </c>
      <c r="I43" s="4" t="inlineStr">
        <is>
          <t>اكياس برجر الهنا ك</t>
        </is>
      </c>
      <c r="J43" s="4" t="inlineStr">
        <is>
          <t>عالية</t>
        </is>
      </c>
      <c r="K43" s="4" t="inlineStr">
        <is>
          <t>أكياس تغليف برجر الهنا — «كبير» = ك</t>
        </is>
      </c>
      <c r="L43" s="4" t="inlineStr">
        <is>
          <t>1111115199</t>
        </is>
      </c>
    </row>
    <row r="44">
      <c r="A44" s="4" t="n">
        <v>41</v>
      </c>
      <c r="B44" s="4" t="inlineStr">
        <is>
          <t>2026/08/15</t>
        </is>
      </c>
      <c r="C44" s="4" t="inlineStr">
        <is>
          <t>179</t>
        </is>
      </c>
      <c r="D44" s="4" t="inlineStr">
        <is>
          <t>اكياس تغليف سجق الهنا صغير</t>
        </is>
      </c>
      <c r="E44" s="4" t="inlineStr">
        <is>
          <t>طبق</t>
        </is>
      </c>
      <c r="F44" s="5" t="n">
        <v>282.5</v>
      </c>
      <c r="G44" s="6" t="n">
        <v>213</v>
      </c>
      <c r="H44" s="5" t="n">
        <v>60172.5</v>
      </c>
      <c r="I44" s="4" t="inlineStr">
        <is>
          <t>اكياس سجق الهنا ص</t>
        </is>
      </c>
      <c r="J44" s="4" t="inlineStr">
        <is>
          <t>عالية</t>
        </is>
      </c>
      <c r="K44" s="4" t="inlineStr">
        <is>
          <t>أكياس تغليف سجق الهنا — «صغير» = ص</t>
        </is>
      </c>
      <c r="L44" s="4" t="inlineStr">
        <is>
          <t>1111115199</t>
        </is>
      </c>
    </row>
    <row r="45">
      <c r="A45" s="4" t="n">
        <v>42</v>
      </c>
      <c r="B45" s="4" t="inlineStr">
        <is>
          <t>2026/08/15</t>
        </is>
      </c>
      <c r="C45" s="4" t="inlineStr">
        <is>
          <t>177</t>
        </is>
      </c>
      <c r="D45" s="4" t="inlineStr">
        <is>
          <t>اكياس تغليف برجر صغير الهنا</t>
        </is>
      </c>
      <c r="E45" s="4" t="inlineStr">
        <is>
          <t>كيلو</t>
        </is>
      </c>
      <c r="F45" s="5" t="n">
        <v>282.5</v>
      </c>
      <c r="G45" s="6" t="n">
        <v>213</v>
      </c>
      <c r="H45" s="5" t="n">
        <v>60172.5</v>
      </c>
      <c r="I45" s="4" t="inlineStr">
        <is>
          <t>اكياس برجر الهنا ص</t>
        </is>
      </c>
      <c r="J45" s="4" t="inlineStr">
        <is>
          <t>عالية</t>
        </is>
      </c>
      <c r="K45" s="4" t="inlineStr">
        <is>
          <t>أكياس تغليف برجر الهنا — «صغير» = ص</t>
        </is>
      </c>
      <c r="L45" s="4" t="inlineStr">
        <is>
          <t>1111115199</t>
        </is>
      </c>
    </row>
    <row r="46">
      <c r="A46" s="4" t="n">
        <v>43</v>
      </c>
      <c r="B46" s="4" t="inlineStr">
        <is>
          <t>2026/08/15</t>
        </is>
      </c>
      <c r="C46" s="4" t="inlineStr">
        <is>
          <t>181</t>
        </is>
      </c>
      <c r="D46" s="4" t="inlineStr">
        <is>
          <t>اكياس تغليف كفته الهنا 350</t>
        </is>
      </c>
      <c r="E46" s="4" t="inlineStr">
        <is>
          <t>طبق</t>
        </is>
      </c>
      <c r="F46" s="5" t="n">
        <v>282.5</v>
      </c>
      <c r="G46" s="6" t="n">
        <v>213</v>
      </c>
      <c r="H46" s="5" t="n">
        <v>60172.5</v>
      </c>
      <c r="I46" s="4" t="inlineStr">
        <is>
          <t>اكياس كفتة الهنا ص</t>
        </is>
      </c>
      <c r="J46" s="4" t="inlineStr">
        <is>
          <t>عالية</t>
        </is>
      </c>
      <c r="K46" s="4" t="inlineStr">
        <is>
          <t>عبوة 350 جم = كيس كفته الهنا الصغير (ص)</t>
        </is>
      </c>
      <c r="L46" s="4" t="inlineStr">
        <is>
          <t>1111115199</t>
        </is>
      </c>
    </row>
    <row r="47">
      <c r="A47" s="8" t="n">
        <v>44</v>
      </c>
      <c r="B47" s="8" t="inlineStr">
        <is>
          <t>2026/08/15</t>
        </is>
      </c>
      <c r="C47" s="8" t="inlineStr">
        <is>
          <t>312</t>
        </is>
      </c>
      <c r="D47" s="8" t="inlineStr">
        <is>
          <t>فرش برجر</t>
        </is>
      </c>
      <c r="E47" s="8" t="inlineStr">
        <is>
          <t>طبق</t>
        </is>
      </c>
      <c r="F47" s="11" t="n">
        <v>90</v>
      </c>
      <c r="G47" s="12" t="n">
        <v>90</v>
      </c>
      <c r="H47" s="11" t="n">
        <v>8100</v>
      </c>
      <c r="I47" s="8" t="inlineStr">
        <is>
          <t>فرش البرجر 11*11</t>
        </is>
      </c>
      <c r="J47" s="8" t="inlineStr">
        <is>
          <t>متوسطة</t>
        </is>
      </c>
      <c r="K47" s="8" t="inlineStr">
        <is>
          <t>نفس ربط الكود فى يوليو: مقاس 11×11 هو الوحيد ذو رصيد؛ نفس سعر يونيه للمقاسين</t>
        </is>
      </c>
      <c r="L47" s="8" t="inlineStr">
        <is>
          <t>1111115169</t>
        </is>
      </c>
    </row>
    <row r="48">
      <c r="A48" s="4" t="n">
        <v>45</v>
      </c>
      <c r="B48" s="4" t="inlineStr">
        <is>
          <t>2026/08/15</t>
        </is>
      </c>
      <c r="C48" s="4" t="inlineStr">
        <is>
          <t>336</t>
        </is>
      </c>
      <c r="D48" s="4" t="inlineStr">
        <is>
          <t>فرش كفته</t>
        </is>
      </c>
      <c r="E48" s="4" t="inlineStr">
        <is>
          <t>طبق</t>
        </is>
      </c>
      <c r="F48" s="5" t="n">
        <v>30</v>
      </c>
      <c r="G48" s="6" t="n">
        <v>85</v>
      </c>
      <c r="H48" s="5" t="n">
        <v>2550</v>
      </c>
      <c r="I48" s="4" t="inlineStr">
        <is>
          <t>فرش كفته</t>
        </is>
      </c>
      <c r="J48" s="4" t="inlineStr">
        <is>
          <t>عالية</t>
        </is>
      </c>
      <c r="K48" s="4" t="inlineStr">
        <is>
          <t>نفس ربط الكود فى يوليو: تطابق اسمى تام</t>
        </is>
      </c>
      <c r="L48" s="4" t="inlineStr">
        <is>
          <t>1111115169</t>
        </is>
      </c>
    </row>
    <row r="49">
      <c r="A49" s="4" t="n">
        <v>46</v>
      </c>
      <c r="B49" s="4" t="inlineStr">
        <is>
          <t>2026/08/17</t>
        </is>
      </c>
      <c r="C49" s="4" t="inlineStr">
        <is>
          <t>299</t>
        </is>
      </c>
      <c r="D49" s="4" t="inlineStr">
        <is>
          <t>جلد فراخ</t>
        </is>
      </c>
      <c r="E49" s="4" t="inlineStr">
        <is>
          <t>طبق</t>
        </is>
      </c>
      <c r="F49" s="5" t="n">
        <v>535</v>
      </c>
      <c r="G49" s="6" t="n">
        <v>28</v>
      </c>
      <c r="H49" s="5" t="n">
        <v>14980</v>
      </c>
      <c r="I49" s="4" t="inlineStr">
        <is>
          <t>جلد</t>
        </is>
      </c>
      <c r="J49" s="4" t="inlineStr">
        <is>
          <t>عالية</t>
        </is>
      </c>
      <c r="K49" s="4" t="inlineStr">
        <is>
          <t>جلد الفراخ هو «جلد» بالوصفات؛ سعر 28 ≈ 29.66 ليوليو</t>
        </is>
      </c>
      <c r="L49" s="4" t="inlineStr">
        <is>
          <t>1111115170</t>
        </is>
      </c>
    </row>
    <row r="50">
      <c r="A50" s="4" t="n">
        <v>47</v>
      </c>
      <c r="B50" s="4" t="inlineStr">
        <is>
          <t>2026/08/17</t>
        </is>
      </c>
      <c r="C50" s="4" t="inlineStr">
        <is>
          <t>325</t>
        </is>
      </c>
      <c r="D50" s="4" t="inlineStr">
        <is>
          <t>دوبريه</t>
        </is>
      </c>
      <c r="E50" s="4" t="inlineStr">
        <is>
          <t>طبق</t>
        </is>
      </c>
      <c r="F50" s="5" t="n">
        <v>560</v>
      </c>
      <c r="G50" s="6" t="n">
        <v>90</v>
      </c>
      <c r="H50" s="5" t="n">
        <v>50400</v>
      </c>
      <c r="I50" s="4" t="inlineStr">
        <is>
          <t>دوبريه</t>
        </is>
      </c>
      <c r="J50" s="4" t="inlineStr">
        <is>
          <t>عالية</t>
        </is>
      </c>
      <c r="K50" s="4" t="inlineStr">
        <is>
          <t>نفس ربط الكود فى يوليو: تطابق اسمى تام</t>
        </is>
      </c>
      <c r="L50" s="4" t="inlineStr">
        <is>
          <t>1111115170</t>
        </is>
      </c>
    </row>
    <row r="51">
      <c r="A51" s="8" t="n">
        <v>48</v>
      </c>
      <c r="B51" s="8" t="inlineStr">
        <is>
          <t>2026/08/17</t>
        </is>
      </c>
      <c r="C51" s="8" t="inlineStr">
        <is>
          <t>14</t>
        </is>
      </c>
      <c r="D51" s="8" t="inlineStr">
        <is>
          <t>تشكيله هندى امامى</t>
        </is>
      </c>
      <c r="E51" s="8" t="inlineStr">
        <is>
          <t>كيلو</t>
        </is>
      </c>
      <c r="F51" s="11" t="n">
        <v>80</v>
      </c>
      <c r="G51" s="12" t="n">
        <v>250</v>
      </c>
      <c r="H51" s="11" t="n">
        <v>20000</v>
      </c>
      <c r="I51" s="8" t="inlineStr">
        <is>
          <t>@مجمع اللحوم الهندى</t>
        </is>
      </c>
      <c r="J51" s="8" t="inlineStr">
        <is>
          <t>متوسطة</t>
        </is>
      </c>
      <c r="K51" s="8" t="inlineStr">
        <is>
          <t>نفس ربط الكود فى يوليو: لحوم هندى مجمَّعة: بنود (كتف/رقبه/سن/أرباع) بسعر يونيه موحَّد 253</t>
        </is>
      </c>
      <c r="L51" s="8" t="inlineStr">
        <is>
          <t>1111115171</t>
        </is>
      </c>
    </row>
    <row r="52">
      <c r="A52" s="8" t="n">
        <v>49</v>
      </c>
      <c r="B52" s="8" t="inlineStr">
        <is>
          <t>2026/08/17</t>
        </is>
      </c>
      <c r="C52" s="8" t="inlineStr">
        <is>
          <t>154</t>
        </is>
      </c>
      <c r="D52" s="8" t="inlineStr">
        <is>
          <t>فلفل اخضر عام عام</t>
        </is>
      </c>
      <c r="E52" s="8" t="inlineStr">
        <is>
          <t>طبق</t>
        </is>
      </c>
      <c r="F52" s="11" t="n">
        <v>498</v>
      </c>
      <c r="G52" s="12" t="n">
        <v>9.5</v>
      </c>
      <c r="H52" s="11" t="n">
        <v>4731</v>
      </c>
      <c r="I52" s="8" t="inlineStr">
        <is>
          <t>فلفل بارد</t>
        </is>
      </c>
      <c r="J52" s="8" t="inlineStr">
        <is>
          <t>متوسطة</t>
        </is>
      </c>
      <c r="K52" s="8" t="inlineStr">
        <is>
          <t>نفس ربط الكود فى يوليو: الفلفل الأخضر غير الحار = «البارد»؛ سعر 12–14 ≈ 14.92 ليونيه</t>
        </is>
      </c>
      <c r="L52" s="8" t="inlineStr">
        <is>
          <t>1111115172</t>
        </is>
      </c>
    </row>
    <row r="53">
      <c r="A53" s="8" t="n">
        <v>50</v>
      </c>
      <c r="B53" s="8" t="inlineStr">
        <is>
          <t>2026/08/18</t>
        </is>
      </c>
      <c r="C53" s="8" t="inlineStr">
        <is>
          <t>51</t>
        </is>
      </c>
      <c r="D53" s="8" t="inlineStr">
        <is>
          <t>صويا مصرى</t>
        </is>
      </c>
      <c r="E53" s="8" t="inlineStr">
        <is>
          <t>طبق</t>
        </is>
      </c>
      <c r="F53" s="11" t="n">
        <v>1000</v>
      </c>
      <c r="G53" s="12" t="n">
        <v>37</v>
      </c>
      <c r="H53" s="11" t="n">
        <v>37000</v>
      </c>
      <c r="I53" s="8" t="inlineStr">
        <is>
          <t>صويا لحمه</t>
        </is>
      </c>
      <c r="J53" s="8" t="inlineStr">
        <is>
          <t>متوسطة</t>
        </is>
      </c>
      <c r="K53" s="8" t="inlineStr">
        <is>
          <t>نفس ربط الكود فى يوليو: الصويا العامة تُحمَّل على «صويا لحمه» (سعر 32–40 ≈ 39.44) — نفس افتراض ملف يونيه</t>
        </is>
      </c>
      <c r="L53" s="8" t="inlineStr">
        <is>
          <t>1111115173</t>
        </is>
      </c>
    </row>
    <row r="54">
      <c r="A54" s="4" t="n">
        <v>51</v>
      </c>
      <c r="B54" s="4" t="inlineStr">
        <is>
          <t>2026/08/18</t>
        </is>
      </c>
      <c r="C54" s="4" t="inlineStr">
        <is>
          <t>38</t>
        </is>
      </c>
      <c r="D54" s="4" t="inlineStr">
        <is>
          <t>اطباق نص كيلو</t>
        </is>
      </c>
      <c r="E54" s="4" t="inlineStr">
        <is>
          <t>طبق</t>
        </is>
      </c>
      <c r="F54" s="5" t="n">
        <v>20000</v>
      </c>
      <c r="G54" s="6" t="n">
        <v>0.43</v>
      </c>
      <c r="H54" s="5" t="n">
        <v>8600</v>
      </c>
      <c r="I54" s="4" t="inlineStr">
        <is>
          <t>اطباق 1/2</t>
        </is>
      </c>
      <c r="J54" s="4" t="inlineStr">
        <is>
          <t>عالية</t>
        </is>
      </c>
      <c r="K54" s="4" t="inlineStr">
        <is>
          <t>نفس ربط الكود فى يوليو: طبق النصف كيلو = أطباق 1/2</t>
        </is>
      </c>
      <c r="L54" s="4" t="inlineStr">
        <is>
          <t>1111115174</t>
        </is>
      </c>
    </row>
    <row r="55">
      <c r="A55" s="4" t="n">
        <v>52</v>
      </c>
      <c r="B55" s="4" t="inlineStr">
        <is>
          <t>2026/08/18</t>
        </is>
      </c>
      <c r="C55" s="4" t="inlineStr">
        <is>
          <t>95445</t>
        </is>
      </c>
      <c r="D55" s="4" t="inlineStr">
        <is>
          <t>اطباق 4/3عام عام</t>
        </is>
      </c>
      <c r="E55" s="4" t="inlineStr">
        <is>
          <t>طبق</t>
        </is>
      </c>
      <c r="F55" s="5" t="n">
        <v>20000</v>
      </c>
      <c r="G55" s="6" t="n">
        <v>0.59</v>
      </c>
      <c r="H55" s="5" t="n">
        <v>11800</v>
      </c>
      <c r="I55" s="4" t="inlineStr">
        <is>
          <t>اطباق 3/4</t>
        </is>
      </c>
      <c r="J55" s="4" t="inlineStr">
        <is>
          <t>عالية</t>
        </is>
      </c>
      <c r="K55" s="4" t="inlineStr">
        <is>
          <t>نفس ربط الكود فى يوليو: تطابق اسمى تام</t>
        </is>
      </c>
      <c r="L55" s="4" t="inlineStr">
        <is>
          <t>1111115174</t>
        </is>
      </c>
    </row>
    <row r="56">
      <c r="A56" s="4" t="n">
        <v>53</v>
      </c>
      <c r="B56" s="4" t="inlineStr">
        <is>
          <t>2026/08/19</t>
        </is>
      </c>
      <c r="C56" s="4" t="inlineStr">
        <is>
          <t>334</t>
        </is>
      </c>
      <c r="D56" s="4" t="inlineStr">
        <is>
          <t>فلنك</t>
        </is>
      </c>
      <c r="E56" s="4" t="inlineStr">
        <is>
          <t>طبق</t>
        </is>
      </c>
      <c r="F56" s="5" t="n">
        <v>200</v>
      </c>
      <c r="G56" s="6" t="n">
        <v>195</v>
      </c>
      <c r="H56" s="5" t="n">
        <v>39000</v>
      </c>
      <c r="I56" s="4" t="inlineStr">
        <is>
          <t>فلانك</t>
        </is>
      </c>
      <c r="J56" s="4" t="inlineStr">
        <is>
          <t>عالية</t>
        </is>
      </c>
      <c r="K56" s="4" t="inlineStr">
        <is>
          <t>نفس ربط الكود فى يوليو: فرق إملائى فقط (فلنك/فلانك) + نفس نطاق السعر</t>
        </is>
      </c>
      <c r="L56" s="4" t="inlineStr">
        <is>
          <t>1111115175</t>
        </is>
      </c>
    </row>
    <row r="57">
      <c r="A57" s="4" t="n">
        <v>54</v>
      </c>
      <c r="B57" s="4" t="inlineStr">
        <is>
          <t>2026/08/20</t>
        </is>
      </c>
      <c r="C57" s="4" t="inlineStr">
        <is>
          <t>372</t>
        </is>
      </c>
      <c r="D57" s="4" t="inlineStr">
        <is>
          <t>مفروم فراخ C</t>
        </is>
      </c>
      <c r="E57" s="4" t="inlineStr">
        <is>
          <t>طبق</t>
        </is>
      </c>
      <c r="F57" s="5" t="n">
        <v>1650</v>
      </c>
      <c r="G57" s="6" t="n">
        <v>28</v>
      </c>
      <c r="H57" s="5" t="n">
        <v>46200</v>
      </c>
      <c r="I57" s="4" t="inlineStr">
        <is>
          <t>مفروم فراخ شعبي</t>
        </is>
      </c>
      <c r="J57" s="4" t="inlineStr">
        <is>
          <t>عالية</t>
        </is>
      </c>
      <c r="K57" s="4" t="inlineStr">
        <is>
          <t>نفس ربط الكود فى يوليو: الرتبة C = الدرجة الشعبية (سعر 28 مقابل 34.7 ليونيه)</t>
        </is>
      </c>
      <c r="L57" s="4" t="inlineStr">
        <is>
          <t>1111115176</t>
        </is>
      </c>
    </row>
    <row r="58">
      <c r="A58" s="4" t="n">
        <v>55</v>
      </c>
      <c r="B58" s="4" t="inlineStr">
        <is>
          <t>2026/08/20</t>
        </is>
      </c>
      <c r="C58" s="4" t="inlineStr">
        <is>
          <t>275</t>
        </is>
      </c>
      <c r="D58" s="4" t="inlineStr">
        <is>
          <t>لون طبيعي كارمن</t>
        </is>
      </c>
      <c r="E58" s="4" t="inlineStr">
        <is>
          <t>كيلو</t>
        </is>
      </c>
      <c r="F58" s="5" t="n">
        <v>10</v>
      </c>
      <c r="G58" s="6" t="n">
        <v>3000</v>
      </c>
      <c r="H58" s="5" t="n">
        <v>30000</v>
      </c>
      <c r="I58" s="4" t="inlineStr">
        <is>
          <t>لون طبيعي</t>
        </is>
      </c>
      <c r="J58" s="4" t="inlineStr">
        <is>
          <t>عالية</t>
        </is>
      </c>
      <c r="K58" s="4" t="inlineStr">
        <is>
          <t>كارمن = لون طبيعى؛ سعر 3000 ≈ 2919.29 ليوليو</t>
        </is>
      </c>
      <c r="L58" s="4" t="inlineStr">
        <is>
          <t>1111115177</t>
        </is>
      </c>
    </row>
    <row r="59">
      <c r="A59" s="4" t="n">
        <v>56</v>
      </c>
      <c r="B59" s="4" t="inlineStr">
        <is>
          <t>2026/08/20</t>
        </is>
      </c>
      <c r="C59" s="4" t="inlineStr">
        <is>
          <t>236</t>
        </is>
      </c>
      <c r="D59" s="4" t="inlineStr">
        <is>
          <t>افيز</t>
        </is>
      </c>
      <c r="E59" s="4" t="inlineStr">
        <is>
          <t>طبق</t>
        </is>
      </c>
      <c r="F59" s="5" t="n">
        <v>600</v>
      </c>
      <c r="G59" s="6" t="n">
        <v>6.1</v>
      </c>
      <c r="H59" s="5" t="n">
        <v>3660</v>
      </c>
      <c r="I59" s="4" t="inlineStr">
        <is>
          <t>اكياس افيز</t>
        </is>
      </c>
      <c r="J59" s="4" t="inlineStr">
        <is>
          <t>عالية</t>
        </is>
      </c>
      <c r="K59" s="4" t="inlineStr">
        <is>
          <t>سعر 6.10 ≈ 6.31 ليوليو</t>
        </is>
      </c>
      <c r="L59" s="4" t="inlineStr">
        <is>
          <t>1111115178</t>
        </is>
      </c>
    </row>
    <row r="60">
      <c r="A60" s="4" t="n">
        <v>57</v>
      </c>
      <c r="B60" s="4" t="inlineStr">
        <is>
          <t>2026/08/22</t>
        </is>
      </c>
      <c r="C60" s="4" t="inlineStr">
        <is>
          <t>191</t>
        </is>
      </c>
      <c r="D60" s="4" t="inlineStr">
        <is>
          <t>نشا</t>
        </is>
      </c>
      <c r="E60" s="4" t="inlineStr">
        <is>
          <t>طبق</t>
        </is>
      </c>
      <c r="F60" s="5" t="n">
        <v>1000</v>
      </c>
      <c r="G60" s="6" t="n">
        <v>27</v>
      </c>
      <c r="H60" s="5" t="n">
        <v>27000</v>
      </c>
      <c r="I60" s="4" t="inlineStr">
        <is>
          <t>نشا</t>
        </is>
      </c>
      <c r="J60" s="4" t="inlineStr">
        <is>
          <t>عالية</t>
        </is>
      </c>
      <c r="K60" s="4" t="inlineStr">
        <is>
          <t>نفس ربط الكود فى يوليو: تطابق اسمى تام</t>
        </is>
      </c>
      <c r="L60" s="4" t="inlineStr">
        <is>
          <t>1111115179</t>
        </is>
      </c>
    </row>
    <row r="61">
      <c r="A61" s="4" t="n">
        <v>58</v>
      </c>
      <c r="B61" s="4" t="inlineStr">
        <is>
          <t>2026/08/22</t>
        </is>
      </c>
      <c r="C61" s="4" t="inlineStr">
        <is>
          <t>95</t>
        </is>
      </c>
      <c r="D61" s="4" t="inlineStr">
        <is>
          <t>هانك</t>
        </is>
      </c>
      <c r="E61" s="4" t="inlineStr">
        <is>
          <t>طبق</t>
        </is>
      </c>
      <c r="F61" s="5" t="n">
        <v>150</v>
      </c>
      <c r="G61" s="6" t="n">
        <v>250</v>
      </c>
      <c r="H61" s="5" t="n">
        <v>37500</v>
      </c>
      <c r="I61" s="4" t="inlineStr">
        <is>
          <t>هانك</t>
        </is>
      </c>
      <c r="J61" s="4" t="inlineStr">
        <is>
          <t>عالية</t>
        </is>
      </c>
      <c r="K61" s="4" t="inlineStr">
        <is>
          <t>نفس ربط الكود فى يوليو: تطابق اسمى تام</t>
        </is>
      </c>
      <c r="L61" s="4" t="inlineStr">
        <is>
          <t>1111115180</t>
        </is>
      </c>
    </row>
    <row r="62">
      <c r="A62" s="4" t="n">
        <v>59</v>
      </c>
      <c r="B62" s="4" t="inlineStr">
        <is>
          <t>2026/08/23</t>
        </is>
      </c>
      <c r="C62" s="4" t="inlineStr">
        <is>
          <t>50</t>
        </is>
      </c>
      <c r="D62" s="4" t="inlineStr">
        <is>
          <t>بصل</t>
        </is>
      </c>
      <c r="E62" s="4" t="inlineStr">
        <is>
          <t>طبق</t>
        </is>
      </c>
      <c r="F62" s="5" t="n">
        <v>990</v>
      </c>
      <c r="G62" s="6" t="n">
        <v>14</v>
      </c>
      <c r="H62" s="5" t="n">
        <v>13860</v>
      </c>
      <c r="I62" s="4" t="inlineStr">
        <is>
          <t>بصل</t>
        </is>
      </c>
      <c r="J62" s="4" t="inlineStr">
        <is>
          <t>عالية</t>
        </is>
      </c>
      <c r="K62" s="4" t="inlineStr">
        <is>
          <t>نفس ربط الكود فى يوليو: تطابق اسمى تام</t>
        </is>
      </c>
      <c r="L62" s="4" t="inlineStr">
        <is>
          <t>1111115182</t>
        </is>
      </c>
    </row>
    <row r="63">
      <c r="A63" s="4" t="n">
        <v>60</v>
      </c>
      <c r="B63" s="4" t="inlineStr">
        <is>
          <t>2026/08/23</t>
        </is>
      </c>
      <c r="C63" s="4" t="inlineStr">
        <is>
          <t>64</t>
        </is>
      </c>
      <c r="D63" s="4" t="inlineStr">
        <is>
          <t>حبهان</t>
        </is>
      </c>
      <c r="E63" s="4" t="inlineStr">
        <is>
          <t>طبق</t>
        </is>
      </c>
      <c r="F63" s="5" t="n">
        <v>10</v>
      </c>
      <c r="G63" s="6" t="n">
        <v>1200</v>
      </c>
      <c r="H63" s="5" t="n">
        <v>12000</v>
      </c>
      <c r="I63" s="4" t="inlineStr">
        <is>
          <t>حبهان</t>
        </is>
      </c>
      <c r="J63" s="4" t="inlineStr">
        <is>
          <t>عالية</t>
        </is>
      </c>
      <c r="K63" s="4" t="inlineStr">
        <is>
          <t>نفس ربط الكود فى يوليو: تطابق اسمى تام</t>
        </is>
      </c>
      <c r="L63" s="4" t="inlineStr">
        <is>
          <t>1111115184</t>
        </is>
      </c>
    </row>
    <row r="64">
      <c r="A64" s="4" t="n">
        <v>61</v>
      </c>
      <c r="B64" s="4" t="inlineStr">
        <is>
          <t>2026/08/23</t>
        </is>
      </c>
      <c r="C64" s="4" t="inlineStr">
        <is>
          <t>199</t>
        </is>
      </c>
      <c r="D64" s="4" t="inlineStr">
        <is>
          <t>لورا</t>
        </is>
      </c>
      <c r="E64" s="4" t="inlineStr">
        <is>
          <t>طبق</t>
        </is>
      </c>
      <c r="F64" s="5" t="n">
        <v>10</v>
      </c>
      <c r="G64" s="6" t="n">
        <v>140</v>
      </c>
      <c r="H64" s="5" t="n">
        <v>1400</v>
      </c>
      <c r="I64" s="4" t="inlineStr">
        <is>
          <t>لورا</t>
        </is>
      </c>
      <c r="J64" s="4" t="inlineStr">
        <is>
          <t>عالية</t>
        </is>
      </c>
      <c r="K64" s="4" t="inlineStr">
        <is>
          <t>نفس ربط الكود فى يوليو: تطابق اسمى تام</t>
        </is>
      </c>
      <c r="L64" s="4" t="inlineStr">
        <is>
          <t>1111115184</t>
        </is>
      </c>
    </row>
    <row r="65">
      <c r="A65" s="4" t="n">
        <v>62</v>
      </c>
      <c r="B65" s="4" t="inlineStr">
        <is>
          <t>2026/08/23</t>
        </is>
      </c>
      <c r="C65" s="4" t="inlineStr">
        <is>
          <t>84</t>
        </is>
      </c>
      <c r="D65" s="4" t="inlineStr">
        <is>
          <t>باربيكا</t>
        </is>
      </c>
      <c r="E65" s="4" t="inlineStr">
        <is>
          <t>طبق</t>
        </is>
      </c>
      <c r="F65" s="5" t="n">
        <v>35</v>
      </c>
      <c r="G65" s="6" t="n">
        <v>140</v>
      </c>
      <c r="H65" s="5" t="n">
        <v>4900</v>
      </c>
      <c r="I65" s="4" t="inlineStr">
        <is>
          <t>بابريكا</t>
        </is>
      </c>
      <c r="J65" s="4" t="inlineStr">
        <is>
          <t>عالية</t>
        </is>
      </c>
      <c r="K65" s="4" t="inlineStr">
        <is>
          <t>نفس ربط الكود فى يوليو: فرق إملائى فقط</t>
        </is>
      </c>
      <c r="L65" s="4" t="inlineStr">
        <is>
          <t>1111115184</t>
        </is>
      </c>
    </row>
    <row r="66">
      <c r="A66" s="4" t="n">
        <v>63</v>
      </c>
      <c r="B66" s="4" t="inlineStr">
        <is>
          <t>2026/08/23</t>
        </is>
      </c>
      <c r="C66" s="4" t="inlineStr">
        <is>
          <t>156</t>
        </is>
      </c>
      <c r="D66" s="4" t="inlineStr">
        <is>
          <t>ينسون</t>
        </is>
      </c>
      <c r="E66" s="4" t="inlineStr">
        <is>
          <t>طبق</t>
        </is>
      </c>
      <c r="F66" s="5" t="n">
        <v>5</v>
      </c>
      <c r="G66" s="6" t="n">
        <v>120</v>
      </c>
      <c r="H66" s="5" t="n">
        <v>600</v>
      </c>
      <c r="I66" s="4" t="inlineStr">
        <is>
          <t>ينسون</t>
        </is>
      </c>
      <c r="J66" s="4" t="inlineStr">
        <is>
          <t>عالية</t>
        </is>
      </c>
      <c r="K66" s="4" t="inlineStr">
        <is>
          <t>نفس ربط الكود فى يوليو: تطابق اسمى تام</t>
        </is>
      </c>
      <c r="L66" s="4" t="inlineStr">
        <is>
          <t>1111115184</t>
        </is>
      </c>
    </row>
    <row r="67">
      <c r="A67" s="8" t="n">
        <v>64</v>
      </c>
      <c r="B67" s="8" t="inlineStr">
        <is>
          <t>2026/08/23</t>
        </is>
      </c>
      <c r="C67" s="8" t="inlineStr">
        <is>
          <t>453</t>
        </is>
      </c>
      <c r="D67" s="8" t="inlineStr">
        <is>
          <t>ببريكا مدخنه</t>
        </is>
      </c>
      <c r="E67" s="8" t="inlineStr">
        <is>
          <t>كيلو</t>
        </is>
      </c>
      <c r="F67" s="11" t="n">
        <v>0.5</v>
      </c>
      <c r="G67" s="12" t="n">
        <v>180</v>
      </c>
      <c r="H67" s="11" t="n">
        <v>90</v>
      </c>
      <c r="I67" s="8" t="inlineStr">
        <is>
          <t>— بلا مقابل —</t>
        </is>
      </c>
      <c r="J67" s="8" t="inlineStr">
        <is>
          <t>—</t>
        </is>
      </c>
      <c r="K67" s="8" t="inlineStr">
        <is>
          <t>بابريكا مدخنة صنف مختلف عن «بابريكا» العادية ولا يوجد له بند بالجرد — لم تُحمَّل على أى صنف</t>
        </is>
      </c>
      <c r="L67" s="8" t="inlineStr">
        <is>
          <t>1111115184</t>
        </is>
      </c>
    </row>
    <row r="68">
      <c r="A68" s="4" t="n">
        <v>65</v>
      </c>
      <c r="B68" s="4" t="inlineStr">
        <is>
          <t>2026/08/23</t>
        </is>
      </c>
      <c r="C68" s="4" t="inlineStr">
        <is>
          <t>77</t>
        </is>
      </c>
      <c r="D68" s="4" t="inlineStr">
        <is>
          <t>صويا ايزوليت</t>
        </is>
      </c>
      <c r="E68" s="4" t="inlineStr">
        <is>
          <t>طبق</t>
        </is>
      </c>
      <c r="F68" s="5" t="n">
        <v>200</v>
      </c>
      <c r="G68" s="6" t="n">
        <v>165</v>
      </c>
      <c r="H68" s="5" t="n">
        <v>33000</v>
      </c>
      <c r="I68" s="4" t="inlineStr">
        <is>
          <t>صويا اوزيليت</t>
        </is>
      </c>
      <c r="J68" s="4" t="inlineStr">
        <is>
          <t>عالية</t>
        </is>
      </c>
      <c r="K68" s="4" t="inlineStr">
        <is>
          <t>نفس ربط الكود فى يوليو: فرق إملائى فقط (Isolate)</t>
        </is>
      </c>
      <c r="L68" s="4" t="inlineStr">
        <is>
          <t>1111115185</t>
        </is>
      </c>
    </row>
    <row r="69">
      <c r="A69" s="4" t="n">
        <v>66</v>
      </c>
      <c r="B69" s="4" t="inlineStr">
        <is>
          <t>2026/08/23</t>
        </is>
      </c>
      <c r="C69" s="4" t="inlineStr">
        <is>
          <t>49</t>
        </is>
      </c>
      <c r="D69" s="4" t="inlineStr">
        <is>
          <t>دهن</t>
        </is>
      </c>
      <c r="E69" s="4" t="inlineStr">
        <is>
          <t>طبق</t>
        </is>
      </c>
      <c r="F69" s="5" t="n">
        <v>560</v>
      </c>
      <c r="G69" s="6" t="n">
        <v>55</v>
      </c>
      <c r="H69" s="5" t="n">
        <v>30800</v>
      </c>
      <c r="I69" s="4" t="inlineStr">
        <is>
          <t>دهن بلدي</t>
        </is>
      </c>
      <c r="J69" s="4" t="inlineStr">
        <is>
          <t>عالية</t>
        </is>
      </c>
      <c r="K69" s="4" t="inlineStr">
        <is>
          <t>نفس ربط الكود فى يوليو: بند الدهن الوحيد بالجرد</t>
        </is>
      </c>
      <c r="L69" s="4" t="inlineStr">
        <is>
          <t>1111115181</t>
        </is>
      </c>
    </row>
    <row r="70">
      <c r="A70" s="4" t="n">
        <v>67</v>
      </c>
      <c r="B70" s="4" t="inlineStr">
        <is>
          <t>2026/08/23</t>
        </is>
      </c>
      <c r="C70" s="4" t="inlineStr">
        <is>
          <t>78</t>
        </is>
      </c>
      <c r="D70" s="4" t="inlineStr">
        <is>
          <t>فوسفات</t>
        </is>
      </c>
      <c r="E70" s="4" t="inlineStr">
        <is>
          <t>طبق</t>
        </is>
      </c>
      <c r="F70" s="5" t="n">
        <v>250</v>
      </c>
      <c r="G70" s="6" t="n">
        <v>147</v>
      </c>
      <c r="H70" s="5" t="n">
        <v>36750</v>
      </c>
      <c r="I70" s="4" t="inlineStr">
        <is>
          <t>فوسفات</t>
        </is>
      </c>
      <c r="J70" s="4" t="inlineStr">
        <is>
          <t>عالية</t>
        </is>
      </c>
      <c r="K70" s="4" t="inlineStr">
        <is>
          <t>تطابق اسمى تام</t>
        </is>
      </c>
      <c r="L70" s="4" t="inlineStr">
        <is>
          <t>1111115183</t>
        </is>
      </c>
    </row>
    <row r="71">
      <c r="A71" s="4" t="n">
        <v>68</v>
      </c>
      <c r="B71" s="4" t="inlineStr">
        <is>
          <t>2026/08/23</t>
        </is>
      </c>
      <c r="C71" s="4" t="inlineStr">
        <is>
          <t>60</t>
        </is>
      </c>
      <c r="D71" s="4" t="inlineStr">
        <is>
          <t>فلفل اسمر</t>
        </is>
      </c>
      <c r="E71" s="4" t="inlineStr">
        <is>
          <t>كيلو</t>
        </is>
      </c>
      <c r="F71" s="5" t="n">
        <v>50</v>
      </c>
      <c r="G71" s="6" t="n">
        <v>330</v>
      </c>
      <c r="H71" s="5" t="n">
        <v>16500</v>
      </c>
      <c r="I71" s="4" t="inlineStr">
        <is>
          <t>فلفل اسود</t>
        </is>
      </c>
      <c r="J71" s="4" t="inlineStr">
        <is>
          <t>عالية</t>
        </is>
      </c>
      <c r="K71" s="4" t="inlineStr">
        <is>
          <t>نفس ربط الكود فى يوليو: توابل مطحونة سعرها 340–350 ≈ 379.49 ليونيه</t>
        </is>
      </c>
      <c r="L71" s="4" t="inlineStr">
        <is>
          <t>1111115184</t>
        </is>
      </c>
    </row>
    <row r="72">
      <c r="A72" s="4" t="n">
        <v>69</v>
      </c>
      <c r="B72" s="4" t="inlineStr">
        <is>
          <t>2026/08/23</t>
        </is>
      </c>
      <c r="C72" s="4" t="inlineStr">
        <is>
          <t>74</t>
        </is>
      </c>
      <c r="D72" s="4" t="inlineStr">
        <is>
          <t>كسبره</t>
        </is>
      </c>
      <c r="E72" s="4" t="inlineStr">
        <is>
          <t>طبق</t>
        </is>
      </c>
      <c r="F72" s="5" t="n">
        <v>50</v>
      </c>
      <c r="G72" s="6" t="n">
        <v>75</v>
      </c>
      <c r="H72" s="5" t="n">
        <v>3750</v>
      </c>
      <c r="I72" s="4" t="inlineStr">
        <is>
          <t>كزبره</t>
        </is>
      </c>
      <c r="J72" s="4" t="inlineStr">
        <is>
          <t>عالية</t>
        </is>
      </c>
      <c r="K72" s="4" t="inlineStr">
        <is>
          <t>نفس ربط الكود فى يوليو: فرق نطق (كسبرة/كزبرة)</t>
        </is>
      </c>
      <c r="L72" s="4" t="inlineStr">
        <is>
          <t>1111115184</t>
        </is>
      </c>
    </row>
    <row r="73">
      <c r="A73" s="4" t="n">
        <v>70</v>
      </c>
      <c r="B73" s="4" t="inlineStr">
        <is>
          <t>2026/08/23</t>
        </is>
      </c>
      <c r="C73" s="4" t="inlineStr">
        <is>
          <t>85</t>
        </is>
      </c>
      <c r="D73" s="4" t="inlineStr">
        <is>
          <t>شطه</t>
        </is>
      </c>
      <c r="E73" s="4" t="inlineStr">
        <is>
          <t>طبق</t>
        </is>
      </c>
      <c r="F73" s="5" t="n">
        <v>25</v>
      </c>
      <c r="G73" s="6" t="n">
        <v>75</v>
      </c>
      <c r="H73" s="5" t="n">
        <v>1875</v>
      </c>
      <c r="I73" s="4" t="inlineStr">
        <is>
          <t>شطه</t>
        </is>
      </c>
      <c r="J73" s="4" t="inlineStr">
        <is>
          <t>عالية</t>
        </is>
      </c>
      <c r="K73" s="4" t="inlineStr">
        <is>
          <t>نفس ربط الكود فى يوليو: تطابق اسمى تام</t>
        </is>
      </c>
      <c r="L73" s="4" t="inlineStr">
        <is>
          <t>1111115184</t>
        </is>
      </c>
    </row>
    <row r="74">
      <c r="A74" s="4" t="n">
        <v>71</v>
      </c>
      <c r="B74" s="4" t="inlineStr">
        <is>
          <t>2026/08/24</t>
        </is>
      </c>
      <c r="C74" s="4" t="inlineStr">
        <is>
          <t>372</t>
        </is>
      </c>
      <c r="D74" s="4" t="inlineStr">
        <is>
          <t>مفروم فراخ C</t>
        </is>
      </c>
      <c r="E74" s="4" t="inlineStr">
        <is>
          <t>طبق</t>
        </is>
      </c>
      <c r="F74" s="5" t="n">
        <v>990</v>
      </c>
      <c r="G74" s="6" t="n">
        <v>28</v>
      </c>
      <c r="H74" s="5" t="n">
        <v>27720</v>
      </c>
      <c r="I74" s="4" t="inlineStr">
        <is>
          <t>مفروم فراخ شعبي</t>
        </is>
      </c>
      <c r="J74" s="4" t="inlineStr">
        <is>
          <t>عالية</t>
        </is>
      </c>
      <c r="K74" s="4" t="inlineStr">
        <is>
          <t>نفس ربط الكود فى يوليو: الرتبة C = الدرجة الشعبية (سعر 28 مقابل 34.7 ليونيه)</t>
        </is>
      </c>
      <c r="L74" s="4" t="inlineStr">
        <is>
          <t>1111115186</t>
        </is>
      </c>
    </row>
    <row r="75">
      <c r="A75" s="4" t="n">
        <v>72</v>
      </c>
      <c r="B75" s="4" t="inlineStr">
        <is>
          <t>2026/08/24</t>
        </is>
      </c>
      <c r="C75" s="4" t="inlineStr">
        <is>
          <t>370</t>
        </is>
      </c>
      <c r="D75" s="4" t="inlineStr">
        <is>
          <t>مفروم فراخ A</t>
        </is>
      </c>
      <c r="E75" s="4" t="inlineStr">
        <is>
          <t>طبق</t>
        </is>
      </c>
      <c r="F75" s="5" t="n">
        <v>510</v>
      </c>
      <c r="G75" s="6" t="n">
        <v>55</v>
      </c>
      <c r="H75" s="5" t="n">
        <v>28050</v>
      </c>
      <c r="I75" s="4" t="inlineStr">
        <is>
          <t>مفروم فراخ فاخر</t>
        </is>
      </c>
      <c r="J75" s="4" t="inlineStr">
        <is>
          <t>عالية</t>
        </is>
      </c>
      <c r="K75" s="4" t="inlineStr">
        <is>
          <t>نفس ربط الكود فى يوليو: الرتبة A = الدرجة الفاخرة (سعر 55–57 ≈ 58.50 ليونيه)</t>
        </is>
      </c>
      <c r="L75" s="4" t="inlineStr">
        <is>
          <t>1111115186</t>
        </is>
      </c>
    </row>
    <row r="76">
      <c r="A76" s="4" t="n">
        <v>73</v>
      </c>
      <c r="B76" s="4" t="inlineStr">
        <is>
          <t>2026/08/24</t>
        </is>
      </c>
      <c r="C76" s="4" t="inlineStr">
        <is>
          <t>190</t>
        </is>
      </c>
      <c r="D76" s="4" t="inlineStr">
        <is>
          <t>صميد</t>
        </is>
      </c>
      <c r="E76" s="4" t="inlineStr">
        <is>
          <t>طبق</t>
        </is>
      </c>
      <c r="F76" s="5" t="n">
        <v>1500</v>
      </c>
      <c r="G76" s="6" t="n">
        <v>16.25</v>
      </c>
      <c r="H76" s="5" t="n">
        <v>24375</v>
      </c>
      <c r="I76" s="4" t="inlineStr">
        <is>
          <t>صميد</t>
        </is>
      </c>
      <c r="J76" s="4" t="inlineStr">
        <is>
          <t>عالية</t>
        </is>
      </c>
      <c r="K76" s="4" t="inlineStr">
        <is>
          <t>نفس ربط الكود فى يوليو: تطابق اسمى تام</t>
        </is>
      </c>
      <c r="L76" s="4" t="inlineStr">
        <is>
          <t>1111115187</t>
        </is>
      </c>
    </row>
    <row r="77">
      <c r="A77" s="4" t="n">
        <v>74</v>
      </c>
      <c r="B77" s="4" t="inlineStr">
        <is>
          <t>2026/08/24</t>
        </is>
      </c>
      <c r="C77" s="4" t="inlineStr">
        <is>
          <t>361</t>
        </is>
      </c>
      <c r="D77" s="4" t="inlineStr">
        <is>
          <t>دقيق ابيض</t>
        </is>
      </c>
      <c r="E77" s="4" t="inlineStr">
        <is>
          <t>طبق</t>
        </is>
      </c>
      <c r="F77" s="5" t="n">
        <v>650</v>
      </c>
      <c r="G77" s="6" t="n">
        <v>17.5</v>
      </c>
      <c r="H77" s="5" t="n">
        <v>11375</v>
      </c>
      <c r="I77" s="4" t="inlineStr">
        <is>
          <t>دقيق</t>
        </is>
      </c>
      <c r="J77" s="4" t="inlineStr">
        <is>
          <t>عالية</t>
        </is>
      </c>
      <c r="K77" s="4" t="inlineStr">
        <is>
          <t>نفس ربط الكود فى يوليو: بند الدقيق الوحيد بالجرد + سعر 17 ≈ 17.19 ليونيه</t>
        </is>
      </c>
      <c r="L77" s="4" t="inlineStr">
        <is>
          <t>1111115187</t>
        </is>
      </c>
    </row>
    <row r="78">
      <c r="A78" s="8" t="n">
        <v>75</v>
      </c>
      <c r="B78" s="8" t="inlineStr">
        <is>
          <t>2026/08/24</t>
        </is>
      </c>
      <c r="C78" s="8" t="inlineStr">
        <is>
          <t>51</t>
        </is>
      </c>
      <c r="D78" s="8" t="inlineStr">
        <is>
          <t>صويا مصرى</t>
        </is>
      </c>
      <c r="E78" s="8" t="inlineStr">
        <is>
          <t>طبق</t>
        </is>
      </c>
      <c r="F78" s="11" t="n">
        <v>270</v>
      </c>
      <c r="G78" s="12" t="n">
        <v>38</v>
      </c>
      <c r="H78" s="11" t="n">
        <v>10260</v>
      </c>
      <c r="I78" s="8" t="inlineStr">
        <is>
          <t>صويا لحمه</t>
        </is>
      </c>
      <c r="J78" s="8" t="inlineStr">
        <is>
          <t>متوسطة</t>
        </is>
      </c>
      <c r="K78" s="8" t="inlineStr">
        <is>
          <t>نفس ربط الكود فى يوليو: الصويا العامة تُحمَّل على «صويا لحمه» (سعر 32–40 ≈ 39.44) — نفس افتراض ملف يونيه</t>
        </is>
      </c>
      <c r="L78" s="8" t="inlineStr">
        <is>
          <t>1111115188</t>
        </is>
      </c>
    </row>
    <row r="79">
      <c r="A79" s="8" t="n">
        <v>76</v>
      </c>
      <c r="B79" s="8" t="inlineStr">
        <is>
          <t>2026/08/24</t>
        </is>
      </c>
      <c r="C79" s="8" t="inlineStr">
        <is>
          <t>51</t>
        </is>
      </c>
      <c r="D79" s="8" t="inlineStr">
        <is>
          <t>صويا مصرى</t>
        </is>
      </c>
      <c r="E79" s="8" t="inlineStr">
        <is>
          <t>طبق</t>
        </is>
      </c>
      <c r="F79" s="11" t="n">
        <v>10</v>
      </c>
      <c r="G79" s="12" t="n">
        <v>35</v>
      </c>
      <c r="H79" s="11" t="n">
        <v>350</v>
      </c>
      <c r="I79" s="8" t="inlineStr">
        <is>
          <t>صويا لحمه</t>
        </is>
      </c>
      <c r="J79" s="8" t="inlineStr">
        <is>
          <t>متوسطة</t>
        </is>
      </c>
      <c r="K79" s="8" t="inlineStr">
        <is>
          <t>نفس ربط الكود فى يوليو: الصويا العامة تُحمَّل على «صويا لحمه» (سعر 32–40 ≈ 39.44) — نفس افتراض ملف يونيه</t>
        </is>
      </c>
      <c r="L79" s="8" t="inlineStr">
        <is>
          <t>1111115189</t>
        </is>
      </c>
    </row>
    <row r="80">
      <c r="A80" s="4" t="n">
        <v>77</v>
      </c>
      <c r="B80" s="4" t="inlineStr">
        <is>
          <t>2026/08/24</t>
        </is>
      </c>
      <c r="C80" s="4" t="inlineStr">
        <is>
          <t>49</t>
        </is>
      </c>
      <c r="D80" s="4" t="inlineStr">
        <is>
          <t>دهن</t>
        </is>
      </c>
      <c r="E80" s="4" t="inlineStr">
        <is>
          <t>طبق</t>
        </is>
      </c>
      <c r="F80" s="5" t="n">
        <v>580</v>
      </c>
      <c r="G80" s="6" t="n">
        <v>60</v>
      </c>
      <c r="H80" s="5" t="n">
        <v>34800</v>
      </c>
      <c r="I80" s="4" t="inlineStr">
        <is>
          <t>دهن بلدي</t>
        </is>
      </c>
      <c r="J80" s="4" t="inlineStr">
        <is>
          <t>عالية</t>
        </is>
      </c>
      <c r="K80" s="4" t="inlineStr">
        <is>
          <t>نفس ربط الكود فى يوليو: بند الدهن الوحيد بالجرد</t>
        </is>
      </c>
      <c r="L80" s="4" t="inlineStr">
        <is>
          <t>1111115194</t>
        </is>
      </c>
    </row>
    <row r="81">
      <c r="A81" s="8" t="n">
        <v>78</v>
      </c>
      <c r="B81" s="8" t="inlineStr">
        <is>
          <t>2026/08/25</t>
        </is>
      </c>
      <c r="C81" s="8" t="inlineStr">
        <is>
          <t>14</t>
        </is>
      </c>
      <c r="D81" s="8" t="inlineStr">
        <is>
          <t>تشكيله هندى امامى</t>
        </is>
      </c>
      <c r="E81" s="8" t="inlineStr">
        <is>
          <t>كيلو</t>
        </is>
      </c>
      <c r="F81" s="11" t="n">
        <v>80</v>
      </c>
      <c r="G81" s="12" t="n">
        <v>252</v>
      </c>
      <c r="H81" s="11" t="n">
        <v>20160</v>
      </c>
      <c r="I81" s="8" t="inlineStr">
        <is>
          <t>@مجمع اللحوم الهندى</t>
        </is>
      </c>
      <c r="J81" s="8" t="inlineStr">
        <is>
          <t>متوسطة</t>
        </is>
      </c>
      <c r="K81" s="8" t="inlineStr">
        <is>
          <t>نفس ربط الكود فى يوليو: لحوم هندى مجمَّعة: بنود (كتف/رقبه/سن/أرباع) بسعر يونيه موحَّد 253</t>
        </is>
      </c>
      <c r="L81" s="8" t="inlineStr">
        <is>
          <t>1111115191</t>
        </is>
      </c>
    </row>
    <row r="82">
      <c r="A82" s="4" t="n">
        <v>79</v>
      </c>
      <c r="B82" s="4" t="inlineStr">
        <is>
          <t>2026/08/25</t>
        </is>
      </c>
      <c r="C82" s="4" t="inlineStr">
        <is>
          <t>334</t>
        </is>
      </c>
      <c r="D82" s="4" t="inlineStr">
        <is>
          <t>فلنك</t>
        </is>
      </c>
      <c r="E82" s="4" t="inlineStr">
        <is>
          <t>طبق</t>
        </is>
      </c>
      <c r="F82" s="5" t="n">
        <v>200</v>
      </c>
      <c r="G82" s="6" t="n">
        <v>197</v>
      </c>
      <c r="H82" s="5" t="n">
        <v>39400</v>
      </c>
      <c r="I82" s="4" t="inlineStr">
        <is>
          <t>فلانك</t>
        </is>
      </c>
      <c r="J82" s="4" t="inlineStr">
        <is>
          <t>عالية</t>
        </is>
      </c>
      <c r="K82" s="4" t="inlineStr">
        <is>
          <t>نفس ربط الكود فى يوليو: فرق إملائى فقط (فلنك/فلانك) + نفس نطاق السعر</t>
        </is>
      </c>
      <c r="L82" s="4" t="inlineStr">
        <is>
          <t>1111115191</t>
        </is>
      </c>
    </row>
    <row r="83">
      <c r="A83" s="4" t="n">
        <v>80</v>
      </c>
      <c r="B83" s="4" t="inlineStr">
        <is>
          <t>2026/08/25</t>
        </is>
      </c>
      <c r="C83" s="4" t="inlineStr">
        <is>
          <t>16</t>
        </is>
      </c>
      <c r="D83" s="4" t="inlineStr">
        <is>
          <t>كرتونه كبده امريكى</t>
        </is>
      </c>
      <c r="E83" s="4" t="inlineStr">
        <is>
          <t>كيلو</t>
        </is>
      </c>
      <c r="F83" s="5" t="n">
        <v>151.25</v>
      </c>
      <c r="G83" s="6" t="n">
        <v>165</v>
      </c>
      <c r="H83" s="5" t="n">
        <v>24956.25</v>
      </c>
      <c r="I83" s="4" t="inlineStr">
        <is>
          <t>كبده</t>
        </is>
      </c>
      <c r="J83" s="4" t="inlineStr">
        <is>
          <t>عالية</t>
        </is>
      </c>
      <c r="K83" s="4" t="inlineStr">
        <is>
          <t>نفس ربط الكود فى يوليو: بند الكبدة الوحيد بالجرد + سعر 158 ≈ 169.49 ليونيه</t>
        </is>
      </c>
      <c r="L83" s="4" t="inlineStr">
        <is>
          <t>1111115191</t>
        </is>
      </c>
    </row>
    <row r="84">
      <c r="A84" s="4" t="n">
        <v>81</v>
      </c>
      <c r="B84" s="4" t="inlineStr">
        <is>
          <t>2026/08/25</t>
        </is>
      </c>
      <c r="C84" s="4" t="inlineStr">
        <is>
          <t>360</t>
        </is>
      </c>
      <c r="D84" s="4" t="inlineStr">
        <is>
          <t>كرسبى اصفر</t>
        </is>
      </c>
      <c r="E84" s="4" t="inlineStr">
        <is>
          <t>طبق</t>
        </is>
      </c>
      <c r="F84" s="5" t="n">
        <v>500</v>
      </c>
      <c r="G84" s="6" t="n">
        <v>38.5</v>
      </c>
      <c r="H84" s="5" t="n">
        <v>19250</v>
      </c>
      <c r="I84" s="4" t="inlineStr">
        <is>
          <t>بقسماط اصفر</t>
        </is>
      </c>
      <c r="J84" s="4" t="inlineStr">
        <is>
          <t>عالية</t>
        </is>
      </c>
      <c r="K84" s="4" t="inlineStr">
        <is>
          <t>نفس ربط الكود فى يوليو: سعر الشراء 38.00 = سعر يونيه 38.00 بالضبط</t>
        </is>
      </c>
      <c r="L84" s="4" t="inlineStr">
        <is>
          <t>1111115192</t>
        </is>
      </c>
    </row>
    <row r="85">
      <c r="A85" s="4" t="n">
        <v>82</v>
      </c>
      <c r="B85" s="4" t="inlineStr">
        <is>
          <t>2026/08/25</t>
        </is>
      </c>
      <c r="C85" s="4" t="inlineStr">
        <is>
          <t>438</t>
        </is>
      </c>
      <c r="D85" s="4" t="inlineStr">
        <is>
          <t>فيليه فراخ</t>
        </is>
      </c>
      <c r="E85" s="4" t="inlineStr">
        <is>
          <t>كيلو</t>
        </is>
      </c>
      <c r="F85" s="5" t="n">
        <v>500</v>
      </c>
      <c r="G85" s="6" t="n">
        <v>195</v>
      </c>
      <c r="H85" s="5" t="n">
        <v>97500</v>
      </c>
      <c r="I85" s="4" t="inlineStr">
        <is>
          <t>فيليه</t>
        </is>
      </c>
      <c r="J85" s="4" t="inlineStr">
        <is>
          <t>عالية</t>
        </is>
      </c>
      <c r="K85" s="4" t="inlineStr">
        <is>
          <t>نفس ربط الكود فى يوليو: سعر 210 ≈ 217.59 ليونيه</t>
        </is>
      </c>
      <c r="L85" s="4" t="inlineStr">
        <is>
          <t>1111115193</t>
        </is>
      </c>
    </row>
    <row r="86">
      <c r="A86" s="4" t="n">
        <v>83</v>
      </c>
      <c r="B86" s="4" t="inlineStr">
        <is>
          <t>2026/08/26</t>
        </is>
      </c>
      <c r="C86" s="4" t="inlineStr">
        <is>
          <t>49</t>
        </is>
      </c>
      <c r="D86" s="4" t="inlineStr">
        <is>
          <t>دهن</t>
        </is>
      </c>
      <c r="E86" s="4" t="inlineStr">
        <is>
          <t>طبق</t>
        </is>
      </c>
      <c r="F86" s="5" t="n">
        <v>1370</v>
      </c>
      <c r="G86" s="6" t="n">
        <v>60</v>
      </c>
      <c r="H86" s="5" t="n">
        <v>82200</v>
      </c>
      <c r="I86" s="4" t="inlineStr">
        <is>
          <t>دهن بلدي</t>
        </is>
      </c>
      <c r="J86" s="4" t="inlineStr">
        <is>
          <t>عالية</t>
        </is>
      </c>
      <c r="K86" s="4" t="inlineStr">
        <is>
          <t>نفس ربط الكود فى يوليو: بند الدهن الوحيد بالجرد</t>
        </is>
      </c>
      <c r="L86" s="4" t="inlineStr">
        <is>
          <t>1111115195</t>
        </is>
      </c>
    </row>
    <row r="87">
      <c r="A87" s="8" t="n">
        <v>84</v>
      </c>
      <c r="B87" s="8" t="inlineStr">
        <is>
          <t>2026/08/26</t>
        </is>
      </c>
      <c r="C87" s="8" t="inlineStr">
        <is>
          <t>51</t>
        </is>
      </c>
      <c r="D87" s="8" t="inlineStr">
        <is>
          <t>صويا مصرى</t>
        </is>
      </c>
      <c r="E87" s="8" t="inlineStr">
        <is>
          <t>طبق</t>
        </is>
      </c>
      <c r="F87" s="11" t="n">
        <v>1000</v>
      </c>
      <c r="G87" s="12" t="n">
        <v>37</v>
      </c>
      <c r="H87" s="11" t="n">
        <v>37000</v>
      </c>
      <c r="I87" s="8" t="inlineStr">
        <is>
          <t>صويا لحمه</t>
        </is>
      </c>
      <c r="J87" s="8" t="inlineStr">
        <is>
          <t>متوسطة</t>
        </is>
      </c>
      <c r="K87" s="8" t="inlineStr">
        <is>
          <t>نفس ربط الكود فى يوليو: الصويا العامة تُحمَّل على «صويا لحمه» (سعر 32–40 ≈ 39.44) — نفس افتراض ملف يونيه</t>
        </is>
      </c>
      <c r="L87" s="8" t="inlineStr">
        <is>
          <t>1111115190</t>
        </is>
      </c>
    </row>
    <row r="88">
      <c r="A88" s="4" t="n">
        <v>85</v>
      </c>
      <c r="B88" s="4" t="inlineStr">
        <is>
          <t>2026/08/29</t>
        </is>
      </c>
      <c r="C88" s="4" t="inlineStr">
        <is>
          <t>188</t>
        </is>
      </c>
      <c r="D88" s="4" t="inlineStr">
        <is>
          <t>برغل</t>
        </is>
      </c>
      <c r="E88" s="4" t="inlineStr">
        <is>
          <t>طبق</t>
        </is>
      </c>
      <c r="F88" s="5" t="n">
        <v>2500</v>
      </c>
      <c r="G88" s="6" t="n">
        <v>21</v>
      </c>
      <c r="H88" s="5" t="n">
        <v>52500</v>
      </c>
      <c r="I88" s="4" t="inlineStr">
        <is>
          <t>برغل</t>
        </is>
      </c>
      <c r="J88" s="4" t="inlineStr">
        <is>
          <t>عالية</t>
        </is>
      </c>
      <c r="K88" s="4" t="inlineStr">
        <is>
          <t>نفس ربط الكود فى يوليو: تطابق اسمى + سعر يونيه 21.3641 ≈ سعر الشراء 21.50</t>
        </is>
      </c>
      <c r="L88" s="4" t="inlineStr">
        <is>
          <t>1111115196</t>
        </is>
      </c>
    </row>
    <row r="89">
      <c r="A89" s="4" t="n">
        <v>86</v>
      </c>
      <c r="B89" s="4" t="inlineStr">
        <is>
          <t>2026/08/29</t>
        </is>
      </c>
      <c r="C89" s="4" t="inlineStr">
        <is>
          <t>204</t>
        </is>
      </c>
      <c r="D89" s="4" t="inlineStr">
        <is>
          <t>خلنجان</t>
        </is>
      </c>
      <c r="E89" s="4" t="inlineStr">
        <is>
          <t>طبق</t>
        </is>
      </c>
      <c r="F89" s="5" t="n">
        <v>5</v>
      </c>
      <c r="G89" s="6" t="n">
        <v>120</v>
      </c>
      <c r="H89" s="5" t="n">
        <v>600</v>
      </c>
      <c r="I89" s="4" t="inlineStr">
        <is>
          <t>خلنجان</t>
        </is>
      </c>
      <c r="J89" s="4" t="inlineStr">
        <is>
          <t>عالية</t>
        </is>
      </c>
      <c r="K89" s="4" t="inlineStr">
        <is>
          <t>تطابق اسمى تام</t>
        </is>
      </c>
      <c r="L89" s="4" t="inlineStr">
        <is>
          <t>1111115197</t>
        </is>
      </c>
    </row>
    <row r="90">
      <c r="A90" s="4" t="n">
        <v>87</v>
      </c>
      <c r="B90" s="4" t="inlineStr">
        <is>
          <t>2026/08/29</t>
        </is>
      </c>
      <c r="C90" s="4" t="inlineStr">
        <is>
          <t>367</t>
        </is>
      </c>
      <c r="D90" s="4" t="inlineStr">
        <is>
          <t>اكياس تغليف برجر اسباشيل ك</t>
        </is>
      </c>
      <c r="E90" s="4" t="inlineStr">
        <is>
          <t>طبق</t>
        </is>
      </c>
      <c r="F90" s="5" t="n">
        <v>683.8</v>
      </c>
      <c r="G90" s="6" t="n">
        <v>213</v>
      </c>
      <c r="H90" s="5" t="n">
        <v>145649.4</v>
      </c>
      <c r="I90" s="4" t="inlineStr">
        <is>
          <t>اكياس برجر s.p كبير</t>
        </is>
      </c>
      <c r="J90" s="4" t="inlineStr">
        <is>
          <t>عالية</t>
        </is>
      </c>
      <c r="K90" s="4" t="inlineStr">
        <is>
          <t>«اسباشيل» = s.p ، «ك» = كبير</t>
        </is>
      </c>
      <c r="L90" s="4" t="inlineStr">
        <is>
          <t>1111115205</t>
        </is>
      </c>
    </row>
    <row r="91">
      <c r="A91" s="8" t="n">
        <v>88</v>
      </c>
      <c r="B91" s="8" t="inlineStr">
        <is>
          <t>2026/08/30</t>
        </is>
      </c>
      <c r="C91" s="8" t="inlineStr">
        <is>
          <t>312</t>
        </is>
      </c>
      <c r="D91" s="8" t="inlineStr">
        <is>
          <t>فرش برجر</t>
        </is>
      </c>
      <c r="E91" s="8" t="inlineStr">
        <is>
          <t>طبق</t>
        </is>
      </c>
      <c r="F91" s="11" t="n">
        <v>270</v>
      </c>
      <c r="G91" s="12" t="n">
        <v>90</v>
      </c>
      <c r="H91" s="11" t="n">
        <v>24300</v>
      </c>
      <c r="I91" s="8" t="inlineStr">
        <is>
          <t>فرش البرجر 11*11</t>
        </is>
      </c>
      <c r="J91" s="8" t="inlineStr">
        <is>
          <t>متوسطة</t>
        </is>
      </c>
      <c r="K91" s="8" t="inlineStr">
        <is>
          <t>نفس ربط الكود فى يوليو: مقاس 11×11 هو الوحيد ذو رصيد؛ نفس سعر يونيه للمقاسين</t>
        </is>
      </c>
      <c r="L91" s="8" t="inlineStr">
        <is>
          <t>1111115198</t>
        </is>
      </c>
    </row>
    <row r="92">
      <c r="A92" s="4" t="n">
        <v>89</v>
      </c>
      <c r="B92" s="4" t="inlineStr">
        <is>
          <t>2026/08/30</t>
        </is>
      </c>
      <c r="C92" s="4" t="inlineStr">
        <is>
          <t>359</t>
        </is>
      </c>
      <c r="D92" s="4" t="inlineStr">
        <is>
          <t>ام اكس</t>
        </is>
      </c>
      <c r="E92" s="4" t="inlineStr">
        <is>
          <t>طبق</t>
        </is>
      </c>
      <c r="F92" s="5" t="n">
        <v>30</v>
      </c>
      <c r="G92" s="6" t="n">
        <v>820</v>
      </c>
      <c r="H92" s="5" t="n">
        <v>24600</v>
      </c>
      <c r="I92" s="4" t="inlineStr">
        <is>
          <t>MX</t>
        </is>
      </c>
      <c r="J92" s="4" t="inlineStr">
        <is>
          <t>عالية</t>
        </is>
      </c>
      <c r="K92" s="4" t="inlineStr">
        <is>
          <t>نفس ربط الكود فى يوليو: الاسم العربى لبند MX</t>
        </is>
      </c>
      <c r="L92" s="4" t="inlineStr">
        <is>
          <t>1111115200</t>
        </is>
      </c>
    </row>
    <row r="93">
      <c r="A93" s="4" t="n">
        <v>90</v>
      </c>
      <c r="B93" s="4" t="inlineStr">
        <is>
          <t>2026/08/30</t>
        </is>
      </c>
      <c r="C93" s="4" t="inlineStr">
        <is>
          <t>353</t>
        </is>
      </c>
      <c r="D93" s="4" t="inlineStr">
        <is>
          <t>كراتين الهنا ازرق مقاس 17</t>
        </is>
      </c>
      <c r="E93" s="4" t="inlineStr">
        <is>
          <t>طبق</t>
        </is>
      </c>
      <c r="F93" s="5" t="n">
        <v>6150</v>
      </c>
      <c r="G93" s="6" t="n">
        <v>24.06</v>
      </c>
      <c r="H93" s="5" t="n">
        <v>147969</v>
      </c>
      <c r="I93" s="4" t="inlineStr">
        <is>
          <t>كراتين الهنا ازرق</t>
        </is>
      </c>
      <c r="J93" s="4" t="inlineStr">
        <is>
          <t>عالية</t>
        </is>
      </c>
      <c r="K93" s="4" t="inlineStr">
        <is>
          <t>نفس الكرتونة (الهنا أزرق)؛ سعر 24.06 ≈ 22.69 ليوليو</t>
        </is>
      </c>
      <c r="L93" s="4" t="inlineStr">
        <is>
          <t>1111115201</t>
        </is>
      </c>
    </row>
    <row r="94">
      <c r="A94" s="4" t="n">
        <v>91</v>
      </c>
      <c r="B94" s="4" t="inlineStr">
        <is>
          <t>2026/08/31</t>
        </is>
      </c>
      <c r="C94" s="4" t="inlineStr">
        <is>
          <t>372</t>
        </is>
      </c>
      <c r="D94" s="4" t="inlineStr">
        <is>
          <t>مفروم فراخ C</t>
        </is>
      </c>
      <c r="E94" s="4" t="inlineStr">
        <is>
          <t>طبق</t>
        </is>
      </c>
      <c r="F94" s="5" t="n">
        <v>1800</v>
      </c>
      <c r="G94" s="6" t="n">
        <v>30</v>
      </c>
      <c r="H94" s="5" t="n">
        <v>54000</v>
      </c>
      <c r="I94" s="4" t="inlineStr">
        <is>
          <t>مفروم فراخ شعبي</t>
        </is>
      </c>
      <c r="J94" s="4" t="inlineStr">
        <is>
          <t>عالية</t>
        </is>
      </c>
      <c r="K94" s="4" t="inlineStr">
        <is>
          <t>نفس ربط الكود فى يوليو: الرتبة C = الدرجة الشعبية (سعر 28 مقابل 34.7 ليونيه)</t>
        </is>
      </c>
      <c r="L94" s="4" t="inlineStr">
        <is>
          <t>1111115202</t>
        </is>
      </c>
    </row>
    <row r="95">
      <c r="A95" s="8" t="n">
        <v>92</v>
      </c>
      <c r="B95" s="8" t="inlineStr">
        <is>
          <t>2026/08/31</t>
        </is>
      </c>
      <c r="C95" s="8" t="inlineStr">
        <is>
          <t>14</t>
        </is>
      </c>
      <c r="D95" s="8" t="inlineStr">
        <is>
          <t>تشكيله هندى امامى</t>
        </is>
      </c>
      <c r="E95" s="8" t="inlineStr">
        <is>
          <t>كيلو</t>
        </is>
      </c>
      <c r="F95" s="11" t="n">
        <v>160</v>
      </c>
      <c r="G95" s="12" t="n">
        <v>255</v>
      </c>
      <c r="H95" s="11" t="n">
        <v>40800</v>
      </c>
      <c r="I95" s="8" t="inlineStr">
        <is>
          <t>@مجمع اللحوم الهندى</t>
        </is>
      </c>
      <c r="J95" s="8" t="inlineStr">
        <is>
          <t>متوسطة</t>
        </is>
      </c>
      <c r="K95" s="8" t="inlineStr">
        <is>
          <t>نفس ربط الكود فى يوليو: لحوم هندى مجمَّعة: بنود (كتف/رقبه/سن/أرباع) بسعر يونيه موحَّد 253</t>
        </is>
      </c>
      <c r="L95" s="8" t="inlineStr">
        <is>
          <t>1111115203</t>
        </is>
      </c>
    </row>
    <row r="96">
      <c r="A96" s="4" t="n">
        <v>93</v>
      </c>
      <c r="B96" s="4" t="inlineStr">
        <is>
          <t>2026/08/31</t>
        </is>
      </c>
      <c r="C96" s="4" t="inlineStr">
        <is>
          <t>334</t>
        </is>
      </c>
      <c r="D96" s="4" t="inlineStr">
        <is>
          <t>فلنك</t>
        </is>
      </c>
      <c r="E96" s="4" t="inlineStr">
        <is>
          <t>طبق</t>
        </is>
      </c>
      <c r="F96" s="5" t="n">
        <v>200</v>
      </c>
      <c r="G96" s="6" t="n">
        <v>203</v>
      </c>
      <c r="H96" s="5" t="n">
        <v>40600</v>
      </c>
      <c r="I96" s="4" t="inlineStr">
        <is>
          <t>فلانك</t>
        </is>
      </c>
      <c r="J96" s="4" t="inlineStr">
        <is>
          <t>عالية</t>
        </is>
      </c>
      <c r="K96" s="4" t="inlineStr">
        <is>
          <t>نفس ربط الكود فى يوليو: فرق إملائى فقط (فلنك/فلانك) + نفس نطاق السعر</t>
        </is>
      </c>
      <c r="L96" s="4" t="inlineStr">
        <is>
          <t>1111115203</t>
        </is>
      </c>
    </row>
    <row r="97">
      <c r="A97" s="4" t="n">
        <v>94</v>
      </c>
      <c r="B97" s="4" t="inlineStr">
        <is>
          <t>2026/08/31</t>
        </is>
      </c>
      <c r="C97" s="4" t="inlineStr">
        <is>
          <t>38</t>
        </is>
      </c>
      <c r="D97" s="4" t="inlineStr">
        <is>
          <t>اطباق نص كيلو</t>
        </is>
      </c>
      <c r="E97" s="4" t="inlineStr">
        <is>
          <t>طبق</t>
        </is>
      </c>
      <c r="F97" s="5" t="n">
        <v>40000</v>
      </c>
      <c r="G97" s="6" t="n">
        <v>0.43</v>
      </c>
      <c r="H97" s="5" t="n">
        <v>17200</v>
      </c>
      <c r="I97" s="4" t="inlineStr">
        <is>
          <t>اطباق 1/2</t>
        </is>
      </c>
      <c r="J97" s="4" t="inlineStr">
        <is>
          <t>عالية</t>
        </is>
      </c>
      <c r="K97" s="4" t="inlineStr">
        <is>
          <t>نفس ربط الكود فى يوليو: طبق النصف كيلو = أطباق 1/2</t>
        </is>
      </c>
      <c r="L97" s="4" t="inlineStr">
        <is>
          <t>1111115204</t>
        </is>
      </c>
    </row>
    <row r="98">
      <c r="A98" s="4" t="n">
        <v>95</v>
      </c>
      <c r="B98" s="4" t="inlineStr">
        <is>
          <t>2026/08/31</t>
        </is>
      </c>
      <c r="C98" s="4" t="inlineStr">
        <is>
          <t>95445</t>
        </is>
      </c>
      <c r="D98" s="4" t="inlineStr">
        <is>
          <t>اطباق 4/3عام عام</t>
        </is>
      </c>
      <c r="E98" s="4" t="inlineStr">
        <is>
          <t>طبق</t>
        </is>
      </c>
      <c r="F98" s="5" t="n">
        <v>10000</v>
      </c>
      <c r="G98" s="6" t="n">
        <v>0.59</v>
      </c>
      <c r="H98" s="5" t="n">
        <v>5900</v>
      </c>
      <c r="I98" s="4" t="inlineStr">
        <is>
          <t>اطباق 3/4</t>
        </is>
      </c>
      <c r="J98" s="4" t="inlineStr">
        <is>
          <t>عالية</t>
        </is>
      </c>
      <c r="K98" s="4" t="inlineStr">
        <is>
          <t>نفس ربط الكود فى يوليو: تطابق اسمى تام</t>
        </is>
      </c>
      <c r="L98" s="4" t="inlineStr">
        <is>
          <t>1111115204</t>
        </is>
      </c>
    </row>
    <row r="100">
      <c r="D100" s="9" t="inlineStr">
        <is>
          <t>إجمالى مشتريات أغسطس</t>
        </is>
      </c>
      <c r="H100" s="10">
        <f>SUM(H4:H98)</f>
        <v/>
      </c>
    </row>
    <row r="101">
      <c r="D101" s="13" t="inlineStr">
        <is>
          <t>الإجمالى المطبوع بالتقرير</t>
        </is>
      </c>
      <c r="H101" s="14" t="n">
        <v>2727152.34</v>
      </c>
    </row>
    <row r="102">
      <c r="D102" s="13" t="inlineStr">
        <is>
          <t>منها: مشتريات بلا مقابل بالجرد (مستبعدة من المتوسط)</t>
        </is>
      </c>
      <c r="H102" s="14">
        <f>SUMIF(I4:I98,"— بلا مقابل —",H4:H98)</f>
        <v/>
      </c>
    </row>
  </sheetData>
  <mergeCells count="1">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2" customWidth="1" min="2" max="2"/>
    <col width="12" customWidth="1" min="3" max="3"/>
    <col width="14" customWidth="1" min="4" max="4"/>
    <col width="12" customWidth="1" min="5" max="5"/>
    <col width="14" customWidth="1" min="6" max="6"/>
    <col width="11" customWidth="1" min="7" max="7"/>
    <col width="12" customWidth="1" min="8" max="8"/>
    <col width="14" customWidth="1" min="9" max="9"/>
    <col width="12" customWidth="1" min="10" max="10"/>
    <col width="9" customWidth="1" min="11" max="11"/>
    <col width="40" customWidth="1" min="12" max="12"/>
  </cols>
  <sheetData>
    <row r="1">
      <c r="A1" s="1" t="inlineStr">
        <is>
          <t>خطوات احتساب متوسط السعر المرجّح لكل خامة — أغسطس 2026</t>
        </is>
      </c>
    </row>
    <row r="2">
      <c r="A2" s="2" t="inlineStr">
        <is>
          <t>تُعرض هنا الأصناف التى حدثت عليها مشتريات خلال أغسطس فقط (باقى الأصناف يبقى سعرها كما فى يوليو).</t>
        </is>
      </c>
    </row>
    <row r="4" ht="42" customHeight="1">
      <c r="A4" s="3" t="inlineStr">
        <is>
          <t>اسم الصنف</t>
        </is>
      </c>
      <c r="B4" s="3" t="inlineStr">
        <is>
          <t>خطوة ١: كمية أول المدة</t>
        </is>
      </c>
      <c r="C4" s="3" t="inlineStr">
        <is>
          <t>× سعر أول المدة</t>
        </is>
      </c>
      <c r="D4" s="3" t="inlineStr">
        <is>
          <t>قيمة أول المدة</t>
        </is>
      </c>
      <c r="E4" s="3" t="inlineStr">
        <is>
          <t>خطوة ٢: كمية المشتريات</t>
        </is>
      </c>
      <c r="F4" s="3" t="inlineStr">
        <is>
          <t>قيمة المشتريات (بالفواتير)</t>
        </is>
      </c>
      <c r="G4" s="3" t="inlineStr">
        <is>
          <t>متوسط سعر الشراء</t>
        </is>
      </c>
      <c r="H4" s="3" t="inlineStr">
        <is>
          <t>خطوة ٣: إجمالى الكمية</t>
        </is>
      </c>
      <c r="I4" s="3" t="inlineStr">
        <is>
          <t>خطوة ٤: إجمالى التكلفة</t>
        </is>
      </c>
      <c r="J4" s="3" t="inlineStr">
        <is>
          <t>خطوة ٥: متوسط السعر</t>
        </is>
      </c>
      <c r="K4" s="3" t="inlineStr">
        <is>
          <t>عدد فواتير الشراء</t>
        </is>
      </c>
      <c r="L4" s="3" t="inlineStr">
        <is>
          <t>قاعدة الاحتساب</t>
        </is>
      </c>
    </row>
    <row r="5">
      <c r="A5" s="4" t="inlineStr">
        <is>
          <t>@مجمع اللحوم الهندى (كتف/رقبه/سن/أرباع)</t>
        </is>
      </c>
      <c r="B5" s="5">
        <f>'جرد الخامات آخر أغسطس'!B14+'جرد الخامات آخر أغسطس'!B15+'جرد الخامات آخر أغسطس'!B16+'جرد الخامات آخر أغسطس'!B17</f>
        <v/>
      </c>
      <c r="C5" s="6">
        <f>'جرد الخامات آخر أغسطس'!C14</f>
        <v/>
      </c>
      <c r="D5" s="5">
        <f>IF(C5="","",B5*C5)</f>
        <v/>
      </c>
      <c r="E5" s="5">
        <f>SUMIF('مشتريات أغسطس التفصيلية'!$I$4:$I$98,"@مجمع اللحوم الهندى",'مشتريات أغسطس التفصيلية'!$F$4:$F$98)</f>
        <v/>
      </c>
      <c r="F5" s="5">
        <f>SUMIF('مشتريات أغسطس التفصيلية'!$I$4:$I$98,"@مجمع اللحوم الهندى",'مشتريات أغسطس التفصيلية'!$H$4:$H$98)</f>
        <v/>
      </c>
      <c r="G5" s="6">
        <f>ROUND(F5/E5,4)</f>
        <v/>
      </c>
      <c r="H5" s="5">
        <f>IF(C5="",E5,B5+E5)</f>
        <v/>
      </c>
      <c r="I5" s="5">
        <f>N(D5)+F5</f>
        <v/>
      </c>
      <c r="J5" s="15">
        <f>ROUND(I5/H5,4)</f>
        <v/>
      </c>
      <c r="K5" s="16">
        <f>COUNTIF('مشتريات أغسطس التفصيلية'!$I$4:$I$98,"@مجمع اللحوم الهندى")</f>
        <v/>
      </c>
      <c r="L5" s="4" t="inlineStr">
        <is>
          <t>مجمّع اللحوم الهندى: متوسط واحد يُطبَّق على كتف/رقبه/سن/أرباع</t>
        </is>
      </c>
    </row>
    <row r="6">
      <c r="A6" s="4" t="inlineStr">
        <is>
          <t>بصل</t>
        </is>
      </c>
      <c r="B6" s="5">
        <f>'جرد الخامات آخر أغسطس'!B5</f>
        <v/>
      </c>
      <c r="C6" s="6">
        <f>'جرد الخامات آخر أغسطس'!C5</f>
        <v/>
      </c>
      <c r="D6" s="5">
        <f>IF(C6="","",B6*C6)</f>
        <v/>
      </c>
      <c r="E6" s="5">
        <f>SUMIF('مشتريات أغسطس التفصيلية'!$I$4:$I$98,'جرد الخامات آخر أغسطس'!A5,'مشتريات أغسطس التفصيلية'!$F$4:$F$98)</f>
        <v/>
      </c>
      <c r="F6" s="5">
        <f>SUMIF('مشتريات أغسطس التفصيلية'!$I$4:$I$98,'جرد الخامات آخر أغسطس'!A5,'مشتريات أغسطس التفصيلية'!$H$4:$H$98)</f>
        <v/>
      </c>
      <c r="G6" s="6">
        <f>ROUND(F6/E6,4)</f>
        <v/>
      </c>
      <c r="H6" s="5">
        <f>IF(C6="",E6,B6+E6)</f>
        <v/>
      </c>
      <c r="I6" s="5">
        <f>N(D6)+F6</f>
        <v/>
      </c>
      <c r="J6" s="15">
        <f>ROUND(I6/H6,4)</f>
        <v/>
      </c>
      <c r="K6" s="16">
        <f>COUNTIF('مشتريات أغسطس التفصيلية'!$I$4:$I$98,'جرد الخامات آخر أغسطس'!A5)</f>
        <v/>
      </c>
      <c r="L6" s="4" t="inlineStr">
        <is>
          <t>قياسى: (أول المدة + المشتريات)</t>
        </is>
      </c>
    </row>
    <row r="7">
      <c r="A7" s="4" t="inlineStr">
        <is>
          <t>فلفل بارد</t>
        </is>
      </c>
      <c r="B7" s="5">
        <f>'جرد الخامات آخر أغسطس'!B7</f>
        <v/>
      </c>
      <c r="C7" s="6">
        <f>'جرد الخامات آخر أغسطس'!C7</f>
        <v/>
      </c>
      <c r="D7" s="5">
        <f>IF(C7="","",B7*C7)</f>
        <v/>
      </c>
      <c r="E7" s="5">
        <f>SUMIF('مشتريات أغسطس التفصيلية'!$I$4:$I$98,'جرد الخامات آخر أغسطس'!A7,'مشتريات أغسطس التفصيلية'!$F$4:$F$98)</f>
        <v/>
      </c>
      <c r="F7" s="5">
        <f>SUMIF('مشتريات أغسطس التفصيلية'!$I$4:$I$98,'جرد الخامات آخر أغسطس'!A7,'مشتريات أغسطس التفصيلية'!$H$4:$H$98)</f>
        <v/>
      </c>
      <c r="G7" s="6">
        <f>ROUND(F7/E7,4)</f>
        <v/>
      </c>
      <c r="H7" s="5">
        <f>IF(C7="",E7,B7+E7)</f>
        <v/>
      </c>
      <c r="I7" s="5">
        <f>N(D7)+F7</f>
        <v/>
      </c>
      <c r="J7" s="15">
        <f>ROUND(I7/H7,4)</f>
        <v/>
      </c>
      <c r="K7" s="16">
        <f>COUNTIF('مشتريات أغسطس التفصيلية'!$I$4:$I$98,'جرد الخامات آخر أغسطس'!A7)</f>
        <v/>
      </c>
      <c r="L7" s="4" t="inlineStr">
        <is>
          <t>قياسى: (أول المدة + المشتريات)</t>
        </is>
      </c>
    </row>
    <row r="8">
      <c r="A8" s="4" t="inlineStr">
        <is>
          <t>مفروم فراخ شعبي</t>
        </is>
      </c>
      <c r="B8" s="5">
        <f>'جرد الخامات آخر أغسطس'!B8</f>
        <v/>
      </c>
      <c r="C8" s="6">
        <f>'جرد الخامات آخر أغسطس'!C8</f>
        <v/>
      </c>
      <c r="D8" s="5">
        <f>IF(C8="","",B8*C8)</f>
        <v/>
      </c>
      <c r="E8" s="5">
        <f>SUMIF('مشتريات أغسطس التفصيلية'!$I$4:$I$98,'جرد الخامات آخر أغسطس'!A8,'مشتريات أغسطس التفصيلية'!$F$4:$F$98)</f>
        <v/>
      </c>
      <c r="F8" s="5">
        <f>SUMIF('مشتريات أغسطس التفصيلية'!$I$4:$I$98,'جرد الخامات آخر أغسطس'!A8,'مشتريات أغسطس التفصيلية'!$H$4:$H$98)</f>
        <v/>
      </c>
      <c r="G8" s="6">
        <f>ROUND(F8/E8,4)</f>
        <v/>
      </c>
      <c r="H8" s="5">
        <f>IF(C8="",E8,B8+E8)</f>
        <v/>
      </c>
      <c r="I8" s="5">
        <f>N(D8)+F8</f>
        <v/>
      </c>
      <c r="J8" s="15">
        <f>ROUND(I8/H8,4)</f>
        <v/>
      </c>
      <c r="K8" s="16">
        <f>COUNTIF('مشتريات أغسطس التفصيلية'!$I$4:$I$98,'جرد الخامات آخر أغسطس'!A8)</f>
        <v/>
      </c>
      <c r="L8" s="4" t="inlineStr">
        <is>
          <t>قياسى: (أول المدة + المشتريات)</t>
        </is>
      </c>
    </row>
    <row r="9">
      <c r="A9" s="4" t="inlineStr">
        <is>
          <t>صميد</t>
        </is>
      </c>
      <c r="B9" s="5">
        <f>'جرد الخامات آخر أغسطس'!B9</f>
        <v/>
      </c>
      <c r="C9" s="6">
        <f>'جرد الخامات آخر أغسطس'!C9</f>
        <v/>
      </c>
      <c r="D9" s="5">
        <f>IF(C9="","",B9*C9)</f>
        <v/>
      </c>
      <c r="E9" s="5">
        <f>SUMIF('مشتريات أغسطس التفصيلية'!$I$4:$I$98,'جرد الخامات آخر أغسطس'!A9,'مشتريات أغسطس التفصيلية'!$F$4:$F$98)</f>
        <v/>
      </c>
      <c r="F9" s="5">
        <f>SUMIF('مشتريات أغسطس التفصيلية'!$I$4:$I$98,'جرد الخامات آخر أغسطس'!A9,'مشتريات أغسطس التفصيلية'!$H$4:$H$98)</f>
        <v/>
      </c>
      <c r="G9" s="6">
        <f>ROUND(F9/E9,4)</f>
        <v/>
      </c>
      <c r="H9" s="5">
        <f>IF(C9="",E9,B9+E9)</f>
        <v/>
      </c>
      <c r="I9" s="5">
        <f>N(D9)+F9</f>
        <v/>
      </c>
      <c r="J9" s="15">
        <f>ROUND(I9/H9,4)</f>
        <v/>
      </c>
      <c r="K9" s="16">
        <f>COUNTIF('مشتريات أغسطس التفصيلية'!$I$4:$I$98,'جرد الخامات آخر أغسطس'!A9)</f>
        <v/>
      </c>
      <c r="L9" s="4" t="inlineStr">
        <is>
          <t>قياسى: (أول المدة + المشتريات)</t>
        </is>
      </c>
    </row>
    <row r="10">
      <c r="A10" s="4" t="inlineStr">
        <is>
          <t>صويا لحمه</t>
        </is>
      </c>
      <c r="B10" s="5">
        <f>'جرد الخامات آخر أغسطس'!B10</f>
        <v/>
      </c>
      <c r="C10" s="6">
        <f>'جرد الخامات آخر أغسطس'!C10</f>
        <v/>
      </c>
      <c r="D10" s="5">
        <f>IF(C10="","",B10*C10)</f>
        <v/>
      </c>
      <c r="E10" s="5">
        <f>SUMIF('مشتريات أغسطس التفصيلية'!$I$4:$I$98,'جرد الخامات آخر أغسطس'!A10,'مشتريات أغسطس التفصيلية'!$F$4:$F$98)</f>
        <v/>
      </c>
      <c r="F10" s="5">
        <f>SUMIF('مشتريات أغسطس التفصيلية'!$I$4:$I$98,'جرد الخامات آخر أغسطس'!A10,'مشتريات أغسطس التفصيلية'!$H$4:$H$98)</f>
        <v/>
      </c>
      <c r="G10" s="6">
        <f>ROUND(F10/E10,4)</f>
        <v/>
      </c>
      <c r="H10" s="5">
        <f>IF(C10="",E10,B10+E10)</f>
        <v/>
      </c>
      <c r="I10" s="5">
        <f>N(D10)+F10</f>
        <v/>
      </c>
      <c r="J10" s="15">
        <f>ROUND(I10/H10,4)</f>
        <v/>
      </c>
      <c r="K10" s="16">
        <f>COUNTIF('مشتريات أغسطس التفصيلية'!$I$4:$I$98,'جرد الخامات آخر أغسطس'!A10)</f>
        <v/>
      </c>
      <c r="L10" s="4" t="inlineStr">
        <is>
          <t>قياسى: (أول المدة + المشتريات)</t>
        </is>
      </c>
    </row>
    <row r="11">
      <c r="A11" s="4" t="inlineStr">
        <is>
          <t>صويا اوزيليت</t>
        </is>
      </c>
      <c r="B11" s="5">
        <f>'جرد الخامات آخر أغسطس'!B11</f>
        <v/>
      </c>
      <c r="C11" s="6">
        <f>'جرد الخامات آخر أغسطس'!C11</f>
        <v/>
      </c>
      <c r="D11" s="5">
        <f>IF(C11="","",B11*C11)</f>
        <v/>
      </c>
      <c r="E11" s="5">
        <f>SUMIF('مشتريات أغسطس التفصيلية'!$I$4:$I$98,'جرد الخامات آخر أغسطس'!A11,'مشتريات أغسطس التفصيلية'!$F$4:$F$98)</f>
        <v/>
      </c>
      <c r="F11" s="5">
        <f>SUMIF('مشتريات أغسطس التفصيلية'!$I$4:$I$98,'جرد الخامات آخر أغسطس'!A11,'مشتريات أغسطس التفصيلية'!$H$4:$H$98)</f>
        <v/>
      </c>
      <c r="G11" s="6">
        <f>ROUND(F11/E11,4)</f>
        <v/>
      </c>
      <c r="H11" s="5">
        <f>IF(C11="",E11,B11+E11)</f>
        <v/>
      </c>
      <c r="I11" s="5">
        <f>N(D11)+F11</f>
        <v/>
      </c>
      <c r="J11" s="15">
        <f>ROUND(I11/H11,4)</f>
        <v/>
      </c>
      <c r="K11" s="16">
        <f>COUNTIF('مشتريات أغسطس التفصيلية'!$I$4:$I$98,'جرد الخامات آخر أغسطس'!A11)</f>
        <v/>
      </c>
      <c r="L11" s="4" t="inlineStr">
        <is>
          <t>قياسى: (أول المدة + المشتريات)</t>
        </is>
      </c>
    </row>
    <row r="12">
      <c r="A12" s="4" t="inlineStr">
        <is>
          <t>مفروم فراخ فاخر</t>
        </is>
      </c>
      <c r="B12" s="5">
        <f>'جرد الخامات آخر أغسطس'!B12</f>
        <v/>
      </c>
      <c r="C12" s="6">
        <f>'جرد الخامات آخر أغسطس'!C12</f>
        <v/>
      </c>
      <c r="D12" s="5">
        <f>IF(C12="","",B12*C12)</f>
        <v/>
      </c>
      <c r="E12" s="5">
        <f>SUMIF('مشتريات أغسطس التفصيلية'!$I$4:$I$98,'جرد الخامات آخر أغسطس'!A12,'مشتريات أغسطس التفصيلية'!$F$4:$F$98)</f>
        <v/>
      </c>
      <c r="F12" s="5">
        <f>SUMIF('مشتريات أغسطس التفصيلية'!$I$4:$I$98,'جرد الخامات آخر أغسطس'!A12,'مشتريات أغسطس التفصيلية'!$H$4:$H$98)</f>
        <v/>
      </c>
      <c r="G12" s="6">
        <f>ROUND(F12/E12,4)</f>
        <v/>
      </c>
      <c r="H12" s="5">
        <f>IF(C12="",E12,B12+E12)</f>
        <v/>
      </c>
      <c r="I12" s="5">
        <f>N(D12)+F12</f>
        <v/>
      </c>
      <c r="J12" s="15">
        <f>ROUND(I12/H12,4)</f>
        <v/>
      </c>
      <c r="K12" s="16">
        <f>COUNTIF('مشتريات أغسطس التفصيلية'!$I$4:$I$98,'جرد الخامات آخر أغسطس'!A12)</f>
        <v/>
      </c>
      <c r="L12" s="4" t="inlineStr">
        <is>
          <t>قياسى: (أول المدة + المشتريات)</t>
        </is>
      </c>
    </row>
    <row r="13">
      <c r="A13" s="4" t="inlineStr">
        <is>
          <t>دهن بلدي</t>
        </is>
      </c>
      <c r="B13" s="5">
        <f>'جرد الخامات آخر أغسطس'!B13</f>
        <v/>
      </c>
      <c r="C13" s="6">
        <f>'جرد الخامات آخر أغسطس'!C13</f>
        <v/>
      </c>
      <c r="D13" s="5">
        <f>IF(C13="","",B13*C13)</f>
        <v/>
      </c>
      <c r="E13" s="5">
        <f>SUMIF('مشتريات أغسطس التفصيلية'!$I$4:$I$98,'جرد الخامات آخر أغسطس'!A13,'مشتريات أغسطس التفصيلية'!$F$4:$F$98)</f>
        <v/>
      </c>
      <c r="F13" s="5">
        <f>SUMIF('مشتريات أغسطس التفصيلية'!$I$4:$I$98,'جرد الخامات آخر أغسطس'!A13,'مشتريات أغسطس التفصيلية'!$H$4:$H$98)</f>
        <v/>
      </c>
      <c r="G13" s="6">
        <f>ROUND(F13/E13,4)</f>
        <v/>
      </c>
      <c r="H13" s="5">
        <f>IF(C13="",E13,B13+E13)</f>
        <v/>
      </c>
      <c r="I13" s="5">
        <f>N(D13)+F13</f>
        <v/>
      </c>
      <c r="J13" s="15">
        <f>ROUND(I13/H13,4)</f>
        <v/>
      </c>
      <c r="K13" s="16">
        <f>COUNTIF('مشتريات أغسطس التفصيلية'!$I$4:$I$98,'جرد الخامات آخر أغسطس'!A13)</f>
        <v/>
      </c>
      <c r="L13" s="4" t="inlineStr">
        <is>
          <t>قياسى: (أول المدة + المشتريات)</t>
        </is>
      </c>
    </row>
    <row r="14">
      <c r="A14" s="4" t="inlineStr">
        <is>
          <t>فلانك</t>
        </is>
      </c>
      <c r="B14" s="5">
        <f>'جرد الخامات آخر أغسطس'!B19</f>
        <v/>
      </c>
      <c r="C14" s="6">
        <f>'جرد الخامات آخر أغسطس'!C19</f>
        <v/>
      </c>
      <c r="D14" s="5">
        <f>IF(C14="","",B14*C14)</f>
        <v/>
      </c>
      <c r="E14" s="5">
        <f>SUMIF('مشتريات أغسطس التفصيلية'!$I$4:$I$98,'جرد الخامات آخر أغسطس'!A19,'مشتريات أغسطس التفصيلية'!$F$4:$F$98)</f>
        <v/>
      </c>
      <c r="F14" s="5">
        <f>SUMIF('مشتريات أغسطس التفصيلية'!$I$4:$I$98,'جرد الخامات آخر أغسطس'!A19,'مشتريات أغسطس التفصيلية'!$H$4:$H$98)</f>
        <v/>
      </c>
      <c r="G14" s="6">
        <f>ROUND(F14/E14,4)</f>
        <v/>
      </c>
      <c r="H14" s="5">
        <f>IF(C14="",E14,B14+E14)</f>
        <v/>
      </c>
      <c r="I14" s="5">
        <f>N(D14)+F14</f>
        <v/>
      </c>
      <c r="J14" s="15">
        <f>ROUND(I14/H14,4)</f>
        <v/>
      </c>
      <c r="K14" s="16">
        <f>COUNTIF('مشتريات أغسطس التفصيلية'!$I$4:$I$98,'جرد الخامات آخر أغسطس'!A19)</f>
        <v/>
      </c>
      <c r="L14" s="4" t="inlineStr">
        <is>
          <t>قياسى: (أول المدة + المشتريات)</t>
        </is>
      </c>
    </row>
    <row r="15">
      <c r="A15" s="4" t="inlineStr">
        <is>
          <t>برغل</t>
        </is>
      </c>
      <c r="B15" s="5">
        <f>'جرد الخامات آخر أغسطس'!B20</f>
        <v/>
      </c>
      <c r="C15" s="6">
        <f>'جرد الخامات آخر أغسطس'!C20</f>
        <v/>
      </c>
      <c r="D15" s="5">
        <f>IF(C15="","",B15*C15)</f>
        <v/>
      </c>
      <c r="E15" s="5">
        <f>SUMIF('مشتريات أغسطس التفصيلية'!$I$4:$I$98,'جرد الخامات آخر أغسطس'!A20,'مشتريات أغسطس التفصيلية'!$F$4:$F$98)</f>
        <v/>
      </c>
      <c r="F15" s="5">
        <f>SUMIF('مشتريات أغسطس التفصيلية'!$I$4:$I$98,'جرد الخامات آخر أغسطس'!A20,'مشتريات أغسطس التفصيلية'!$H$4:$H$98)</f>
        <v/>
      </c>
      <c r="G15" s="6">
        <f>ROUND(F15/E15,4)</f>
        <v/>
      </c>
      <c r="H15" s="5">
        <f>IF(C15="",E15,B15+E15)</f>
        <v/>
      </c>
      <c r="I15" s="5">
        <f>N(D15)+F15</f>
        <v/>
      </c>
      <c r="J15" s="15">
        <f>ROUND(I15/H15,4)</f>
        <v/>
      </c>
      <c r="K15" s="16">
        <f>COUNTIF('مشتريات أغسطس التفصيلية'!$I$4:$I$98,'جرد الخامات آخر أغسطس'!A20)</f>
        <v/>
      </c>
      <c r="L15" s="4" t="inlineStr">
        <is>
          <t>قياسى: (أول المدة + المشتريات)</t>
        </is>
      </c>
    </row>
    <row r="16">
      <c r="A16" s="4" t="inlineStr">
        <is>
          <t>كبده</t>
        </is>
      </c>
      <c r="B16" s="5">
        <f>'جرد الخامات آخر أغسطس'!B22</f>
        <v/>
      </c>
      <c r="C16" s="6">
        <f>'جرد الخامات آخر أغسطس'!C22</f>
        <v/>
      </c>
      <c r="D16" s="5">
        <f>IF(C16="","",B16*C16)</f>
        <v/>
      </c>
      <c r="E16" s="5">
        <f>SUMIF('مشتريات أغسطس التفصيلية'!$I$4:$I$98,'جرد الخامات آخر أغسطس'!A22,'مشتريات أغسطس التفصيلية'!$F$4:$F$98)</f>
        <v/>
      </c>
      <c r="F16" s="5">
        <f>SUMIF('مشتريات أغسطس التفصيلية'!$I$4:$I$98,'جرد الخامات آخر أغسطس'!A22,'مشتريات أغسطس التفصيلية'!$H$4:$H$98)</f>
        <v/>
      </c>
      <c r="G16" s="6">
        <f>ROUND(F16/E16,4)</f>
        <v/>
      </c>
      <c r="H16" s="5">
        <f>IF(C16="",E16,B16+E16)</f>
        <v/>
      </c>
      <c r="I16" s="5">
        <f>N(D16)+F16</f>
        <v/>
      </c>
      <c r="J16" s="15">
        <f>ROUND(I16/H16,4)</f>
        <v/>
      </c>
      <c r="K16" s="16">
        <f>COUNTIF('مشتريات أغسطس التفصيلية'!$I$4:$I$98,'جرد الخامات آخر أغسطس'!A22)</f>
        <v/>
      </c>
      <c r="L16" s="4" t="inlineStr">
        <is>
          <t>قياسى: (أول المدة + المشتريات)</t>
        </is>
      </c>
    </row>
    <row r="17">
      <c r="A17" s="4" t="inlineStr">
        <is>
          <t>جلد</t>
        </is>
      </c>
      <c r="B17" s="5">
        <f>'جرد الخامات آخر أغسطس'!B23</f>
        <v/>
      </c>
      <c r="C17" s="6">
        <f>'جرد الخامات آخر أغسطس'!C23</f>
        <v/>
      </c>
      <c r="D17" s="5">
        <f>IF(C17="","",B17*C17)</f>
        <v/>
      </c>
      <c r="E17" s="5">
        <f>SUMIF('مشتريات أغسطس التفصيلية'!$I$4:$I$98,'جرد الخامات آخر أغسطس'!A23,'مشتريات أغسطس التفصيلية'!$F$4:$F$98)</f>
        <v/>
      </c>
      <c r="F17" s="5">
        <f>SUMIF('مشتريات أغسطس التفصيلية'!$I$4:$I$98,'جرد الخامات آخر أغسطس'!A23,'مشتريات أغسطس التفصيلية'!$H$4:$H$98)</f>
        <v/>
      </c>
      <c r="G17" s="6">
        <f>ROUND(F17/E17,4)</f>
        <v/>
      </c>
      <c r="H17" s="5">
        <f>IF(C17="",E17,B17+E17)</f>
        <v/>
      </c>
      <c r="I17" s="5">
        <f>N(D17)+F17</f>
        <v/>
      </c>
      <c r="J17" s="15">
        <f>ROUND(I17/H17,4)</f>
        <v/>
      </c>
      <c r="K17" s="16">
        <f>COUNTIF('مشتريات أغسطس التفصيلية'!$I$4:$I$98,'جرد الخامات آخر أغسطس'!A23)</f>
        <v/>
      </c>
      <c r="L17" s="4" t="inlineStr">
        <is>
          <t>قياسى: (أول المدة + المشتريات)</t>
        </is>
      </c>
    </row>
    <row r="18">
      <c r="A18" s="4" t="inlineStr">
        <is>
          <t>هانك</t>
        </is>
      </c>
      <c r="B18" s="5">
        <f>'جرد الخامات آخر أغسطس'!B24</f>
        <v/>
      </c>
      <c r="C18" s="6">
        <f>'جرد الخامات آخر أغسطس'!C24</f>
        <v/>
      </c>
      <c r="D18" s="5">
        <f>IF(C18="","",B18*C18)</f>
        <v/>
      </c>
      <c r="E18" s="5">
        <f>SUMIF('مشتريات أغسطس التفصيلية'!$I$4:$I$98,'جرد الخامات آخر أغسطس'!A24,'مشتريات أغسطس التفصيلية'!$F$4:$F$98)</f>
        <v/>
      </c>
      <c r="F18" s="5">
        <f>SUMIF('مشتريات أغسطس التفصيلية'!$I$4:$I$98,'جرد الخامات آخر أغسطس'!A24,'مشتريات أغسطس التفصيلية'!$H$4:$H$98)</f>
        <v/>
      </c>
      <c r="G18" s="6">
        <f>ROUND(F18/E18,4)</f>
        <v/>
      </c>
      <c r="H18" s="5">
        <f>IF(C18="",E18,B18+E18)</f>
        <v/>
      </c>
      <c r="I18" s="5">
        <f>N(D18)+F18</f>
        <v/>
      </c>
      <c r="J18" s="15">
        <f>ROUND(I18/H18,4)</f>
        <v/>
      </c>
      <c r="K18" s="16">
        <f>COUNTIF('مشتريات أغسطس التفصيلية'!$I$4:$I$98,'جرد الخامات آخر أغسطس'!A24)</f>
        <v/>
      </c>
      <c r="L18" s="4" t="inlineStr">
        <is>
          <t>قياسى: (أول المدة + المشتريات)</t>
        </is>
      </c>
    </row>
    <row r="19">
      <c r="A19" s="4" t="inlineStr">
        <is>
          <t>دوبريه</t>
        </is>
      </c>
      <c r="B19" s="5">
        <f>'جرد الخامات آخر أغسطس'!B25</f>
        <v/>
      </c>
      <c r="C19" s="6">
        <f>'جرد الخامات آخر أغسطس'!C25</f>
        <v/>
      </c>
      <c r="D19" s="5">
        <f>IF(C19="","",B19*C19)</f>
        <v/>
      </c>
      <c r="E19" s="5">
        <f>SUMIF('مشتريات أغسطس التفصيلية'!$I$4:$I$98,'جرد الخامات آخر أغسطس'!A25,'مشتريات أغسطس التفصيلية'!$F$4:$F$98)</f>
        <v/>
      </c>
      <c r="F19" s="5">
        <f>SUMIF('مشتريات أغسطس التفصيلية'!$I$4:$I$98,'جرد الخامات آخر أغسطس'!A25,'مشتريات أغسطس التفصيلية'!$H$4:$H$98)</f>
        <v/>
      </c>
      <c r="G19" s="6">
        <f>ROUND(F19/E19,4)</f>
        <v/>
      </c>
      <c r="H19" s="5">
        <f>IF(C19="",E19,B19+E19)</f>
        <v/>
      </c>
      <c r="I19" s="5">
        <f>N(D19)+F19</f>
        <v/>
      </c>
      <c r="J19" s="15">
        <f>ROUND(I19/H19,4)</f>
        <v/>
      </c>
      <c r="K19" s="16">
        <f>COUNTIF('مشتريات أغسطس التفصيلية'!$I$4:$I$98,'جرد الخامات آخر أغسطس'!A25)</f>
        <v/>
      </c>
      <c r="L19" s="4" t="inlineStr">
        <is>
          <t>قياسى: (أول المدة + المشتريات)</t>
        </is>
      </c>
    </row>
    <row r="20">
      <c r="A20" s="4" t="inlineStr">
        <is>
          <t>فيليه</t>
        </is>
      </c>
      <c r="B20" s="5">
        <f>'جرد الخامات آخر أغسطس'!B27</f>
        <v/>
      </c>
      <c r="C20" s="6">
        <f>'جرد الخامات آخر أغسطس'!C27</f>
        <v/>
      </c>
      <c r="D20" s="5">
        <f>IF(C20="","",B20*C20)</f>
        <v/>
      </c>
      <c r="E20" s="5">
        <f>SUMIF('مشتريات أغسطس التفصيلية'!$I$4:$I$98,'جرد الخامات آخر أغسطس'!A27,'مشتريات أغسطس التفصيلية'!$F$4:$F$98)</f>
        <v/>
      </c>
      <c r="F20" s="5">
        <f>SUMIF('مشتريات أغسطس التفصيلية'!$I$4:$I$98,'جرد الخامات آخر أغسطس'!A27,'مشتريات أغسطس التفصيلية'!$H$4:$H$98)</f>
        <v/>
      </c>
      <c r="G20" s="6">
        <f>ROUND(F20/E20,4)</f>
        <v/>
      </c>
      <c r="H20" s="5">
        <f>IF(C20="",E20,B20+E20)</f>
        <v/>
      </c>
      <c r="I20" s="5">
        <f>N(D20)+F20</f>
        <v/>
      </c>
      <c r="J20" s="15">
        <f>ROUND(I20/H20,4)</f>
        <v/>
      </c>
      <c r="K20" s="16">
        <f>COUNTIF('مشتريات أغسطس التفصيلية'!$I$4:$I$98,'جرد الخامات آخر أغسطس'!A27)</f>
        <v/>
      </c>
      <c r="L20" s="4" t="inlineStr">
        <is>
          <t>قياسى: (أول المدة + المشتريات)</t>
        </is>
      </c>
    </row>
    <row r="21">
      <c r="A21" s="4" t="inlineStr">
        <is>
          <t>بقسماط اصفر</t>
        </is>
      </c>
      <c r="B21" s="5">
        <f>'جرد الخامات آخر أغسطس'!B28</f>
        <v/>
      </c>
      <c r="C21" s="6">
        <f>'جرد الخامات آخر أغسطس'!C28</f>
        <v/>
      </c>
      <c r="D21" s="5">
        <f>IF(C21="","",B21*C21)</f>
        <v/>
      </c>
      <c r="E21" s="5">
        <f>SUMIF('مشتريات أغسطس التفصيلية'!$I$4:$I$98,'جرد الخامات آخر أغسطس'!A28,'مشتريات أغسطس التفصيلية'!$F$4:$F$98)</f>
        <v/>
      </c>
      <c r="F21" s="5">
        <f>SUMIF('مشتريات أغسطس التفصيلية'!$I$4:$I$98,'جرد الخامات آخر أغسطس'!A28,'مشتريات أغسطس التفصيلية'!$H$4:$H$98)</f>
        <v/>
      </c>
      <c r="G21" s="6">
        <f>ROUND(F21/E21,4)</f>
        <v/>
      </c>
      <c r="H21" s="5">
        <f>IF(C21="",E21,B21+E21)</f>
        <v/>
      </c>
      <c r="I21" s="5">
        <f>N(D21)+F21</f>
        <v/>
      </c>
      <c r="J21" s="15">
        <f>ROUND(I21/H21,4)</f>
        <v/>
      </c>
      <c r="K21" s="16">
        <f>COUNTIF('مشتريات أغسطس التفصيلية'!$I$4:$I$98,'جرد الخامات آخر أغسطس'!A28)</f>
        <v/>
      </c>
      <c r="L21" s="4" t="inlineStr">
        <is>
          <t>قياسى: (أول المدة + المشتريات)</t>
        </is>
      </c>
    </row>
    <row r="22">
      <c r="A22" s="4" t="inlineStr">
        <is>
          <t>دقيق</t>
        </is>
      </c>
      <c r="B22" s="5">
        <f>'جرد الخامات آخر أغسطس'!B35</f>
        <v/>
      </c>
      <c r="C22" s="6">
        <f>'جرد الخامات آخر أغسطس'!C35</f>
        <v/>
      </c>
      <c r="D22" s="5">
        <f>IF(C22="","",B22*C22)</f>
        <v/>
      </c>
      <c r="E22" s="5">
        <f>SUMIF('مشتريات أغسطس التفصيلية'!$I$4:$I$98,'جرد الخامات آخر أغسطس'!A35,'مشتريات أغسطس التفصيلية'!$F$4:$F$98)</f>
        <v/>
      </c>
      <c r="F22" s="5">
        <f>SUMIF('مشتريات أغسطس التفصيلية'!$I$4:$I$98,'جرد الخامات آخر أغسطس'!A35,'مشتريات أغسطس التفصيلية'!$H$4:$H$98)</f>
        <v/>
      </c>
      <c r="G22" s="6">
        <f>ROUND(F22/E22,4)</f>
        <v/>
      </c>
      <c r="H22" s="5">
        <f>IF(C22="",E22,B22+E22)</f>
        <v/>
      </c>
      <c r="I22" s="5">
        <f>N(D22)+F22</f>
        <v/>
      </c>
      <c r="J22" s="15">
        <f>ROUND(I22/H22,4)</f>
        <v/>
      </c>
      <c r="K22" s="16">
        <f>COUNTIF('مشتريات أغسطس التفصيلية'!$I$4:$I$98,'جرد الخامات آخر أغسطس'!A35)</f>
        <v/>
      </c>
      <c r="L22" s="4" t="inlineStr">
        <is>
          <t>قياسى: (أول المدة + المشتريات)</t>
        </is>
      </c>
    </row>
    <row r="23">
      <c r="A23" s="4" t="inlineStr">
        <is>
          <t>نشا</t>
        </is>
      </c>
      <c r="B23" s="5">
        <f>'جرد الخامات آخر أغسطس'!B36</f>
        <v/>
      </c>
      <c r="C23" s="6">
        <f>'جرد الخامات آخر أغسطس'!C36</f>
        <v/>
      </c>
      <c r="D23" s="5">
        <f>IF(C23="","",B23*C23)</f>
        <v/>
      </c>
      <c r="E23" s="5">
        <f>SUMIF('مشتريات أغسطس التفصيلية'!$I$4:$I$98,'جرد الخامات آخر أغسطس'!A36,'مشتريات أغسطس التفصيلية'!$F$4:$F$98)</f>
        <v/>
      </c>
      <c r="F23" s="5">
        <f>SUMIF('مشتريات أغسطس التفصيلية'!$I$4:$I$98,'جرد الخامات آخر أغسطس'!A36,'مشتريات أغسطس التفصيلية'!$H$4:$H$98)</f>
        <v/>
      </c>
      <c r="G23" s="6">
        <f>ROUND(F23/E23,4)</f>
        <v/>
      </c>
      <c r="H23" s="5">
        <f>IF(C23="",E23,B23+E23)</f>
        <v/>
      </c>
      <c r="I23" s="5">
        <f>N(D23)+F23</f>
        <v/>
      </c>
      <c r="J23" s="15">
        <f>ROUND(I23/H23,4)</f>
        <v/>
      </c>
      <c r="K23" s="16">
        <f>COUNTIF('مشتريات أغسطس التفصيلية'!$I$4:$I$98,'جرد الخامات آخر أغسطس'!A36)</f>
        <v/>
      </c>
      <c r="L23" s="4" t="inlineStr">
        <is>
          <t>قياسى: (أول المدة + المشتريات)</t>
        </is>
      </c>
    </row>
    <row r="24">
      <c r="A24" s="4" t="inlineStr">
        <is>
          <t>فلفل اسود</t>
        </is>
      </c>
      <c r="B24" s="5">
        <f>'جرد الخامات آخر أغسطس'!B37</f>
        <v/>
      </c>
      <c r="C24" s="6">
        <f>'جرد الخامات آخر أغسطس'!C37</f>
        <v/>
      </c>
      <c r="D24" s="5">
        <f>IF(C24="","",B24*C24)</f>
        <v/>
      </c>
      <c r="E24" s="5">
        <f>SUMIF('مشتريات أغسطس التفصيلية'!$I$4:$I$98,'جرد الخامات آخر أغسطس'!A37,'مشتريات أغسطس التفصيلية'!$F$4:$F$98)</f>
        <v/>
      </c>
      <c r="F24" s="5">
        <f>SUMIF('مشتريات أغسطس التفصيلية'!$I$4:$I$98,'جرد الخامات آخر أغسطس'!A37,'مشتريات أغسطس التفصيلية'!$H$4:$H$98)</f>
        <v/>
      </c>
      <c r="G24" s="6">
        <f>ROUND(F24/E24,4)</f>
        <v/>
      </c>
      <c r="H24" s="5">
        <f>IF(C24="",E24,B24+E24)</f>
        <v/>
      </c>
      <c r="I24" s="5">
        <f>N(D24)+F24</f>
        <v/>
      </c>
      <c r="J24" s="15">
        <f>ROUND(I24/H24,4)</f>
        <v/>
      </c>
      <c r="K24" s="16">
        <f>COUNTIF('مشتريات أغسطس التفصيلية'!$I$4:$I$98,'جرد الخامات آخر أغسطس'!A37)</f>
        <v/>
      </c>
      <c r="L24" s="4" t="inlineStr">
        <is>
          <t>قياسى: (أول المدة + المشتريات)</t>
        </is>
      </c>
    </row>
    <row r="25">
      <c r="A25" s="4" t="inlineStr">
        <is>
          <t>قرنفل</t>
        </is>
      </c>
      <c r="B25" s="5">
        <f>'جرد الخامات آخر أغسطس'!B38</f>
        <v/>
      </c>
      <c r="C25" s="6">
        <f>'جرد الخامات آخر أغسطس'!C38</f>
        <v/>
      </c>
      <c r="D25" s="5">
        <f>IF(C25="","",B25*C25)</f>
        <v/>
      </c>
      <c r="E25" s="5">
        <f>SUMIF('مشتريات أغسطس التفصيلية'!$I$4:$I$98,'جرد الخامات آخر أغسطس'!A38,'مشتريات أغسطس التفصيلية'!$F$4:$F$98)</f>
        <v/>
      </c>
      <c r="F25" s="5">
        <f>SUMIF('مشتريات أغسطس التفصيلية'!$I$4:$I$98,'جرد الخامات آخر أغسطس'!A38,'مشتريات أغسطس التفصيلية'!$H$4:$H$98)</f>
        <v/>
      </c>
      <c r="G25" s="6">
        <f>ROUND(F25/E25,4)</f>
        <v/>
      </c>
      <c r="H25" s="5">
        <f>IF(C25="",E25,B25+E25)</f>
        <v/>
      </c>
      <c r="I25" s="5">
        <f>N(D25)+F25</f>
        <v/>
      </c>
      <c r="J25" s="15">
        <f>ROUND(I25/H25,4)</f>
        <v/>
      </c>
      <c r="K25" s="16">
        <f>COUNTIF('مشتريات أغسطس التفصيلية'!$I$4:$I$98,'جرد الخامات آخر أغسطس'!A38)</f>
        <v/>
      </c>
      <c r="L25" s="4" t="inlineStr">
        <is>
          <t>قياسى: (أول المدة + المشتريات)</t>
        </is>
      </c>
    </row>
    <row r="26">
      <c r="A26" s="4" t="inlineStr">
        <is>
          <t>لورا</t>
        </is>
      </c>
      <c r="B26" s="5">
        <f>'جرد الخامات آخر أغسطس'!B43</f>
        <v/>
      </c>
      <c r="C26" s="6">
        <f>'جرد الخامات آخر أغسطس'!C43</f>
        <v/>
      </c>
      <c r="D26" s="5">
        <f>IF(C26="","",B26*C26)</f>
        <v/>
      </c>
      <c r="E26" s="5">
        <f>SUMIF('مشتريات أغسطس التفصيلية'!$I$4:$I$98,'جرد الخامات آخر أغسطس'!A43,'مشتريات أغسطس التفصيلية'!$F$4:$F$98)</f>
        <v/>
      </c>
      <c r="F26" s="5">
        <f>SUMIF('مشتريات أغسطس التفصيلية'!$I$4:$I$98,'جرد الخامات آخر أغسطس'!A43,'مشتريات أغسطس التفصيلية'!$H$4:$H$98)</f>
        <v/>
      </c>
      <c r="G26" s="6">
        <f>ROUND(F26/E26,4)</f>
        <v/>
      </c>
      <c r="H26" s="5">
        <f>IF(C26="",E26,B26+E26)</f>
        <v/>
      </c>
      <c r="I26" s="5">
        <f>N(D26)+F26</f>
        <v/>
      </c>
      <c r="J26" s="15">
        <f>ROUND(I26/H26,4)</f>
        <v/>
      </c>
      <c r="K26" s="16">
        <f>COUNTIF('مشتريات أغسطس التفصيلية'!$I$4:$I$98,'جرد الخامات آخر أغسطس'!A43)</f>
        <v/>
      </c>
      <c r="L26" s="4" t="inlineStr">
        <is>
          <t>قياسى: (أول المدة + المشتريات)</t>
        </is>
      </c>
    </row>
    <row r="27">
      <c r="A27" s="4" t="inlineStr">
        <is>
          <t>خلنجان</t>
        </is>
      </c>
      <c r="B27" s="5">
        <f>'جرد الخامات آخر أغسطس'!B44</f>
        <v/>
      </c>
      <c r="C27" s="6">
        <f>'جرد الخامات آخر أغسطس'!C44</f>
        <v/>
      </c>
      <c r="D27" s="5">
        <f>IF(C27="","",B27*C27)</f>
        <v/>
      </c>
      <c r="E27" s="5">
        <f>SUMIF('مشتريات أغسطس التفصيلية'!$I$4:$I$98,'جرد الخامات آخر أغسطس'!A44,'مشتريات أغسطس التفصيلية'!$F$4:$F$98)</f>
        <v/>
      </c>
      <c r="F27" s="5">
        <f>SUMIF('مشتريات أغسطس التفصيلية'!$I$4:$I$98,'جرد الخامات آخر أغسطس'!A44,'مشتريات أغسطس التفصيلية'!$H$4:$H$98)</f>
        <v/>
      </c>
      <c r="G27" s="6">
        <f>ROUND(F27/E27,4)</f>
        <v/>
      </c>
      <c r="H27" s="5">
        <f>IF(C27="",E27,B27+E27)</f>
        <v/>
      </c>
      <c r="I27" s="5">
        <f>N(D27)+F27</f>
        <v/>
      </c>
      <c r="J27" s="15">
        <f>ROUND(I27/H27,4)</f>
        <v/>
      </c>
      <c r="K27" s="16">
        <f>COUNTIF('مشتريات أغسطس التفصيلية'!$I$4:$I$98,'جرد الخامات آخر أغسطس'!A44)</f>
        <v/>
      </c>
      <c r="L27" s="4" t="inlineStr">
        <is>
          <t>قياسى: (أول المدة + المشتريات)</t>
        </is>
      </c>
    </row>
    <row r="28">
      <c r="A28" s="4" t="inlineStr">
        <is>
          <t>كزبره</t>
        </is>
      </c>
      <c r="B28" s="5">
        <f>'جرد الخامات آخر أغسطس'!B45</f>
        <v/>
      </c>
      <c r="C28" s="6">
        <f>'جرد الخامات آخر أغسطس'!C45</f>
        <v/>
      </c>
      <c r="D28" s="5">
        <f>IF(C28="","",B28*C28)</f>
        <v/>
      </c>
      <c r="E28" s="5">
        <f>SUMIF('مشتريات أغسطس التفصيلية'!$I$4:$I$98,'جرد الخامات آخر أغسطس'!A45,'مشتريات أغسطس التفصيلية'!$F$4:$F$98)</f>
        <v/>
      </c>
      <c r="F28" s="5">
        <f>SUMIF('مشتريات أغسطس التفصيلية'!$I$4:$I$98,'جرد الخامات آخر أغسطس'!A45,'مشتريات أغسطس التفصيلية'!$H$4:$H$98)</f>
        <v/>
      </c>
      <c r="G28" s="6">
        <f>ROUND(F28/E28,4)</f>
        <v/>
      </c>
      <c r="H28" s="5">
        <f>IF(C28="",E28,B28+E28)</f>
        <v/>
      </c>
      <c r="I28" s="5">
        <f>N(D28)+F28</f>
        <v/>
      </c>
      <c r="J28" s="15">
        <f>ROUND(I28/H28,4)</f>
        <v/>
      </c>
      <c r="K28" s="16">
        <f>COUNTIF('مشتريات أغسطس التفصيلية'!$I$4:$I$98,'جرد الخامات آخر أغسطس'!A45)</f>
        <v/>
      </c>
      <c r="L28" s="4" t="inlineStr">
        <is>
          <t>قياسى: (أول المدة + المشتريات)</t>
        </is>
      </c>
    </row>
    <row r="29">
      <c r="A29" s="4" t="inlineStr">
        <is>
          <t>قرفه</t>
        </is>
      </c>
      <c r="B29" s="5">
        <f>'جرد الخامات آخر أغسطس'!B46</f>
        <v/>
      </c>
      <c r="C29" s="6">
        <f>'جرد الخامات آخر أغسطس'!C46</f>
        <v/>
      </c>
      <c r="D29" s="5">
        <f>IF(C29="","",B29*C29)</f>
        <v/>
      </c>
      <c r="E29" s="5">
        <f>SUMIF('مشتريات أغسطس التفصيلية'!$I$4:$I$98,'جرد الخامات آخر أغسطس'!A46,'مشتريات أغسطس التفصيلية'!$F$4:$F$98)</f>
        <v/>
      </c>
      <c r="F29" s="5">
        <f>SUMIF('مشتريات أغسطس التفصيلية'!$I$4:$I$98,'جرد الخامات آخر أغسطس'!A46,'مشتريات أغسطس التفصيلية'!$H$4:$H$98)</f>
        <v/>
      </c>
      <c r="G29" s="6">
        <f>ROUND(F29/E29,4)</f>
        <v/>
      </c>
      <c r="H29" s="5">
        <f>IF(C29="",E29,B29+E29)</f>
        <v/>
      </c>
      <c r="I29" s="5">
        <f>N(D29)+F29</f>
        <v/>
      </c>
      <c r="J29" s="15">
        <f>ROUND(I29/H29,4)</f>
        <v/>
      </c>
      <c r="K29" s="16">
        <f>COUNTIF('مشتريات أغسطس التفصيلية'!$I$4:$I$98,'جرد الخامات آخر أغسطس'!A46)</f>
        <v/>
      </c>
      <c r="L29" s="4" t="inlineStr">
        <is>
          <t>قياسى: (أول المدة + المشتريات)</t>
        </is>
      </c>
    </row>
    <row r="30">
      <c r="A30" s="4" t="inlineStr">
        <is>
          <t>شطه</t>
        </is>
      </c>
      <c r="B30" s="5">
        <f>'جرد الخامات آخر أغسطس'!B48</f>
        <v/>
      </c>
      <c r="C30" s="6">
        <f>'جرد الخامات آخر أغسطس'!C48</f>
        <v/>
      </c>
      <c r="D30" s="5">
        <f>IF(C30="","",B30*C30)</f>
        <v/>
      </c>
      <c r="E30" s="5">
        <f>SUMIF('مشتريات أغسطس التفصيلية'!$I$4:$I$98,'جرد الخامات آخر أغسطس'!A48,'مشتريات أغسطس التفصيلية'!$F$4:$F$98)</f>
        <v/>
      </c>
      <c r="F30" s="5">
        <f>SUMIF('مشتريات أغسطس التفصيلية'!$I$4:$I$98,'جرد الخامات آخر أغسطس'!A48,'مشتريات أغسطس التفصيلية'!$H$4:$H$98)</f>
        <v/>
      </c>
      <c r="G30" s="6">
        <f>ROUND(F30/E30,4)</f>
        <v/>
      </c>
      <c r="H30" s="5">
        <f>IF(C30="",E30,B30+E30)</f>
        <v/>
      </c>
      <c r="I30" s="5">
        <f>N(D30)+F30</f>
        <v/>
      </c>
      <c r="J30" s="15">
        <f>ROUND(I30/H30,4)</f>
        <v/>
      </c>
      <c r="K30" s="16">
        <f>COUNTIF('مشتريات أغسطس التفصيلية'!$I$4:$I$98,'جرد الخامات آخر أغسطس'!A48)</f>
        <v/>
      </c>
      <c r="L30" s="4" t="inlineStr">
        <is>
          <t>قياسى: (أول المدة + المشتريات)</t>
        </is>
      </c>
    </row>
    <row r="31">
      <c r="A31" s="4" t="inlineStr">
        <is>
          <t>ينسون</t>
        </is>
      </c>
      <c r="B31" s="5">
        <f>'جرد الخامات آخر أغسطس'!B50</f>
        <v/>
      </c>
      <c r="C31" s="6">
        <f>'جرد الخامات آخر أغسطس'!C50</f>
        <v/>
      </c>
      <c r="D31" s="5">
        <f>IF(C31="","",B31*C31)</f>
        <v/>
      </c>
      <c r="E31" s="5">
        <f>SUMIF('مشتريات أغسطس التفصيلية'!$I$4:$I$98,'جرد الخامات آخر أغسطس'!A50,'مشتريات أغسطس التفصيلية'!$F$4:$F$98)</f>
        <v/>
      </c>
      <c r="F31" s="5">
        <f>SUMIF('مشتريات أغسطس التفصيلية'!$I$4:$I$98,'جرد الخامات آخر أغسطس'!A50,'مشتريات أغسطس التفصيلية'!$H$4:$H$98)</f>
        <v/>
      </c>
      <c r="G31" s="6">
        <f>ROUND(F31/E31,4)</f>
        <v/>
      </c>
      <c r="H31" s="5">
        <f>IF(C31="",E31,B31+E31)</f>
        <v/>
      </c>
      <c r="I31" s="5">
        <f>N(D31)+F31</f>
        <v/>
      </c>
      <c r="J31" s="15">
        <f>ROUND(I31/H31,4)</f>
        <v/>
      </c>
      <c r="K31" s="16">
        <f>COUNTIF('مشتريات أغسطس التفصيلية'!$I$4:$I$98,'جرد الخامات آخر أغسطس'!A50)</f>
        <v/>
      </c>
      <c r="L31" s="4" t="inlineStr">
        <is>
          <t>قياسى: (أول المدة + المشتريات)</t>
        </is>
      </c>
    </row>
    <row r="32">
      <c r="A32" s="4" t="inlineStr">
        <is>
          <t>حبهان</t>
        </is>
      </c>
      <c r="B32" s="5">
        <f>'جرد الخامات آخر أغسطس'!B51</f>
        <v/>
      </c>
      <c r="C32" s="6">
        <f>'جرد الخامات آخر أغسطس'!C51</f>
        <v/>
      </c>
      <c r="D32" s="5">
        <f>IF(C32="","",B32*C32)</f>
        <v/>
      </c>
      <c r="E32" s="5">
        <f>SUMIF('مشتريات أغسطس التفصيلية'!$I$4:$I$98,'جرد الخامات آخر أغسطس'!A51,'مشتريات أغسطس التفصيلية'!$F$4:$F$98)</f>
        <v/>
      </c>
      <c r="F32" s="5">
        <f>SUMIF('مشتريات أغسطس التفصيلية'!$I$4:$I$98,'جرد الخامات آخر أغسطس'!A51,'مشتريات أغسطس التفصيلية'!$H$4:$H$98)</f>
        <v/>
      </c>
      <c r="G32" s="6">
        <f>ROUND(F32/E32,4)</f>
        <v/>
      </c>
      <c r="H32" s="5">
        <f>IF(C32="",E32,B32+E32)</f>
        <v/>
      </c>
      <c r="I32" s="5">
        <f>N(D32)+F32</f>
        <v/>
      </c>
      <c r="J32" s="15">
        <f>ROUND(I32/H32,4)</f>
        <v/>
      </c>
      <c r="K32" s="16">
        <f>COUNTIF('مشتريات أغسطس التفصيلية'!$I$4:$I$98,'جرد الخامات آخر أغسطس'!A51)</f>
        <v/>
      </c>
      <c r="L32" s="4" t="inlineStr">
        <is>
          <t>قياسى: (أول المدة + المشتريات)</t>
        </is>
      </c>
    </row>
    <row r="33">
      <c r="A33" s="4" t="inlineStr">
        <is>
          <t>بابريكا</t>
        </is>
      </c>
      <c r="B33" s="5">
        <f>'جرد الخامات آخر أغسطس'!B53</f>
        <v/>
      </c>
      <c r="C33" s="6">
        <f>'جرد الخامات آخر أغسطس'!C53</f>
        <v/>
      </c>
      <c r="D33" s="5">
        <f>IF(C33="","",B33*C33)</f>
        <v/>
      </c>
      <c r="E33" s="5">
        <f>SUMIF('مشتريات أغسطس التفصيلية'!$I$4:$I$98,'جرد الخامات آخر أغسطس'!A53,'مشتريات أغسطس التفصيلية'!$F$4:$F$98)</f>
        <v/>
      </c>
      <c r="F33" s="5">
        <f>SUMIF('مشتريات أغسطس التفصيلية'!$I$4:$I$98,'جرد الخامات آخر أغسطس'!A53,'مشتريات أغسطس التفصيلية'!$H$4:$H$98)</f>
        <v/>
      </c>
      <c r="G33" s="6">
        <f>ROUND(F33/E33,4)</f>
        <v/>
      </c>
      <c r="H33" s="5">
        <f>IF(C33="",E33,B33+E33)</f>
        <v/>
      </c>
      <c r="I33" s="5">
        <f>N(D33)+F33</f>
        <v/>
      </c>
      <c r="J33" s="15">
        <f>ROUND(I33/H33,4)</f>
        <v/>
      </c>
      <c r="K33" s="16">
        <f>COUNTIF('مشتريات أغسطس التفصيلية'!$I$4:$I$98,'جرد الخامات آخر أغسطس'!A53)</f>
        <v/>
      </c>
      <c r="L33" s="4" t="inlineStr">
        <is>
          <t>قياسى: (أول المدة + المشتريات)</t>
        </is>
      </c>
    </row>
    <row r="34">
      <c r="A34" s="4" t="inlineStr">
        <is>
          <t>فوسفات</t>
        </is>
      </c>
      <c r="B34" s="5">
        <f>'جرد الخامات آخر أغسطس'!B56</f>
        <v/>
      </c>
      <c r="C34" s="6">
        <f>'جرد الخامات آخر أغسطس'!C56</f>
        <v/>
      </c>
      <c r="D34" s="5">
        <f>IF(C34="","",B34*C34)</f>
        <v/>
      </c>
      <c r="E34" s="5">
        <f>SUMIF('مشتريات أغسطس التفصيلية'!$I$4:$I$98,'جرد الخامات آخر أغسطس'!A56,'مشتريات أغسطس التفصيلية'!$F$4:$F$98)</f>
        <v/>
      </c>
      <c r="F34" s="5">
        <f>SUMIF('مشتريات أغسطس التفصيلية'!$I$4:$I$98,'جرد الخامات آخر أغسطس'!A56,'مشتريات أغسطس التفصيلية'!$H$4:$H$98)</f>
        <v/>
      </c>
      <c r="G34" s="6">
        <f>ROUND(F34/E34,4)</f>
        <v/>
      </c>
      <c r="H34" s="5">
        <f>IF(C34="",E34,B34+E34)</f>
        <v/>
      </c>
      <c r="I34" s="5">
        <f>N(D34)+F34</f>
        <v/>
      </c>
      <c r="J34" s="15">
        <f>ROUND(I34/H34,4)</f>
        <v/>
      </c>
      <c r="K34" s="16">
        <f>COUNTIF('مشتريات أغسطس التفصيلية'!$I$4:$I$98,'جرد الخامات آخر أغسطس'!A56)</f>
        <v/>
      </c>
      <c r="L34" s="4" t="inlineStr">
        <is>
          <t>قياسى: (أول المدة + المشتريات)</t>
        </is>
      </c>
    </row>
    <row r="35">
      <c r="A35" s="4" t="inlineStr">
        <is>
          <t>جلتومات</t>
        </is>
      </c>
      <c r="B35" s="5">
        <f>'جرد الخامات آخر أغسطس'!B57</f>
        <v/>
      </c>
      <c r="C35" s="6">
        <f>'جرد الخامات آخر أغسطس'!C57</f>
        <v/>
      </c>
      <c r="D35" s="5">
        <f>IF(C35="","",B35*C35)</f>
        <v/>
      </c>
      <c r="E35" s="5">
        <f>SUMIF('مشتريات أغسطس التفصيلية'!$I$4:$I$98,'جرد الخامات آخر أغسطس'!A57,'مشتريات أغسطس التفصيلية'!$F$4:$F$98)</f>
        <v/>
      </c>
      <c r="F35" s="5">
        <f>SUMIF('مشتريات أغسطس التفصيلية'!$I$4:$I$98,'جرد الخامات آخر أغسطس'!A57,'مشتريات أغسطس التفصيلية'!$H$4:$H$98)</f>
        <v/>
      </c>
      <c r="G35" s="6">
        <f>ROUND(F35/E35,4)</f>
        <v/>
      </c>
      <c r="H35" s="5">
        <f>IF(C35="",E35,B35+E35)</f>
        <v/>
      </c>
      <c r="I35" s="5">
        <f>N(D35)+F35</f>
        <v/>
      </c>
      <c r="J35" s="15">
        <f>ROUND(I35/H35,4)</f>
        <v/>
      </c>
      <c r="K35" s="16">
        <f>COUNTIF('مشتريات أغسطس التفصيلية'!$I$4:$I$98,'جرد الخامات آخر أغسطس'!A57)</f>
        <v/>
      </c>
      <c r="L35" s="4" t="inlineStr">
        <is>
          <t>قياسى: (أول المدة + المشتريات)</t>
        </is>
      </c>
    </row>
    <row r="36">
      <c r="A36" s="4" t="inlineStr">
        <is>
          <t>طعم ليه</t>
        </is>
      </c>
      <c r="B36" s="5">
        <f>'جرد الخامات آخر أغسطس'!B60</f>
        <v/>
      </c>
      <c r="C36" s="6">
        <f>'جرد الخامات آخر أغسطس'!C60</f>
        <v/>
      </c>
      <c r="D36" s="5">
        <f>IF(C36="","",B36*C36)</f>
        <v/>
      </c>
      <c r="E36" s="5">
        <f>SUMIF('مشتريات أغسطس التفصيلية'!$I$4:$I$98,'جرد الخامات آخر أغسطس'!A60,'مشتريات أغسطس التفصيلية'!$F$4:$F$98)</f>
        <v/>
      </c>
      <c r="F36" s="5">
        <f>SUMIF('مشتريات أغسطس التفصيلية'!$I$4:$I$98,'جرد الخامات آخر أغسطس'!A60,'مشتريات أغسطس التفصيلية'!$H$4:$H$98)</f>
        <v/>
      </c>
      <c r="G36" s="6">
        <f>ROUND(F36/E36,4)</f>
        <v/>
      </c>
      <c r="H36" s="5">
        <f>IF(C36="",E36,B36+E36)</f>
        <v/>
      </c>
      <c r="I36" s="5">
        <f>N(D36)+F36</f>
        <v/>
      </c>
      <c r="J36" s="15">
        <f>ROUND(I36/H36,4)</f>
        <v/>
      </c>
      <c r="K36" s="16">
        <f>COUNTIF('مشتريات أغسطس التفصيلية'!$I$4:$I$98,'جرد الخامات آخر أغسطس'!A60)</f>
        <v/>
      </c>
      <c r="L36" s="4" t="inlineStr">
        <is>
          <t>قياسى: (أول المدة + المشتريات)</t>
        </is>
      </c>
    </row>
    <row r="37">
      <c r="A37" s="4" t="inlineStr">
        <is>
          <t>طعم كفته</t>
        </is>
      </c>
      <c r="B37" s="5">
        <f>'جرد الخامات آخر أغسطس'!B61</f>
        <v/>
      </c>
      <c r="C37" s="6">
        <f>'جرد الخامات آخر أغسطس'!C61</f>
        <v/>
      </c>
      <c r="D37" s="5">
        <f>IF(C37="","",B37*C37)</f>
        <v/>
      </c>
      <c r="E37" s="5">
        <f>SUMIF('مشتريات أغسطس التفصيلية'!$I$4:$I$98,'جرد الخامات آخر أغسطس'!A61,'مشتريات أغسطس التفصيلية'!$F$4:$F$98)</f>
        <v/>
      </c>
      <c r="F37" s="5">
        <f>SUMIF('مشتريات أغسطس التفصيلية'!$I$4:$I$98,'جرد الخامات آخر أغسطس'!A61,'مشتريات أغسطس التفصيلية'!$H$4:$H$98)</f>
        <v/>
      </c>
      <c r="G37" s="6">
        <f>ROUND(F37/E37,4)</f>
        <v/>
      </c>
      <c r="H37" s="5">
        <f>IF(C37="",E37,B37+E37)</f>
        <v/>
      </c>
      <c r="I37" s="5">
        <f>N(D37)+F37</f>
        <v/>
      </c>
      <c r="J37" s="15">
        <f>ROUND(I37/H37,4)</f>
        <v/>
      </c>
      <c r="K37" s="16">
        <f>COUNTIF('مشتريات أغسطس التفصيلية'!$I$4:$I$98,'جرد الخامات آخر أغسطس'!A61)</f>
        <v/>
      </c>
      <c r="L37" s="4" t="inlineStr">
        <is>
          <t>قياسى: (أول المدة + المشتريات)</t>
        </is>
      </c>
    </row>
    <row r="38">
      <c r="A38" s="4" t="inlineStr">
        <is>
          <t>طعم بيف</t>
        </is>
      </c>
      <c r="B38" s="5">
        <f>'جرد الخامات آخر أغسطس'!B63</f>
        <v/>
      </c>
      <c r="C38" s="6">
        <f>'جرد الخامات آخر أغسطس'!C63</f>
        <v/>
      </c>
      <c r="D38" s="5">
        <f>IF(C38="","",B38*C38)</f>
        <v/>
      </c>
      <c r="E38" s="5">
        <f>SUMIF('مشتريات أغسطس التفصيلية'!$I$4:$I$98,'جرد الخامات آخر أغسطس'!A63,'مشتريات أغسطس التفصيلية'!$F$4:$F$98)</f>
        <v/>
      </c>
      <c r="F38" s="5">
        <f>SUMIF('مشتريات أغسطس التفصيلية'!$I$4:$I$98,'جرد الخامات آخر أغسطس'!A63,'مشتريات أغسطس التفصيلية'!$H$4:$H$98)</f>
        <v/>
      </c>
      <c r="G38" s="6">
        <f>ROUND(F38/E38,4)</f>
        <v/>
      </c>
      <c r="H38" s="5">
        <f>IF(C38="",E38,B38+E38)</f>
        <v/>
      </c>
      <c r="I38" s="5">
        <f>N(D38)+F38</f>
        <v/>
      </c>
      <c r="J38" s="15">
        <f>ROUND(I38/H38,4)</f>
        <v/>
      </c>
      <c r="K38" s="16">
        <f>COUNTIF('مشتريات أغسطس التفصيلية'!$I$4:$I$98,'جرد الخامات آخر أغسطس'!A63)</f>
        <v/>
      </c>
      <c r="L38" s="4" t="inlineStr">
        <is>
          <t>قياسى: (أول المدة + المشتريات)</t>
        </is>
      </c>
    </row>
    <row r="39">
      <c r="A39" s="4" t="inlineStr">
        <is>
          <t>طعم شواي</t>
        </is>
      </c>
      <c r="B39" s="5">
        <f>'جرد الخامات آخر أغسطس'!B64</f>
        <v/>
      </c>
      <c r="C39" s="6">
        <f>'جرد الخامات آخر أغسطس'!C64</f>
        <v/>
      </c>
      <c r="D39" s="5">
        <f>IF(C39="","",B39*C39)</f>
        <v/>
      </c>
      <c r="E39" s="5">
        <f>SUMIF('مشتريات أغسطس التفصيلية'!$I$4:$I$98,'جرد الخامات آخر أغسطس'!A64,'مشتريات أغسطس التفصيلية'!$F$4:$F$98)</f>
        <v/>
      </c>
      <c r="F39" s="5">
        <f>SUMIF('مشتريات أغسطس التفصيلية'!$I$4:$I$98,'جرد الخامات آخر أغسطس'!A64,'مشتريات أغسطس التفصيلية'!$H$4:$H$98)</f>
        <v/>
      </c>
      <c r="G39" s="6">
        <f>ROUND(F39/E39,4)</f>
        <v/>
      </c>
      <c r="H39" s="5">
        <f>IF(C39="",E39,B39+E39)</f>
        <v/>
      </c>
      <c r="I39" s="5">
        <f>N(D39)+F39</f>
        <v/>
      </c>
      <c r="J39" s="15">
        <f>ROUND(I39/H39,4)</f>
        <v/>
      </c>
      <c r="K39" s="16">
        <f>COUNTIF('مشتريات أغسطس التفصيلية'!$I$4:$I$98,'جرد الخامات آخر أغسطس'!A64)</f>
        <v/>
      </c>
      <c r="L39" s="4" t="inlineStr">
        <is>
          <t>قياسى: (أول المدة + المشتريات)</t>
        </is>
      </c>
    </row>
    <row r="40">
      <c r="A40" s="4" t="inlineStr">
        <is>
          <t>لون طبيعي</t>
        </is>
      </c>
      <c r="B40" s="5">
        <f>'جرد الخامات آخر أغسطس'!B70</f>
        <v/>
      </c>
      <c r="C40" s="6">
        <f>'جرد الخامات آخر أغسطس'!C70</f>
        <v/>
      </c>
      <c r="D40" s="5">
        <f>IF(C40="","",B40*C40)</f>
        <v/>
      </c>
      <c r="E40" s="5">
        <f>SUMIF('مشتريات أغسطس التفصيلية'!$I$4:$I$98,'جرد الخامات آخر أغسطس'!A70,'مشتريات أغسطس التفصيلية'!$F$4:$F$98)</f>
        <v/>
      </c>
      <c r="F40" s="5">
        <f>SUMIF('مشتريات أغسطس التفصيلية'!$I$4:$I$98,'جرد الخامات آخر أغسطس'!A70,'مشتريات أغسطس التفصيلية'!$H$4:$H$98)</f>
        <v/>
      </c>
      <c r="G40" s="6">
        <f>ROUND(F40/E40,4)</f>
        <v/>
      </c>
      <c r="H40" s="5">
        <f>IF(C40="",E40,B40+E40)</f>
        <v/>
      </c>
      <c r="I40" s="5">
        <f>N(D40)+F40</f>
        <v/>
      </c>
      <c r="J40" s="15">
        <f>ROUND(I40/H40,4)</f>
        <v/>
      </c>
      <c r="K40" s="16">
        <f>COUNTIF('مشتريات أغسطس التفصيلية'!$I$4:$I$98,'جرد الخامات آخر أغسطس'!A70)</f>
        <v/>
      </c>
      <c r="L40" s="4" t="inlineStr">
        <is>
          <t>قياسى: (أول المدة + المشتريات)</t>
        </is>
      </c>
    </row>
    <row r="41">
      <c r="A41" s="4" t="inlineStr">
        <is>
          <t>MX</t>
        </is>
      </c>
      <c r="B41" s="5">
        <f>'جرد الخامات آخر أغسطس'!B75</f>
        <v/>
      </c>
      <c r="C41" s="6">
        <f>'جرد الخامات آخر أغسطس'!C75</f>
        <v/>
      </c>
      <c r="D41" s="5">
        <f>IF(C41="","",B41*C41)</f>
        <v/>
      </c>
      <c r="E41" s="5">
        <f>SUMIF('مشتريات أغسطس التفصيلية'!$I$4:$I$98,'جرد الخامات آخر أغسطس'!A75,'مشتريات أغسطس التفصيلية'!$F$4:$F$98)</f>
        <v/>
      </c>
      <c r="F41" s="5">
        <f>SUMIF('مشتريات أغسطس التفصيلية'!$I$4:$I$98,'جرد الخامات آخر أغسطس'!A75,'مشتريات أغسطس التفصيلية'!$H$4:$H$98)</f>
        <v/>
      </c>
      <c r="G41" s="6">
        <f>ROUND(F41/E41,4)</f>
        <v/>
      </c>
      <c r="H41" s="5">
        <f>IF(C41="",E41,B41+E41)</f>
        <v/>
      </c>
      <c r="I41" s="5">
        <f>N(D41)+F41</f>
        <v/>
      </c>
      <c r="J41" s="15">
        <f>ROUND(I41/H41,4)</f>
        <v/>
      </c>
      <c r="K41" s="16">
        <f>COUNTIF('مشتريات أغسطس التفصيلية'!$I$4:$I$98,'جرد الخامات آخر أغسطس'!A75)</f>
        <v/>
      </c>
      <c r="L41" s="4" t="inlineStr">
        <is>
          <t>قياسى: (أول المدة + المشتريات)</t>
        </is>
      </c>
    </row>
    <row r="42">
      <c r="A42" s="4" t="inlineStr">
        <is>
          <t>اكياس افيز</t>
        </is>
      </c>
      <c r="B42" s="5">
        <f>'جرد الخامات آخر أغسطس'!B79</f>
        <v/>
      </c>
      <c r="C42" s="6">
        <f>'جرد الخامات آخر أغسطس'!C79</f>
        <v/>
      </c>
      <c r="D42" s="5">
        <f>IF(C42="","",B42*C42)</f>
        <v/>
      </c>
      <c r="E42" s="5">
        <f>SUMIF('مشتريات أغسطس التفصيلية'!$I$4:$I$98,'جرد الخامات آخر أغسطس'!A79,'مشتريات أغسطس التفصيلية'!$F$4:$F$98)</f>
        <v/>
      </c>
      <c r="F42" s="5">
        <f>SUMIF('مشتريات أغسطس التفصيلية'!$I$4:$I$98,'جرد الخامات آخر أغسطس'!A79,'مشتريات أغسطس التفصيلية'!$H$4:$H$98)</f>
        <v/>
      </c>
      <c r="G42" s="6">
        <f>ROUND(F42/E42,4)</f>
        <v/>
      </c>
      <c r="H42" s="5">
        <f>IF(C42="",E42,B42+E42)</f>
        <v/>
      </c>
      <c r="I42" s="5">
        <f>N(D42)+F42</f>
        <v/>
      </c>
      <c r="J42" s="15">
        <f>ROUND(I42/H42,4)</f>
        <v/>
      </c>
      <c r="K42" s="16">
        <f>COUNTIF('مشتريات أغسطس التفصيلية'!$I$4:$I$98,'جرد الخامات آخر أغسطس'!A79)</f>
        <v/>
      </c>
      <c r="L42" s="4" t="inlineStr">
        <is>
          <t>قياسى: (أول المدة + المشتريات)</t>
        </is>
      </c>
    </row>
    <row r="43">
      <c r="A43" s="4" t="inlineStr">
        <is>
          <t>اكياس برجر الهنا ص</t>
        </is>
      </c>
      <c r="B43" s="5">
        <f>'جرد الخامات آخر أغسطس'!B84</f>
        <v/>
      </c>
      <c r="C43" s="6">
        <f>'جرد الخامات آخر أغسطس'!C84</f>
        <v/>
      </c>
      <c r="D43" s="5">
        <f>IF(C43="","",B43*C43)</f>
        <v/>
      </c>
      <c r="E43" s="5">
        <f>SUMIF('مشتريات أغسطس التفصيلية'!$I$4:$I$98,'جرد الخامات آخر أغسطس'!A84,'مشتريات أغسطس التفصيلية'!$F$4:$F$98)</f>
        <v/>
      </c>
      <c r="F43" s="5">
        <f>SUMIF('مشتريات أغسطس التفصيلية'!$I$4:$I$98,'جرد الخامات آخر أغسطس'!A84,'مشتريات أغسطس التفصيلية'!$H$4:$H$98)</f>
        <v/>
      </c>
      <c r="G43" s="6">
        <f>ROUND(F43/E43,4)</f>
        <v/>
      </c>
      <c r="H43" s="5">
        <f>IF(C43="",E43,B43+E43)</f>
        <v/>
      </c>
      <c r="I43" s="5">
        <f>N(D43)+F43</f>
        <v/>
      </c>
      <c r="J43" s="15">
        <f>ROUND(I43/H43,4)</f>
        <v/>
      </c>
      <c r="K43" s="16">
        <f>COUNTIF('مشتريات أغسطس التفصيلية'!$I$4:$I$98,'جرد الخامات آخر أغسطس'!A84)</f>
        <v/>
      </c>
      <c r="L43" s="4" t="inlineStr">
        <is>
          <t>قياسى: (أول المدة + المشتريات)</t>
        </is>
      </c>
    </row>
    <row r="44">
      <c r="A44" s="4" t="inlineStr">
        <is>
          <t>اكياس برجر الهنا ك</t>
        </is>
      </c>
      <c r="B44" s="5">
        <f>'جرد الخامات آخر أغسطس'!B85</f>
        <v/>
      </c>
      <c r="C44" s="6">
        <f>'جرد الخامات آخر أغسطس'!C85</f>
        <v/>
      </c>
      <c r="D44" s="5">
        <f>IF(C44="","",B44*C44)</f>
        <v/>
      </c>
      <c r="E44" s="5">
        <f>SUMIF('مشتريات أغسطس التفصيلية'!$I$4:$I$98,'جرد الخامات آخر أغسطس'!A85,'مشتريات أغسطس التفصيلية'!$F$4:$F$98)</f>
        <v/>
      </c>
      <c r="F44" s="5">
        <f>SUMIF('مشتريات أغسطس التفصيلية'!$I$4:$I$98,'جرد الخامات آخر أغسطس'!A85,'مشتريات أغسطس التفصيلية'!$H$4:$H$98)</f>
        <v/>
      </c>
      <c r="G44" s="6">
        <f>ROUND(F44/E44,4)</f>
        <v/>
      </c>
      <c r="H44" s="5">
        <f>IF(C44="",E44,B44+E44)</f>
        <v/>
      </c>
      <c r="I44" s="5">
        <f>N(D44)+F44</f>
        <v/>
      </c>
      <c r="J44" s="15">
        <f>ROUND(I44/H44,4)</f>
        <v/>
      </c>
      <c r="K44" s="16">
        <f>COUNTIF('مشتريات أغسطس التفصيلية'!$I$4:$I$98,'جرد الخامات آخر أغسطس'!A85)</f>
        <v/>
      </c>
      <c r="L44" s="4" t="inlineStr">
        <is>
          <t>قياسى: (أول المدة + المشتريات)</t>
        </is>
      </c>
    </row>
    <row r="45">
      <c r="A45" s="4" t="inlineStr">
        <is>
          <t>اكياس كفتة الهنا ص</t>
        </is>
      </c>
      <c r="B45" s="5">
        <f>'جرد الخامات آخر أغسطس'!B86</f>
        <v/>
      </c>
      <c r="C45" s="6">
        <f>'جرد الخامات آخر أغسطس'!C86</f>
        <v/>
      </c>
      <c r="D45" s="5">
        <f>IF(C45="","",B45*C45)</f>
        <v/>
      </c>
      <c r="E45" s="5">
        <f>SUMIF('مشتريات أغسطس التفصيلية'!$I$4:$I$98,'جرد الخامات آخر أغسطس'!A86,'مشتريات أغسطس التفصيلية'!$F$4:$F$98)</f>
        <v/>
      </c>
      <c r="F45" s="5">
        <f>SUMIF('مشتريات أغسطس التفصيلية'!$I$4:$I$98,'جرد الخامات آخر أغسطس'!A86,'مشتريات أغسطس التفصيلية'!$H$4:$H$98)</f>
        <v/>
      </c>
      <c r="G45" s="6">
        <f>ROUND(F45/E45,4)</f>
        <v/>
      </c>
      <c r="H45" s="5">
        <f>IF(C45="",E45,B45+E45)</f>
        <v/>
      </c>
      <c r="I45" s="5">
        <f>N(D45)+F45</f>
        <v/>
      </c>
      <c r="J45" s="15">
        <f>ROUND(I45/H45,4)</f>
        <v/>
      </c>
      <c r="K45" s="16">
        <f>COUNTIF('مشتريات أغسطس التفصيلية'!$I$4:$I$98,'جرد الخامات آخر أغسطس'!A86)</f>
        <v/>
      </c>
      <c r="L45" s="4" t="inlineStr">
        <is>
          <t>قياسى: (أول المدة + المشتريات)</t>
        </is>
      </c>
    </row>
    <row r="46">
      <c r="A46" s="4" t="inlineStr">
        <is>
          <t>اكياس سجق الهنا ص</t>
        </is>
      </c>
      <c r="B46" s="5">
        <f>'جرد الخامات آخر أغسطس'!B90</f>
        <v/>
      </c>
      <c r="C46" s="6">
        <f>'جرد الخامات آخر أغسطس'!C90</f>
        <v/>
      </c>
      <c r="D46" s="5">
        <f>IF(C46="","",B46*C46)</f>
        <v/>
      </c>
      <c r="E46" s="5">
        <f>SUMIF('مشتريات أغسطس التفصيلية'!$I$4:$I$98,'جرد الخامات آخر أغسطس'!A90,'مشتريات أغسطس التفصيلية'!$F$4:$F$98)</f>
        <v/>
      </c>
      <c r="F46" s="5">
        <f>SUMIF('مشتريات أغسطس التفصيلية'!$I$4:$I$98,'جرد الخامات آخر أغسطس'!A90,'مشتريات أغسطس التفصيلية'!$H$4:$H$98)</f>
        <v/>
      </c>
      <c r="G46" s="6">
        <f>ROUND(F46/E46,4)</f>
        <v/>
      </c>
      <c r="H46" s="5">
        <f>IF(C46="",E46,B46+E46)</f>
        <v/>
      </c>
      <c r="I46" s="5">
        <f>N(D46)+F46</f>
        <v/>
      </c>
      <c r="J46" s="15">
        <f>ROUND(I46/H46,4)</f>
        <v/>
      </c>
      <c r="K46" s="16">
        <f>COUNTIF('مشتريات أغسطس التفصيلية'!$I$4:$I$98,'جرد الخامات آخر أغسطس'!A90)</f>
        <v/>
      </c>
      <c r="L46" s="4" t="inlineStr">
        <is>
          <t>قياسى: (أول المدة + المشتريات)</t>
        </is>
      </c>
    </row>
    <row r="47">
      <c r="A47" s="4" t="inlineStr">
        <is>
          <t>اطباق 1/2</t>
        </is>
      </c>
      <c r="B47" s="5">
        <f>'جرد الخامات آخر أغسطس'!B101</f>
        <v/>
      </c>
      <c r="C47" s="6">
        <f>'جرد الخامات آخر أغسطس'!C101</f>
        <v/>
      </c>
      <c r="D47" s="5">
        <f>IF(C47="","",B47*C47)</f>
        <v/>
      </c>
      <c r="E47" s="5">
        <f>SUMIF('مشتريات أغسطس التفصيلية'!$I$4:$I$98,'جرد الخامات آخر أغسطس'!A101,'مشتريات أغسطس التفصيلية'!$F$4:$F$98)</f>
        <v/>
      </c>
      <c r="F47" s="5">
        <f>SUMIF('مشتريات أغسطس التفصيلية'!$I$4:$I$98,'جرد الخامات آخر أغسطس'!A101,'مشتريات أغسطس التفصيلية'!$H$4:$H$98)</f>
        <v/>
      </c>
      <c r="G47" s="6">
        <f>ROUND(F47/E47,4)</f>
        <v/>
      </c>
      <c r="H47" s="5">
        <f>IF(C47="",E47,B47+E47)</f>
        <v/>
      </c>
      <c r="I47" s="5">
        <f>N(D47)+F47</f>
        <v/>
      </c>
      <c r="J47" s="15">
        <f>ROUND(I47/H47,4)</f>
        <v/>
      </c>
      <c r="K47" s="16">
        <f>COUNTIF('مشتريات أغسطس التفصيلية'!$I$4:$I$98,'جرد الخامات آخر أغسطس'!A101)</f>
        <v/>
      </c>
      <c r="L47" s="4" t="inlineStr">
        <is>
          <t>قياسى: (أول المدة + المشتريات)</t>
        </is>
      </c>
    </row>
    <row r="48">
      <c r="A48" s="4" t="inlineStr">
        <is>
          <t>اطباق 3/4</t>
        </is>
      </c>
      <c r="B48" s="5">
        <f>'جرد الخامات آخر أغسطس'!B102</f>
        <v/>
      </c>
      <c r="C48" s="6">
        <f>'جرد الخامات آخر أغسطس'!C102</f>
        <v/>
      </c>
      <c r="D48" s="5">
        <f>IF(C48="","",B48*C48)</f>
        <v/>
      </c>
      <c r="E48" s="5">
        <f>SUMIF('مشتريات أغسطس التفصيلية'!$I$4:$I$98,'جرد الخامات آخر أغسطس'!A102,'مشتريات أغسطس التفصيلية'!$F$4:$F$98)</f>
        <v/>
      </c>
      <c r="F48" s="5">
        <f>SUMIF('مشتريات أغسطس التفصيلية'!$I$4:$I$98,'جرد الخامات آخر أغسطس'!A102,'مشتريات أغسطس التفصيلية'!$H$4:$H$98)</f>
        <v/>
      </c>
      <c r="G48" s="6">
        <f>ROUND(F48/E48,4)</f>
        <v/>
      </c>
      <c r="H48" s="5">
        <f>IF(C48="",E48,B48+E48)</f>
        <v/>
      </c>
      <c r="I48" s="5">
        <f>N(D48)+F48</f>
        <v/>
      </c>
      <c r="J48" s="15">
        <f>ROUND(I48/H48,4)</f>
        <v/>
      </c>
      <c r="K48" s="16">
        <f>COUNTIF('مشتريات أغسطس التفصيلية'!$I$4:$I$98,'جرد الخامات آخر أغسطس'!A102)</f>
        <v/>
      </c>
      <c r="L48" s="4" t="inlineStr">
        <is>
          <t>قياسى: (أول المدة + المشتريات)</t>
        </is>
      </c>
    </row>
    <row r="49">
      <c r="A49" s="4" t="inlineStr">
        <is>
          <t>فرش البرجر 11*11</t>
        </is>
      </c>
      <c r="B49" s="5">
        <f>'جرد الخامات آخر أغسطس'!B103</f>
        <v/>
      </c>
      <c r="C49" s="6">
        <f>'جرد الخامات آخر أغسطس'!C103</f>
        <v/>
      </c>
      <c r="D49" s="5">
        <f>IF(C49="","",B49*C49)</f>
        <v/>
      </c>
      <c r="E49" s="5">
        <f>SUMIF('مشتريات أغسطس التفصيلية'!$I$4:$I$98,'جرد الخامات آخر أغسطس'!A103,'مشتريات أغسطس التفصيلية'!$F$4:$F$98)</f>
        <v/>
      </c>
      <c r="F49" s="5">
        <f>SUMIF('مشتريات أغسطس التفصيلية'!$I$4:$I$98,'جرد الخامات آخر أغسطس'!A103,'مشتريات أغسطس التفصيلية'!$H$4:$H$98)</f>
        <v/>
      </c>
      <c r="G49" s="6">
        <f>ROUND(F49/E49,4)</f>
        <v/>
      </c>
      <c r="H49" s="5">
        <f>IF(C49="",E49,B49+E49)</f>
        <v/>
      </c>
      <c r="I49" s="5">
        <f>N(D49)+F49</f>
        <v/>
      </c>
      <c r="J49" s="15">
        <f>ROUND(I49/H49,4)</f>
        <v/>
      </c>
      <c r="K49" s="16">
        <f>COUNTIF('مشتريات أغسطس التفصيلية'!$I$4:$I$98,'جرد الخامات آخر أغسطس'!A103)</f>
        <v/>
      </c>
      <c r="L49" s="4" t="inlineStr">
        <is>
          <t>قياسى: (أول المدة + المشتريات)</t>
        </is>
      </c>
    </row>
    <row r="50">
      <c r="A50" s="4" t="inlineStr">
        <is>
          <t>فرش كفته</t>
        </is>
      </c>
      <c r="B50" s="5">
        <f>'جرد الخامات آخر أغسطس'!B105</f>
        <v/>
      </c>
      <c r="C50" s="6">
        <f>'جرد الخامات آخر أغسطس'!C105</f>
        <v/>
      </c>
      <c r="D50" s="5">
        <f>IF(C50="","",B50*C50)</f>
        <v/>
      </c>
      <c r="E50" s="5">
        <f>SUMIF('مشتريات أغسطس التفصيلية'!$I$4:$I$98,'جرد الخامات آخر أغسطس'!A105,'مشتريات أغسطس التفصيلية'!$F$4:$F$98)</f>
        <v/>
      </c>
      <c r="F50" s="5">
        <f>SUMIF('مشتريات أغسطس التفصيلية'!$I$4:$I$98,'جرد الخامات آخر أغسطس'!A105,'مشتريات أغسطس التفصيلية'!$H$4:$H$98)</f>
        <v/>
      </c>
      <c r="G50" s="6">
        <f>ROUND(F50/E50,4)</f>
        <v/>
      </c>
      <c r="H50" s="5">
        <f>IF(C50="",E50,B50+E50)</f>
        <v/>
      </c>
      <c r="I50" s="5">
        <f>N(D50)+F50</f>
        <v/>
      </c>
      <c r="J50" s="15">
        <f>ROUND(I50/H50,4)</f>
        <v/>
      </c>
      <c r="K50" s="16">
        <f>COUNTIF('مشتريات أغسطس التفصيلية'!$I$4:$I$98,'جرد الخامات آخر أغسطس'!A105)</f>
        <v/>
      </c>
      <c r="L50" s="4" t="inlineStr">
        <is>
          <t>قياسى: (أول المدة + المشتريات)</t>
        </is>
      </c>
    </row>
    <row r="51">
      <c r="A51" s="4" t="inlineStr">
        <is>
          <t>اكياس برجر s.p كبير</t>
        </is>
      </c>
      <c r="B51" s="5">
        <f>'جرد الخامات آخر أغسطس'!B119</f>
        <v/>
      </c>
      <c r="C51" s="6">
        <f>'جرد الخامات آخر أغسطس'!C119</f>
        <v/>
      </c>
      <c r="D51" s="5">
        <f>IF(C51="","",B51*C51)</f>
        <v/>
      </c>
      <c r="E51" s="5">
        <f>SUMIF('مشتريات أغسطس التفصيلية'!$I$4:$I$98,'جرد الخامات آخر أغسطس'!A119,'مشتريات أغسطس التفصيلية'!$F$4:$F$98)</f>
        <v/>
      </c>
      <c r="F51" s="5">
        <f>SUMIF('مشتريات أغسطس التفصيلية'!$I$4:$I$98,'جرد الخامات آخر أغسطس'!A119,'مشتريات أغسطس التفصيلية'!$H$4:$H$98)</f>
        <v/>
      </c>
      <c r="G51" s="6">
        <f>ROUND(F51/E51,4)</f>
        <v/>
      </c>
      <c r="H51" s="5">
        <f>IF(C51="",E51,B51+E51)</f>
        <v/>
      </c>
      <c r="I51" s="5">
        <f>N(D51)+F51</f>
        <v/>
      </c>
      <c r="J51" s="15">
        <f>ROUND(I51/H51,4)</f>
        <v/>
      </c>
      <c r="K51" s="16">
        <f>COUNTIF('مشتريات أغسطس التفصيلية'!$I$4:$I$98,'جرد الخامات آخر أغسطس'!A119)</f>
        <v/>
      </c>
      <c r="L51" s="4" t="inlineStr">
        <is>
          <t>قياسى: (أول المدة + المشتريات)</t>
        </is>
      </c>
    </row>
    <row r="52">
      <c r="A52" s="4" t="inlineStr">
        <is>
          <t>كراتين s.p ابيض</t>
        </is>
      </c>
      <c r="B52" s="5">
        <f>'جرد الخامات آخر أغسطس'!B124</f>
        <v/>
      </c>
      <c r="C52" s="6">
        <f>'جرد الخامات آخر أغسطس'!C124</f>
        <v/>
      </c>
      <c r="D52" s="5">
        <f>IF(C52="","",B52*C52)</f>
        <v/>
      </c>
      <c r="E52" s="5">
        <f>SUMIF('مشتريات أغسطس التفصيلية'!$I$4:$I$98,'جرد الخامات آخر أغسطس'!A124,'مشتريات أغسطس التفصيلية'!$F$4:$F$98)</f>
        <v/>
      </c>
      <c r="F52" s="5">
        <f>SUMIF('مشتريات أغسطس التفصيلية'!$I$4:$I$98,'جرد الخامات آخر أغسطس'!A124,'مشتريات أغسطس التفصيلية'!$H$4:$H$98)</f>
        <v/>
      </c>
      <c r="G52" s="6">
        <f>ROUND(F52/E52,4)</f>
        <v/>
      </c>
      <c r="H52" s="5">
        <f>IF(C52="",E52,B52+E52)</f>
        <v/>
      </c>
      <c r="I52" s="5">
        <f>N(D52)+F52</f>
        <v/>
      </c>
      <c r="J52" s="15">
        <f>ROUND(I52/H52,4)</f>
        <v/>
      </c>
      <c r="K52" s="16">
        <f>COUNTIF('مشتريات أغسطس التفصيلية'!$I$4:$I$98,'جرد الخامات آخر أغسطس'!A124)</f>
        <v/>
      </c>
      <c r="L52" s="4" t="inlineStr">
        <is>
          <t>لا رصيد أول مدة مُسعّر ⇒ المتوسط = متوسط سعر الشراء</t>
        </is>
      </c>
    </row>
    <row r="53">
      <c r="A53" s="4" t="inlineStr">
        <is>
          <t>كراتين الهنا ازرق</t>
        </is>
      </c>
      <c r="B53" s="5">
        <f>'جرد الخامات آخر أغسطس'!B131</f>
        <v/>
      </c>
      <c r="C53" s="6">
        <f>'جرد الخامات آخر أغسطس'!C131</f>
        <v/>
      </c>
      <c r="D53" s="5">
        <f>IF(C53="","",B53*C53)</f>
        <v/>
      </c>
      <c r="E53" s="5">
        <f>SUMIF('مشتريات أغسطس التفصيلية'!$I$4:$I$98,'جرد الخامات آخر أغسطس'!A131,'مشتريات أغسطس التفصيلية'!$F$4:$F$98)</f>
        <v/>
      </c>
      <c r="F53" s="5">
        <f>SUMIF('مشتريات أغسطس التفصيلية'!$I$4:$I$98,'جرد الخامات آخر أغسطس'!A131,'مشتريات أغسطس التفصيلية'!$H$4:$H$98)</f>
        <v/>
      </c>
      <c r="G53" s="6">
        <f>ROUND(F53/E53,4)</f>
        <v/>
      </c>
      <c r="H53" s="5">
        <f>IF(C53="",E53,B53+E53)</f>
        <v/>
      </c>
      <c r="I53" s="5">
        <f>N(D53)+F53</f>
        <v/>
      </c>
      <c r="J53" s="15">
        <f>ROUND(I53/H53,4)</f>
        <v/>
      </c>
      <c r="K53" s="16">
        <f>COUNTIF('مشتريات أغسطس التفصيلية'!$I$4:$I$98,'جرد الخامات آخر أغسطس'!A131)</f>
        <v/>
      </c>
      <c r="L53" s="4" t="inlineStr">
        <is>
          <t>قياسى: (أول المدة + المشتريات)</t>
        </is>
      </c>
    </row>
    <row r="54">
      <c r="A54" s="4" t="inlineStr">
        <is>
          <t>كراتين اسبشيال احمر</t>
        </is>
      </c>
      <c r="B54" s="5">
        <f>'جرد الخامات آخر أغسطس'!B133</f>
        <v/>
      </c>
      <c r="C54" s="6">
        <f>'جرد الخامات آخر أغسطس'!C133</f>
        <v/>
      </c>
      <c r="D54" s="5">
        <f>IF(C54="","",B54*C54)</f>
        <v/>
      </c>
      <c r="E54" s="5">
        <f>SUMIF('مشتريات أغسطس التفصيلية'!$I$4:$I$98,'جرد الخامات آخر أغسطس'!A133,'مشتريات أغسطس التفصيلية'!$F$4:$F$98)</f>
        <v/>
      </c>
      <c r="F54" s="5">
        <f>SUMIF('مشتريات أغسطس التفصيلية'!$I$4:$I$98,'جرد الخامات آخر أغسطس'!A133,'مشتريات أغسطس التفصيلية'!$H$4:$H$98)</f>
        <v/>
      </c>
      <c r="G54" s="6">
        <f>ROUND(F54/E54,4)</f>
        <v/>
      </c>
      <c r="H54" s="5">
        <f>IF(C54="",E54,B54+E54)</f>
        <v/>
      </c>
      <c r="I54" s="5">
        <f>N(D54)+F54</f>
        <v/>
      </c>
      <c r="J54" s="15">
        <f>ROUND(I54/H54,4)</f>
        <v/>
      </c>
      <c r="K54" s="16">
        <f>COUNTIF('مشتريات أغسطس التفصيلية'!$I$4:$I$98,'جرد الخامات آخر أغسطس'!A133)</f>
        <v/>
      </c>
      <c r="L54" s="4" t="inlineStr">
        <is>
          <t>قياسى: (أول المدة + المشتريات)</t>
        </is>
      </c>
    </row>
    <row r="55">
      <c r="A55" s="4" t="inlineStr">
        <is>
          <t>زيت سيارات</t>
        </is>
      </c>
      <c r="B55" s="5">
        <f>'جرد الخامات آخر أغسطس'!B145</f>
        <v/>
      </c>
      <c r="C55" s="6">
        <f>'جرد الخامات آخر أغسطس'!C145</f>
        <v/>
      </c>
      <c r="D55" s="5">
        <f>IF(C55="","",B55*C55)</f>
        <v/>
      </c>
      <c r="E55" s="5">
        <f>SUMIF('مشتريات أغسطس التفصيلية'!$I$4:$I$98,'جرد الخامات آخر أغسطس'!A145,'مشتريات أغسطس التفصيلية'!$F$4:$F$98)</f>
        <v/>
      </c>
      <c r="F55" s="5">
        <f>SUMIF('مشتريات أغسطس التفصيلية'!$I$4:$I$98,'جرد الخامات آخر أغسطس'!A145,'مشتريات أغسطس التفصيلية'!$H$4:$H$98)</f>
        <v/>
      </c>
      <c r="G55" s="6">
        <f>ROUND(F55/E55,4)</f>
        <v/>
      </c>
      <c r="H55" s="5">
        <f>IF(C55="",E55,B55+E55)</f>
        <v/>
      </c>
      <c r="I55" s="5">
        <f>N(D55)+F55</f>
        <v/>
      </c>
      <c r="J55" s="15">
        <f>ROUND(I55/H55,4)</f>
        <v/>
      </c>
      <c r="K55" s="16">
        <f>COUNTIF('مشتريات أغسطس التفصيلية'!$I$4:$I$98,'جرد الخامات آخر أغسطس'!A145)</f>
        <v/>
      </c>
      <c r="L55" s="4" t="inlineStr">
        <is>
          <t>لا رصيد أول مدة مُسعّر ⇒ المتوسط = متوسط سعر الشراء</t>
        </is>
      </c>
    </row>
    <row r="57">
      <c r="A57" s="9" t="inlineStr">
        <is>
          <t>الإجمالى</t>
        </is>
      </c>
      <c r="D57" s="10">
        <f>SUM(D5:D55)</f>
        <v/>
      </c>
      <c r="F57" s="10">
        <f>SUM(F5:F55)</f>
        <v/>
      </c>
      <c r="I57" s="10">
        <f>SUM(I5:I55)</f>
        <v/>
      </c>
    </row>
  </sheetData>
  <mergeCells count="2">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2"/>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22" customWidth="1" min="3" max="3"/>
    <col width="24" customWidth="1" min="4" max="4"/>
    <col width="10" customWidth="1" min="5" max="5"/>
    <col width="12" customWidth="1" min="6" max="6"/>
    <col width="13" customWidth="1" min="7" max="7"/>
    <col width="50" customWidth="1" min="8" max="8"/>
  </cols>
  <sheetData>
    <row r="1">
      <c r="A1" s="1" t="inlineStr">
        <is>
          <t>تفصيل وصفات التصنيع بأسعار خامات أغسطس (نفس كميات ومعاملات إنتاجية وصفات يونيه)</t>
        </is>
      </c>
    </row>
    <row r="3" ht="42" customHeight="1">
      <c r="A3" s="3" t="inlineStr">
        <is>
          <t>الوصفة</t>
        </is>
      </c>
      <c r="B3" s="3" t="inlineStr">
        <is>
          <t>القسم</t>
        </is>
      </c>
      <c r="C3" s="3" t="inlineStr">
        <is>
          <t>الخامة بالوصفة</t>
        </is>
      </c>
      <c r="D3" s="3" t="inlineStr">
        <is>
          <t>الصنف المقابل بالجرد</t>
        </is>
      </c>
      <c r="E3" s="3" t="inlineStr">
        <is>
          <t>الكمية (كجم)</t>
        </is>
      </c>
      <c r="F3" s="3" t="inlineStr">
        <is>
          <t>سعر أغسطس</t>
        </is>
      </c>
      <c r="G3" s="3" t="inlineStr">
        <is>
          <t>القيمة</t>
        </is>
      </c>
      <c r="H3" s="3" t="inlineStr">
        <is>
          <t>ملاحظة</t>
        </is>
      </c>
    </row>
    <row r="4">
      <c r="A4" s="4" t="inlineStr">
        <is>
          <t>سجق ابوهاشم</t>
        </is>
      </c>
      <c r="B4" s="4" t="inlineStr">
        <is>
          <t>خلطة فرعية (توابل)</t>
        </is>
      </c>
      <c r="C4" s="4" t="inlineStr">
        <is>
          <t>فوسفات</t>
        </is>
      </c>
      <c r="D4" s="4" t="inlineStr">
        <is>
          <t>فوسفات</t>
        </is>
      </c>
      <c r="E4" s="17" t="n">
        <v>0.3</v>
      </c>
      <c r="F4" s="6">
        <f>'جرد الخامات آخر أغسطس'!I56</f>
        <v/>
      </c>
      <c r="G4" s="5">
        <f>E4*F4</f>
        <v/>
      </c>
      <c r="H4" s="4" t="inlineStr">
        <is>
          <t>مطابقة سعر يونيه بالوصفة مع سعر الصنف بالجرد</t>
        </is>
      </c>
    </row>
    <row r="5">
      <c r="A5" s="4" t="inlineStr">
        <is>
          <t>سجق ابوهاشم</t>
        </is>
      </c>
      <c r="B5" s="4" t="inlineStr">
        <is>
          <t>خلطة فرعية (توابل)</t>
        </is>
      </c>
      <c r="C5" s="4" t="inlineStr">
        <is>
          <t>جلتومات</t>
        </is>
      </c>
      <c r="D5" s="4" t="inlineStr">
        <is>
          <t>جلتومات</t>
        </is>
      </c>
      <c r="E5" s="17" t="n">
        <v>0.32</v>
      </c>
      <c r="F5" s="6">
        <f>'جرد الخامات آخر أغسطس'!I57</f>
        <v/>
      </c>
      <c r="G5" s="5">
        <f>E5*F5</f>
        <v/>
      </c>
      <c r="H5" s="4" t="inlineStr">
        <is>
          <t>مطابقة سعر يونيه بالوصفة مع سعر الصنف بالجرد</t>
        </is>
      </c>
    </row>
    <row r="6">
      <c r="A6" s="4" t="inlineStr">
        <is>
          <t>سجق ابوهاشم</t>
        </is>
      </c>
      <c r="B6" s="4" t="inlineStr">
        <is>
          <t>خلطة فرعية (توابل)</t>
        </is>
      </c>
      <c r="C6" s="4" t="inlineStr">
        <is>
          <t>طعم بسطرمة</t>
        </is>
      </c>
      <c r="D6" s="4" t="inlineStr">
        <is>
          <t>زيوت بسطرمه</t>
        </is>
      </c>
      <c r="E6" s="17" t="n">
        <v>0.04</v>
      </c>
      <c r="F6" s="6">
        <f>'جرد الخامات آخر أغسطس'!I72</f>
        <v/>
      </c>
      <c r="G6" s="5">
        <f>E6*F6</f>
        <v/>
      </c>
      <c r="H6" s="4" t="inlineStr">
        <is>
          <t>مطابقة سعر يونيه بالوصفة مع سعر الصنف بالجرد</t>
        </is>
      </c>
    </row>
    <row r="7">
      <c r="A7" s="4" t="inlineStr">
        <is>
          <t>سجق ابوهاشم</t>
        </is>
      </c>
      <c r="B7" s="4" t="inlineStr">
        <is>
          <t>خلطة فرعية (توابل)</t>
        </is>
      </c>
      <c r="C7" s="4" t="inlineStr">
        <is>
          <t>طعم سجق</t>
        </is>
      </c>
      <c r="D7" s="4" t="inlineStr">
        <is>
          <t>طعم سجق بودر</t>
        </is>
      </c>
      <c r="E7" s="17" t="n">
        <v>0.06</v>
      </c>
      <c r="F7" s="6">
        <f>'جرد الخامات آخر أغسطس'!I58</f>
        <v/>
      </c>
      <c r="G7" s="5">
        <f>E7*F7</f>
        <v/>
      </c>
      <c r="H7" s="4" t="inlineStr">
        <is>
          <t>مطابقة سعر يونيه بالوصفة مع سعر الصنف بالجرد</t>
        </is>
      </c>
    </row>
    <row r="8">
      <c r="A8" s="4" t="inlineStr">
        <is>
          <t>سجق ابوهاشم</t>
        </is>
      </c>
      <c r="B8" s="4" t="inlineStr">
        <is>
          <t>خلطة فرعية (توابل)</t>
        </is>
      </c>
      <c r="C8" s="4" t="inlineStr">
        <is>
          <t>فلفل اسود</t>
        </is>
      </c>
      <c r="D8" s="4" t="inlineStr">
        <is>
          <t>فلفل اسود</t>
        </is>
      </c>
      <c r="E8" s="17" t="n">
        <v>0.08</v>
      </c>
      <c r="F8" s="6">
        <f>'جرد الخامات آخر أغسطس'!I37</f>
        <v/>
      </c>
      <c r="G8" s="5">
        <f>E8*F8</f>
        <v/>
      </c>
      <c r="H8" s="4" t="inlineStr">
        <is>
          <t>مطابقة سعر يونيه بالوصفة مع سعر الصنف بالجرد</t>
        </is>
      </c>
    </row>
    <row r="9">
      <c r="A9" s="4" t="inlineStr">
        <is>
          <t>سجق ابوهاشم</t>
        </is>
      </c>
      <c r="B9" s="4" t="inlineStr">
        <is>
          <t>خلطة فرعية (توابل)</t>
        </is>
      </c>
      <c r="C9" s="4" t="inlineStr">
        <is>
          <t>كزبرة</t>
        </is>
      </c>
      <c r="D9" s="4" t="inlineStr">
        <is>
          <t>كزبره</t>
        </is>
      </c>
      <c r="E9" s="17" t="n">
        <v>0</v>
      </c>
      <c r="F9" s="6">
        <f>'جرد الخامات آخر أغسطس'!I45</f>
        <v/>
      </c>
      <c r="G9" s="5">
        <f>E9*F9</f>
        <v/>
      </c>
      <c r="H9" s="4" t="inlineStr">
        <is>
          <t>مطابقة سعر يونيه بالوصفة مع سعر الصنف بالجرد</t>
        </is>
      </c>
    </row>
    <row r="10">
      <c r="A10" s="4" t="inlineStr">
        <is>
          <t>سجق ابوهاشم</t>
        </is>
      </c>
      <c r="B10" s="4" t="inlineStr">
        <is>
          <t>خلطة فرعية (توابل)</t>
        </is>
      </c>
      <c r="C10" s="4" t="inlineStr">
        <is>
          <t>بابريكا</t>
        </is>
      </c>
      <c r="D10" s="4" t="inlineStr">
        <is>
          <t>بابريكا</t>
        </is>
      </c>
      <c r="E10" s="17" t="n">
        <v>0.15</v>
      </c>
      <c r="F10" s="6">
        <f>'جرد الخامات آخر أغسطس'!I53</f>
        <v/>
      </c>
      <c r="G10" s="5">
        <f>E10*F10</f>
        <v/>
      </c>
      <c r="H10" s="4" t="inlineStr">
        <is>
          <t>مطابقة سعر يونيه بالوصفة مع سعر الصنف بالجرد</t>
        </is>
      </c>
    </row>
    <row r="11">
      <c r="A11" s="4" t="inlineStr">
        <is>
          <t>سجق ابوهاشم</t>
        </is>
      </c>
      <c r="B11" s="4" t="inlineStr">
        <is>
          <t>خلطة فرعية (توابل)</t>
        </is>
      </c>
      <c r="C11" s="4" t="inlineStr">
        <is>
          <t>حلبه</t>
        </is>
      </c>
      <c r="D11" s="4" t="inlineStr">
        <is>
          <t>—</t>
        </is>
      </c>
      <c r="E11" s="17" t="n">
        <v>0</v>
      </c>
      <c r="F11" s="6" t="n">
        <v>0</v>
      </c>
      <c r="G11" s="5">
        <f>E11*F11</f>
        <v/>
      </c>
      <c r="H11" s="8" t="inlineStr">
        <is>
          <t>صنف غير موجود ضمن قاعدة بيانات الخامات المُسعّرة</t>
        </is>
      </c>
    </row>
    <row r="12">
      <c r="A12" s="4" t="inlineStr">
        <is>
          <t>سجق ابوهاشم</t>
        </is>
      </c>
      <c r="B12" s="4" t="inlineStr">
        <is>
          <t>خلطة فرعية (توابل)</t>
        </is>
      </c>
      <c r="C12" s="4" t="inlineStr">
        <is>
          <t>قرنفل</t>
        </is>
      </c>
      <c r="D12" s="4" t="inlineStr">
        <is>
          <t>قرنفل</t>
        </is>
      </c>
      <c r="E12" s="17" t="n">
        <v>0.04</v>
      </c>
      <c r="F12" s="6">
        <f>'جرد الخامات آخر أغسطس'!I38</f>
        <v/>
      </c>
      <c r="G12" s="5">
        <f>E12*F12</f>
        <v/>
      </c>
      <c r="H12" s="4" t="inlineStr">
        <is>
          <t>مطابقة سعر يونيه بالوصفة مع سعر الصنف بالجرد</t>
        </is>
      </c>
    </row>
    <row r="13">
      <c r="A13" s="4" t="inlineStr">
        <is>
          <t>سجق ابوهاشم</t>
        </is>
      </c>
      <c r="B13" s="4" t="inlineStr">
        <is>
          <t>خلطة فرعية (توابل)</t>
        </is>
      </c>
      <c r="C13" s="4" t="inlineStr">
        <is>
          <t>قرفه</t>
        </is>
      </c>
      <c r="D13" s="4" t="inlineStr">
        <is>
          <t>قرفه</t>
        </is>
      </c>
      <c r="E13" s="17" t="n">
        <v>0.1</v>
      </c>
      <c r="F13" s="6">
        <f>'جرد الخامات آخر أغسطس'!I46</f>
        <v/>
      </c>
      <c r="G13" s="5">
        <f>E13*F13</f>
        <v/>
      </c>
      <c r="H13" s="4" t="inlineStr">
        <is>
          <t>مطابقة سعر يونيه بالوصفة مع سعر الصنف بالجرد</t>
        </is>
      </c>
    </row>
    <row r="14">
      <c r="A14" s="4" t="inlineStr">
        <is>
          <t>سجق ابوهاشم</t>
        </is>
      </c>
      <c r="B14" s="4" t="inlineStr">
        <is>
          <t>خلطة فرعية (توابل)</t>
        </is>
      </c>
      <c r="C14" s="4" t="inlineStr">
        <is>
          <t>شطه</t>
        </is>
      </c>
      <c r="D14" s="4" t="inlineStr">
        <is>
          <t>شطه</t>
        </is>
      </c>
      <c r="E14" s="17" t="n">
        <v>0.1</v>
      </c>
      <c r="F14" s="6">
        <f>'جرد الخامات آخر أغسطس'!I48</f>
        <v/>
      </c>
      <c r="G14" s="5">
        <f>E14*F14</f>
        <v/>
      </c>
      <c r="H14" s="4" t="inlineStr">
        <is>
          <t>مطابقة سعر يونيه بالوصفة مع سعر الصنف بالجرد</t>
        </is>
      </c>
    </row>
    <row r="15">
      <c r="A15" s="4" t="inlineStr">
        <is>
          <t>سجق ابوهاشم</t>
        </is>
      </c>
      <c r="B15" s="4" t="inlineStr">
        <is>
          <t>خلطة فرعية (توابل)</t>
        </is>
      </c>
      <c r="C15" s="4" t="inlineStr">
        <is>
          <t>ملح</t>
        </is>
      </c>
      <c r="D15" s="4" t="inlineStr">
        <is>
          <t>الملح</t>
        </is>
      </c>
      <c r="E15" s="17" t="n">
        <v>1.8</v>
      </c>
      <c r="F15" s="6">
        <f>'جرد الخامات آخر أغسطس'!I55</f>
        <v/>
      </c>
      <c r="G15" s="5">
        <f>E15*F15</f>
        <v/>
      </c>
      <c r="H15" s="4" t="inlineStr">
        <is>
          <t>مطابقة سعر يونيه بالوصفة مع سعر الصنف بالجرد</t>
        </is>
      </c>
    </row>
    <row r="16">
      <c r="A16" s="4" t="inlineStr">
        <is>
          <t>سجق ابوهاشم</t>
        </is>
      </c>
      <c r="B16" s="4" t="inlineStr">
        <is>
          <t>خلطة فرعية (توابل)</t>
        </is>
      </c>
      <c r="C16" s="4" t="inlineStr">
        <is>
          <t>ينسون</t>
        </is>
      </c>
      <c r="D16" s="4" t="inlineStr">
        <is>
          <t>ينسون</t>
        </is>
      </c>
      <c r="E16" s="17" t="n">
        <v>0.1</v>
      </c>
      <c r="F16" s="6">
        <f>'جرد الخامات آخر أغسطس'!I50</f>
        <v/>
      </c>
      <c r="G16" s="5">
        <f>E16*F16</f>
        <v/>
      </c>
      <c r="H16" s="4" t="inlineStr">
        <is>
          <t>مطابقة سعر يونيه بالوصفة مع سعر الصنف بالجرد</t>
        </is>
      </c>
    </row>
    <row r="17">
      <c r="A17" s="4" t="inlineStr">
        <is>
          <t>سجق ابوهاشم</t>
        </is>
      </c>
      <c r="B17" s="4" t="inlineStr">
        <is>
          <t>خلطة فرعية (توابل)</t>
        </is>
      </c>
      <c r="C17" s="4" t="inlineStr">
        <is>
          <t>لون</t>
        </is>
      </c>
      <c r="D17" s="4" t="inlineStr">
        <is>
          <t>لون طبيعي</t>
        </is>
      </c>
      <c r="E17" s="17" t="n">
        <v>0.15</v>
      </c>
      <c r="F17" s="6">
        <f>'جرد الخامات آخر أغسطس'!I70</f>
        <v/>
      </c>
      <c r="G17" s="5">
        <f>E17*F17</f>
        <v/>
      </c>
      <c r="H17" s="4" t="inlineStr">
        <is>
          <t>مطابقة سعر يونيه بالوصفة مع سعر الصنف بالجرد</t>
        </is>
      </c>
    </row>
    <row r="18">
      <c r="A18" s="4" t="inlineStr">
        <is>
          <t>سجق ابوهاشم</t>
        </is>
      </c>
      <c r="B18" s="4" t="inlineStr">
        <is>
          <t>خلطة فرعية (توابل)</t>
        </is>
      </c>
      <c r="C18" s="4" t="inlineStr">
        <is>
          <t>حبهان</t>
        </is>
      </c>
      <c r="D18" s="4" t="inlineStr">
        <is>
          <t>حبهان</t>
        </is>
      </c>
      <c r="E18" s="17" t="n">
        <v>0.03</v>
      </c>
      <c r="F18" s="6">
        <f>'جرد الخامات آخر أغسطس'!I51</f>
        <v/>
      </c>
      <c r="G18" s="5">
        <f>E18*F18</f>
        <v/>
      </c>
      <c r="H18" s="4" t="inlineStr">
        <is>
          <t>مطابقة سعر يونيه بالوصفة مع سعر الصنف بالجرد</t>
        </is>
      </c>
    </row>
    <row r="19">
      <c r="A19" s="18" t="inlineStr">
        <is>
          <t>سجق ابوهاشم</t>
        </is>
      </c>
      <c r="B19" s="19" t="inlineStr">
        <is>
          <t>إجمالى خلطة فرعية (توابل)</t>
        </is>
      </c>
      <c r="E19" s="20">
        <f>SUM(E4:E18)</f>
        <v/>
      </c>
      <c r="F19" s="15">
        <f>G19/E19</f>
        <v/>
      </c>
      <c r="G19" s="21">
        <f>SUM(G4:G18)</f>
        <v/>
      </c>
      <c r="H19" s="18" t="inlineStr">
        <is>
          <t>سعر كجم الخلطة الفرعية = قيمتها ÷ كميتها</t>
        </is>
      </c>
    </row>
    <row r="21">
      <c r="A21" s="4" t="inlineStr">
        <is>
          <t>سجق ابوهاشم</t>
        </is>
      </c>
      <c r="B21" s="4" t="inlineStr">
        <is>
          <t>الوصفة الرئيسية</t>
        </is>
      </c>
      <c r="C21" s="4" t="inlineStr">
        <is>
          <t>مفروم فراخ فاخر</t>
        </is>
      </c>
      <c r="D21" s="4" t="inlineStr">
        <is>
          <t>مفروم فراخ فاخر</t>
        </is>
      </c>
      <c r="E21" s="17" t="n">
        <v>20</v>
      </c>
      <c r="F21" s="6">
        <f>'جرد الخامات آخر أغسطس'!I12</f>
        <v/>
      </c>
      <c r="G21" s="5">
        <f>E21*F21</f>
        <v/>
      </c>
      <c r="H21" s="4" t="inlineStr">
        <is>
          <t>مطابقة سعر يونيه بالوصفة مع سعر الصنف بالجرد</t>
        </is>
      </c>
    </row>
    <row r="22">
      <c r="A22" s="4" t="inlineStr">
        <is>
          <t>سجق ابوهاشم</t>
        </is>
      </c>
      <c r="B22" s="4" t="inlineStr">
        <is>
          <t>الوصفة الرئيسية</t>
        </is>
      </c>
      <c r="C22" s="4" t="inlineStr">
        <is>
          <t>بصل</t>
        </is>
      </c>
      <c r="D22" s="4" t="inlineStr">
        <is>
          <t>بصل</t>
        </is>
      </c>
      <c r="E22" s="17" t="n">
        <v>10</v>
      </c>
      <c r="F22" s="6">
        <f>'جرد الخامات آخر أغسطس'!I5</f>
        <v/>
      </c>
      <c r="G22" s="5">
        <f>E22*F22</f>
        <v/>
      </c>
      <c r="H22" s="4" t="inlineStr">
        <is>
          <t>مطابقة سعر يونيه بالوصفة مع سعر الصنف بالجرد</t>
        </is>
      </c>
    </row>
    <row r="23">
      <c r="A23" s="4" t="inlineStr">
        <is>
          <t>سجق ابوهاشم</t>
        </is>
      </c>
      <c r="B23" s="4" t="inlineStr">
        <is>
          <t>الوصفة الرئيسية</t>
        </is>
      </c>
      <c r="C23" s="4" t="inlineStr">
        <is>
          <t>دهن</t>
        </is>
      </c>
      <c r="D23" s="4" t="inlineStr">
        <is>
          <t>دهن بلدي</t>
        </is>
      </c>
      <c r="E23" s="17" t="n">
        <v>10</v>
      </c>
      <c r="F23" s="6">
        <f>'جرد الخامات آخر أغسطس'!I13</f>
        <v/>
      </c>
      <c r="G23" s="5">
        <f>E23*F23</f>
        <v/>
      </c>
      <c r="H23" s="4" t="inlineStr">
        <is>
          <t>مطابقة سعر يونيه بالوصفة مع سعر الصنف بالجرد</t>
        </is>
      </c>
    </row>
    <row r="24">
      <c r="A24" s="4" t="inlineStr">
        <is>
          <t>سجق ابوهاشم</t>
        </is>
      </c>
      <c r="B24" s="4" t="inlineStr">
        <is>
          <t>الوصفة الرئيسية</t>
        </is>
      </c>
      <c r="C24" s="4" t="inlineStr">
        <is>
          <t>فلانك</t>
        </is>
      </c>
      <c r="D24" s="4" t="inlineStr">
        <is>
          <t>فلانك</t>
        </is>
      </c>
      <c r="E24" s="17" t="n">
        <v>20</v>
      </c>
      <c r="F24" s="6">
        <f>'جرد الخامات آخر أغسطس'!I19</f>
        <v/>
      </c>
      <c r="G24" s="5">
        <f>E24*F24</f>
        <v/>
      </c>
      <c r="H24" s="4" t="inlineStr">
        <is>
          <t>مطابقة سعر يونيه بالوصفة مع سعر الصنف بالجرد</t>
        </is>
      </c>
    </row>
    <row r="25">
      <c r="A25" s="4" t="inlineStr">
        <is>
          <t>سجق ابوهاشم</t>
        </is>
      </c>
      <c r="B25" s="4" t="inlineStr">
        <is>
          <t>الوصفة الرئيسية</t>
        </is>
      </c>
      <c r="C25" s="4" t="inlineStr">
        <is>
          <t>فلفل</t>
        </is>
      </c>
      <c r="D25" s="4" t="inlineStr">
        <is>
          <t>—</t>
        </is>
      </c>
      <c r="E25" s="17" t="n">
        <v>0</v>
      </c>
      <c r="F25" s="6" t="n">
        <v>0</v>
      </c>
      <c r="G25" s="5">
        <f>E25*F25</f>
        <v/>
      </c>
      <c r="H25" s="8" t="inlineStr">
        <is>
          <t>غير محدد النوع (فلفل اسود/احمر/اخضر) — لا يمكن تحديد سعر بدقة دون توضيح</t>
        </is>
      </c>
    </row>
    <row r="26">
      <c r="A26" s="4" t="inlineStr">
        <is>
          <t>سجق ابوهاشم</t>
        </is>
      </c>
      <c r="B26" s="4" t="inlineStr">
        <is>
          <t>الوصفة الرئيسية</t>
        </is>
      </c>
      <c r="C26" s="4" t="inlineStr">
        <is>
          <t>توام</t>
        </is>
      </c>
      <c r="D26" s="4" t="inlineStr">
        <is>
          <t>ثوم</t>
        </is>
      </c>
      <c r="E26" s="17" t="n">
        <v>2</v>
      </c>
      <c r="F26" s="6">
        <f>'جرد الخامات آخر أغسطس'!I6</f>
        <v/>
      </c>
      <c r="G26" s="5">
        <f>E26*F26</f>
        <v/>
      </c>
      <c r="H26" s="4" t="inlineStr">
        <is>
          <t>مطابقة سعر يونيه بالوصفة مع سعر الصنف بالجرد</t>
        </is>
      </c>
    </row>
    <row r="27">
      <c r="A27" s="4" t="inlineStr">
        <is>
          <t>سجق ابوهاشم</t>
        </is>
      </c>
      <c r="B27" s="4" t="inlineStr">
        <is>
          <t>الوصفة الرئيسية</t>
        </is>
      </c>
      <c r="C27" s="4" t="inlineStr">
        <is>
          <t>صويا</t>
        </is>
      </c>
      <c r="D27" s="4" t="inlineStr">
        <is>
          <t>صويا لحمه</t>
        </is>
      </c>
      <c r="E27" s="17" t="n">
        <v>10</v>
      </c>
      <c r="F27" s="6">
        <f>'جرد الخامات آخر أغسطس'!I10</f>
        <v/>
      </c>
      <c r="G27" s="5">
        <f>E27*F27</f>
        <v/>
      </c>
      <c r="H27" s="4" t="inlineStr">
        <is>
          <t>مطابقة سعر يونيه بالوصفة مع سعر الصنف بالجرد</t>
        </is>
      </c>
    </row>
    <row r="28">
      <c r="A28" s="4" t="inlineStr">
        <is>
          <t>سجق ابوهاشم</t>
        </is>
      </c>
      <c r="B28" s="4" t="inlineStr">
        <is>
          <t>الوصفة الرئيسية</t>
        </is>
      </c>
      <c r="C28" s="4" t="inlineStr">
        <is>
          <t>بطاطس</t>
        </is>
      </c>
      <c r="D28" s="4" t="inlineStr">
        <is>
          <t>—</t>
        </is>
      </c>
      <c r="E28" s="17" t="n">
        <v>0</v>
      </c>
      <c r="F28" s="6" t="n">
        <v>0</v>
      </c>
      <c r="G28" s="5">
        <f>E28*F28</f>
        <v/>
      </c>
      <c r="H28" s="8" t="inlineStr">
        <is>
          <t>صنف غير موجود ضمن قاعدة بيانات الخامات المُسعّرة</t>
        </is>
      </c>
    </row>
    <row r="29">
      <c r="A29" s="4" t="inlineStr">
        <is>
          <t>سجق ابوهاشم</t>
        </is>
      </c>
      <c r="B29" s="4" t="inlineStr">
        <is>
          <t>الوصفة الرئيسية</t>
        </is>
      </c>
      <c r="C29" s="4" t="inlineStr">
        <is>
          <t>برغل</t>
        </is>
      </c>
      <c r="D29" s="4" t="inlineStr">
        <is>
          <t>برغل</t>
        </is>
      </c>
      <c r="E29" s="17" t="n">
        <v>4</v>
      </c>
      <c r="F29" s="6">
        <f>'جرد الخامات آخر أغسطس'!I20</f>
        <v/>
      </c>
      <c r="G29" s="5">
        <f>E29*F29</f>
        <v/>
      </c>
      <c r="H29" s="4" t="inlineStr">
        <is>
          <t>مطابقة سعر يونيه بالوصفة مع سعر الصنف بالجرد</t>
        </is>
      </c>
    </row>
    <row r="30">
      <c r="A30" s="4" t="inlineStr">
        <is>
          <t>سجق ابوهاشم</t>
        </is>
      </c>
      <c r="B30" s="4" t="inlineStr">
        <is>
          <t>الوصفة الرئيسية</t>
        </is>
      </c>
      <c r="C30" s="4" t="inlineStr">
        <is>
          <t>جلد</t>
        </is>
      </c>
      <c r="D30" s="4" t="inlineStr">
        <is>
          <t>جلد</t>
        </is>
      </c>
      <c r="E30" s="17" t="n">
        <v>10</v>
      </c>
      <c r="F30" s="6">
        <f>'جرد الخامات آخر أغسطس'!I23</f>
        <v/>
      </c>
      <c r="G30" s="5">
        <f>E30*F30</f>
        <v/>
      </c>
      <c r="H30" s="4" t="inlineStr">
        <is>
          <t>مطابقة سعر يونيه بالوصفة مع سعر الصنف بالجرد</t>
        </is>
      </c>
    </row>
    <row r="31">
      <c r="A31" s="4" t="inlineStr">
        <is>
          <t>سجق ابوهاشم</t>
        </is>
      </c>
      <c r="B31" s="4" t="inlineStr">
        <is>
          <t>الوصفة الرئيسية</t>
        </is>
      </c>
      <c r="C31" s="4" t="inlineStr">
        <is>
          <t>مايه</t>
        </is>
      </c>
      <c r="D31" s="4" t="inlineStr">
        <is>
          <t>—</t>
        </is>
      </c>
      <c r="E31" s="17" t="n">
        <v>28</v>
      </c>
      <c r="F31" s="6" t="n">
        <v>0</v>
      </c>
      <c r="G31" s="5">
        <f>E31*F31</f>
        <v/>
      </c>
      <c r="H31" s="8" t="inlineStr">
        <is>
          <t>لا يوجد سعر شراء مسجل للمياه ضمن الخامات — عادة تكلفة مرافق غير مباشرة</t>
        </is>
      </c>
    </row>
    <row r="32">
      <c r="A32" s="4" t="inlineStr">
        <is>
          <t>سجق ابوهاشم</t>
        </is>
      </c>
      <c r="B32" s="4" t="inlineStr">
        <is>
          <t>الوصفة الرئيسية</t>
        </is>
      </c>
      <c r="C32" s="4" t="inlineStr">
        <is>
          <t>دوبريه</t>
        </is>
      </c>
      <c r="D32" s="4" t="inlineStr">
        <is>
          <t>دوبريه</t>
        </is>
      </c>
      <c r="E32" s="17" t="n">
        <v>10</v>
      </c>
      <c r="F32" s="6">
        <f>'جرد الخامات آخر أغسطس'!I25</f>
        <v/>
      </c>
      <c r="G32" s="5">
        <f>E32*F32</f>
        <v/>
      </c>
      <c r="H32" s="4" t="inlineStr">
        <is>
          <t>مطابقة سعر يونيه بالوصفة مع سعر الصنف بالجرد</t>
        </is>
      </c>
    </row>
    <row r="33">
      <c r="A33" s="4" t="inlineStr">
        <is>
          <t>سجق ابوهاشم</t>
        </is>
      </c>
      <c r="B33" s="4" t="inlineStr">
        <is>
          <t>الوصفة الرئيسية</t>
        </is>
      </c>
      <c r="C33" s="4" t="inlineStr">
        <is>
          <t>نشا</t>
        </is>
      </c>
      <c r="D33" s="4" t="inlineStr">
        <is>
          <t>نشا</t>
        </is>
      </c>
      <c r="E33" s="17" t="n">
        <v>0</v>
      </c>
      <c r="F33" s="6">
        <f>'جرد الخامات آخر أغسطس'!I36</f>
        <v/>
      </c>
      <c r="G33" s="5">
        <f>E33*F33</f>
        <v/>
      </c>
      <c r="H33" s="4" t="inlineStr">
        <is>
          <t>مطابقة سعر يونيه بالوصفة مع سعر الصنف بالجرد</t>
        </is>
      </c>
    </row>
    <row r="34">
      <c r="A34" s="4" t="inlineStr">
        <is>
          <t>سجق ابوهاشم</t>
        </is>
      </c>
      <c r="B34" s="4" t="inlineStr">
        <is>
          <t>الوصفة الرئيسية</t>
        </is>
      </c>
      <c r="C34" s="4" t="inlineStr">
        <is>
          <t>توابيل</t>
        </is>
      </c>
      <c r="D34" s="4" t="inlineStr">
        <is>
          <t>سعر كجم الخلطة الفرعية</t>
        </is>
      </c>
      <c r="E34" s="17" t="n">
        <v>3.12</v>
      </c>
      <c r="F34" s="6">
        <f>F19</f>
        <v/>
      </c>
      <c r="G34" s="5">
        <f>E34*F34</f>
        <v/>
      </c>
      <c r="H34" s="4" t="inlineStr">
        <is>
          <t>سعر كجم الخلطة الفرعية</t>
        </is>
      </c>
    </row>
    <row r="35">
      <c r="A35" s="18" t="inlineStr">
        <is>
          <t>سجق ابوهاشم</t>
        </is>
      </c>
      <c r="B35" s="19" t="inlineStr">
        <is>
          <t>إجمالى الوصفة الرئيسية</t>
        </is>
      </c>
      <c r="E35" s="20">
        <f>SUM(E21:E34)</f>
        <v/>
      </c>
      <c r="G35" s="21">
        <f>SUM(G21:G34)</f>
        <v/>
      </c>
      <c r="H35" s="18" t="inlineStr">
        <is>
          <t>سعر الكجم = قيمة الوصفة ÷ 98.96 كجم (معامل الإنتاجية كما بالوصفة)</t>
        </is>
      </c>
    </row>
    <row r="37">
      <c r="A37" s="4" t="inlineStr">
        <is>
          <t>كفته ابوهاشم</t>
        </is>
      </c>
      <c r="B37" s="4" t="inlineStr">
        <is>
          <t>خلطة فرعية (توابل)</t>
        </is>
      </c>
      <c r="C37" s="4" t="inlineStr">
        <is>
          <t>فوسفات</t>
        </is>
      </c>
      <c r="D37" s="4" t="inlineStr">
        <is>
          <t>فوسفات</t>
        </is>
      </c>
      <c r="E37" s="17" t="n">
        <v>0.4</v>
      </c>
      <c r="F37" s="6">
        <f>'جرد الخامات آخر أغسطس'!I56</f>
        <v/>
      </c>
      <c r="G37" s="5">
        <f>E37*F37</f>
        <v/>
      </c>
      <c r="H37" s="4" t="inlineStr">
        <is>
          <t>مطابقة سعر يونيه بالوصفة مع سعر الصنف بالجرد</t>
        </is>
      </c>
    </row>
    <row r="38">
      <c r="A38" s="4" t="inlineStr">
        <is>
          <t>كفته ابوهاشم</t>
        </is>
      </c>
      <c r="B38" s="4" t="inlineStr">
        <is>
          <t>خلطة فرعية (توابل)</t>
        </is>
      </c>
      <c r="C38" s="4" t="inlineStr">
        <is>
          <t>مونوصوديم</t>
        </is>
      </c>
      <c r="D38" s="4" t="inlineStr">
        <is>
          <t>جلتومات</t>
        </is>
      </c>
      <c r="E38" s="17" t="n">
        <v>0.3</v>
      </c>
      <c r="F38" s="6">
        <f>'جرد الخامات آخر أغسطس'!I57</f>
        <v/>
      </c>
      <c r="G38" s="5">
        <f>E38*F38</f>
        <v/>
      </c>
      <c r="H38" s="4" t="inlineStr">
        <is>
          <t>مطابقة سعر يونيه بالوصفة مع سعر الصنف بالجرد</t>
        </is>
      </c>
    </row>
    <row r="39">
      <c r="A39" s="4" t="inlineStr">
        <is>
          <t>كفته ابوهاشم</t>
        </is>
      </c>
      <c r="B39" s="4" t="inlineStr">
        <is>
          <t>خلطة فرعية (توابل)</t>
        </is>
      </c>
      <c r="C39" s="4" t="inlineStr">
        <is>
          <t>طعم كفته</t>
        </is>
      </c>
      <c r="D39" s="4" t="inlineStr">
        <is>
          <t>طعم كفته</t>
        </is>
      </c>
      <c r="E39" s="17" t="n">
        <v>0</v>
      </c>
      <c r="F39" s="6">
        <f>'جرد الخامات آخر أغسطس'!I61</f>
        <v/>
      </c>
      <c r="G39" s="5">
        <f>E39*F39</f>
        <v/>
      </c>
      <c r="H39" s="4" t="inlineStr">
        <is>
          <t>مطابقة سعر يونيه بالوصفة مع سعر الصنف بالجرد</t>
        </is>
      </c>
    </row>
    <row r="40">
      <c r="A40" s="4" t="inlineStr">
        <is>
          <t>كفته ابوهاشم</t>
        </is>
      </c>
      <c r="B40" s="4" t="inlineStr">
        <is>
          <t>خلطة فرعية (توابل)</t>
        </is>
      </c>
      <c r="C40" s="4" t="inlineStr">
        <is>
          <t>طعم شواء</t>
        </is>
      </c>
      <c r="D40" s="4" t="inlineStr">
        <is>
          <t>طعم شواي</t>
        </is>
      </c>
      <c r="E40" s="17" t="n">
        <v>0.1</v>
      </c>
      <c r="F40" s="6">
        <f>'جرد الخامات آخر أغسطس'!I64</f>
        <v/>
      </c>
      <c r="G40" s="5">
        <f>E40*F40</f>
        <v/>
      </c>
      <c r="H40" s="4" t="inlineStr">
        <is>
          <t>مطابقة سعر يونيه بالوصفة مع سعر الصنف بالجرد</t>
        </is>
      </c>
    </row>
    <row r="41">
      <c r="A41" s="4" t="inlineStr">
        <is>
          <t>كفته ابوهاشم</t>
        </is>
      </c>
      <c r="B41" s="4" t="inlineStr">
        <is>
          <t>خلطة فرعية (توابل)</t>
        </is>
      </c>
      <c r="C41" s="4" t="inlineStr">
        <is>
          <t>طعم بيف</t>
        </is>
      </c>
      <c r="D41" s="4" t="inlineStr">
        <is>
          <t>طعم بيف</t>
        </is>
      </c>
      <c r="E41" s="17" t="n">
        <v>0.1</v>
      </c>
      <c r="F41" s="6">
        <f>'جرد الخامات آخر أغسطس'!I63</f>
        <v/>
      </c>
      <c r="G41" s="5">
        <f>E41*F41</f>
        <v/>
      </c>
      <c r="H41" s="4" t="inlineStr">
        <is>
          <t>مطابقة سعر يونيه بالوصفة مع سعر الصنف بالجرد</t>
        </is>
      </c>
    </row>
    <row r="42">
      <c r="A42" s="4" t="inlineStr">
        <is>
          <t>كفته ابوهاشم</t>
        </is>
      </c>
      <c r="B42" s="4" t="inlineStr">
        <is>
          <t>خلطة فرعية (توابل)</t>
        </is>
      </c>
      <c r="C42" s="4" t="inlineStr">
        <is>
          <t>خلنجان</t>
        </is>
      </c>
      <c r="D42" s="4" t="inlineStr">
        <is>
          <t>خلنجان</t>
        </is>
      </c>
      <c r="E42" s="17" t="n">
        <v>0</v>
      </c>
      <c r="F42" s="6">
        <f>'جرد الخامات آخر أغسطس'!I44</f>
        <v/>
      </c>
      <c r="G42" s="5">
        <f>E42*F42</f>
        <v/>
      </c>
      <c r="H42" s="4" t="inlineStr">
        <is>
          <t>مطابقة سعر يونيه بالوصفة مع سعر الصنف بالجرد</t>
        </is>
      </c>
    </row>
    <row r="43">
      <c r="A43" s="4" t="inlineStr">
        <is>
          <t>كفته ابوهاشم</t>
        </is>
      </c>
      <c r="B43" s="4" t="inlineStr">
        <is>
          <t>خلطة فرعية (توابل)</t>
        </is>
      </c>
      <c r="C43" s="4" t="inlineStr">
        <is>
          <t>فلفل اسود</t>
        </is>
      </c>
      <c r="D43" s="4" t="inlineStr">
        <is>
          <t>فلفل اسود</t>
        </is>
      </c>
      <c r="E43" s="17" t="n">
        <v>0.3</v>
      </c>
      <c r="F43" s="6">
        <f>'جرد الخامات آخر أغسطس'!I37</f>
        <v/>
      </c>
      <c r="G43" s="5">
        <f>E43*F43</f>
        <v/>
      </c>
      <c r="H43" s="4" t="inlineStr">
        <is>
          <t>مطابقة سعر يونيه بالوصفة مع سعر الصنف بالجرد</t>
        </is>
      </c>
    </row>
    <row r="44">
      <c r="A44" s="4" t="inlineStr">
        <is>
          <t>كفته ابوهاشم</t>
        </is>
      </c>
      <c r="B44" s="4" t="inlineStr">
        <is>
          <t>خلطة فرعية (توابل)</t>
        </is>
      </c>
      <c r="C44" s="4" t="inlineStr">
        <is>
          <t>كزبرة</t>
        </is>
      </c>
      <c r="D44" s="4" t="inlineStr">
        <is>
          <t>كزبره</t>
        </is>
      </c>
      <c r="E44" s="17" t="n">
        <v>0.05</v>
      </c>
      <c r="F44" s="6">
        <f>'جرد الخامات آخر أغسطس'!I45</f>
        <v/>
      </c>
      <c r="G44" s="5">
        <f>E44*F44</f>
        <v/>
      </c>
      <c r="H44" s="4" t="inlineStr">
        <is>
          <t>مطابقة سعر يونيه بالوصفة مع سعر الصنف بالجرد</t>
        </is>
      </c>
    </row>
    <row r="45">
      <c r="A45" s="4" t="inlineStr">
        <is>
          <t>كفته ابوهاشم</t>
        </is>
      </c>
      <c r="B45" s="4" t="inlineStr">
        <is>
          <t>خلطة فرعية (توابل)</t>
        </is>
      </c>
      <c r="C45" s="4" t="inlineStr">
        <is>
          <t>كبابة</t>
        </is>
      </c>
      <c r="D45" s="4" t="inlineStr">
        <is>
          <t>كبابه</t>
        </is>
      </c>
      <c r="E45" s="17" t="n">
        <v>0.04</v>
      </c>
      <c r="F45" s="6">
        <f>'جرد الخامات آخر أغسطس'!I41</f>
        <v/>
      </c>
      <c r="G45" s="5">
        <f>E45*F45</f>
        <v/>
      </c>
      <c r="H45" s="4" t="inlineStr">
        <is>
          <t>مطابقة سعر يونيه بالوصفة مع سعر الصنف بالجرد</t>
        </is>
      </c>
    </row>
    <row r="46">
      <c r="A46" s="4" t="inlineStr">
        <is>
          <t>كفته ابوهاشم</t>
        </is>
      </c>
      <c r="B46" s="4" t="inlineStr">
        <is>
          <t>خلطة فرعية (توابل)</t>
        </is>
      </c>
      <c r="C46" s="4" t="inlineStr">
        <is>
          <t>قرنفل</t>
        </is>
      </c>
      <c r="D46" s="4" t="inlineStr">
        <is>
          <t>قرنفل</t>
        </is>
      </c>
      <c r="E46" s="17" t="n">
        <v>0.01</v>
      </c>
      <c r="F46" s="6">
        <f>'جرد الخامات آخر أغسطس'!I38</f>
        <v/>
      </c>
      <c r="G46" s="5">
        <f>E46*F46</f>
        <v/>
      </c>
      <c r="H46" s="4" t="inlineStr">
        <is>
          <t>مطابقة سعر يونيه بالوصفة مع سعر الصنف بالجرد</t>
        </is>
      </c>
    </row>
    <row r="47">
      <c r="A47" s="4" t="inlineStr">
        <is>
          <t>كفته ابوهاشم</t>
        </is>
      </c>
      <c r="B47" s="4" t="inlineStr">
        <is>
          <t>خلطة فرعية (توابل)</t>
        </is>
      </c>
      <c r="C47" s="4" t="inlineStr">
        <is>
          <t>طعم ليه</t>
        </is>
      </c>
      <c r="D47" s="4" t="inlineStr">
        <is>
          <t>طعم ليه</t>
        </is>
      </c>
      <c r="E47" s="17" t="n">
        <v>0.05</v>
      </c>
      <c r="F47" s="6">
        <f>'جرد الخامات آخر أغسطس'!I60</f>
        <v/>
      </c>
      <c r="G47" s="5">
        <f>E47*F47</f>
        <v/>
      </c>
      <c r="H47" s="4" t="inlineStr">
        <is>
          <t>مطابقة سعر يونيه بالوصفة مع سعر الصنف بالجرد</t>
        </is>
      </c>
    </row>
    <row r="48">
      <c r="A48" s="4" t="inlineStr">
        <is>
          <t>كفته ابوهاشم</t>
        </is>
      </c>
      <c r="B48" s="4" t="inlineStr">
        <is>
          <t>خلطة فرعية (توابل)</t>
        </is>
      </c>
      <c r="C48" s="4" t="inlineStr">
        <is>
          <t>سكر</t>
        </is>
      </c>
      <c r="D48" s="4" t="inlineStr">
        <is>
          <t>سكر</t>
        </is>
      </c>
      <c r="E48" s="17" t="n">
        <v>0.025</v>
      </c>
      <c r="F48" s="6">
        <f>'جرد الخامات آخر أغسطس'!I68</f>
        <v/>
      </c>
      <c r="G48" s="5">
        <f>E48*F48</f>
        <v/>
      </c>
      <c r="H48" s="4" t="inlineStr">
        <is>
          <t>مطابقة سعر يونيه بالوصفة مع سعر الصنف بالجرد</t>
        </is>
      </c>
    </row>
    <row r="49">
      <c r="A49" s="4" t="inlineStr">
        <is>
          <t>كفته ابوهاشم</t>
        </is>
      </c>
      <c r="B49" s="4" t="inlineStr">
        <is>
          <t>خلطة فرعية (توابل)</t>
        </is>
      </c>
      <c r="C49" s="4" t="inlineStr">
        <is>
          <t>قرفه</t>
        </is>
      </c>
      <c r="D49" s="4" t="inlineStr">
        <is>
          <t>قرفه</t>
        </is>
      </c>
      <c r="E49" s="17" t="n">
        <v>0.025</v>
      </c>
      <c r="F49" s="6">
        <f>'جرد الخامات آخر أغسطس'!I46</f>
        <v/>
      </c>
      <c r="G49" s="5">
        <f>E49*F49</f>
        <v/>
      </c>
      <c r="H49" s="4" t="inlineStr">
        <is>
          <t>مطابقة سعر يونيه بالوصفة مع سعر الصنف بالجرد</t>
        </is>
      </c>
    </row>
    <row r="50">
      <c r="A50" s="4" t="inlineStr">
        <is>
          <t>كفته ابوهاشم</t>
        </is>
      </c>
      <c r="B50" s="4" t="inlineStr">
        <is>
          <t>خلطة فرعية (توابل)</t>
        </is>
      </c>
      <c r="C50" s="4" t="inlineStr">
        <is>
          <t>شطه</t>
        </is>
      </c>
      <c r="D50" s="4" t="inlineStr">
        <is>
          <t>شطه</t>
        </is>
      </c>
      <c r="E50" s="17" t="n">
        <v>0</v>
      </c>
      <c r="F50" s="6">
        <f>'جرد الخامات آخر أغسطس'!I48</f>
        <v/>
      </c>
      <c r="G50" s="5">
        <f>E50*F50</f>
        <v/>
      </c>
      <c r="H50" s="4" t="inlineStr">
        <is>
          <t>مطابقة سعر يونيه بالوصفة مع سعر الصنف بالجرد</t>
        </is>
      </c>
    </row>
    <row r="51">
      <c r="A51" s="4" t="inlineStr">
        <is>
          <t>كفته ابوهاشم</t>
        </is>
      </c>
      <c r="B51" s="4" t="inlineStr">
        <is>
          <t>خلطة فرعية (توابل)</t>
        </is>
      </c>
      <c r="C51" s="4" t="inlineStr">
        <is>
          <t>ملح</t>
        </is>
      </c>
      <c r="D51" s="4" t="inlineStr">
        <is>
          <t>الملح</t>
        </is>
      </c>
      <c r="E51" s="17" t="n">
        <v>1.2</v>
      </c>
      <c r="F51" s="6">
        <f>'جرد الخامات آخر أغسطس'!I55</f>
        <v/>
      </c>
      <c r="G51" s="5">
        <f>E51*F51</f>
        <v/>
      </c>
      <c r="H51" s="4" t="inlineStr">
        <is>
          <t>مطابقة سعر يونيه بالوصفة مع سعر الصنف بالجرد</t>
        </is>
      </c>
    </row>
    <row r="52">
      <c r="A52" s="18" t="inlineStr">
        <is>
          <t>كفته ابوهاشم</t>
        </is>
      </c>
      <c r="B52" s="19" t="inlineStr">
        <is>
          <t>إجمالى خلطة فرعية (توابل)</t>
        </is>
      </c>
      <c r="E52" s="20">
        <f>SUM(E37:E51)</f>
        <v/>
      </c>
      <c r="F52" s="15">
        <f>G52/E52</f>
        <v/>
      </c>
      <c r="G52" s="21">
        <f>SUM(G37:G51)</f>
        <v/>
      </c>
      <c r="H52" s="18" t="inlineStr">
        <is>
          <t>سعر كجم الخلطة الفرعية = قيمتها ÷ كميتها</t>
        </is>
      </c>
    </row>
    <row r="54">
      <c r="A54" s="4" t="inlineStr">
        <is>
          <t>كفته ابوهاشم</t>
        </is>
      </c>
      <c r="B54" s="4" t="inlineStr">
        <is>
          <t>الوصفة الرئيسية</t>
        </is>
      </c>
      <c r="C54" s="4" t="inlineStr">
        <is>
          <t>فلانك</t>
        </is>
      </c>
      <c r="D54" s="4" t="inlineStr">
        <is>
          <t>فلانك</t>
        </is>
      </c>
      <c r="E54" s="17" t="n">
        <v>20</v>
      </c>
      <c r="F54" s="6">
        <f>'جرد الخامات آخر أغسطس'!I19</f>
        <v/>
      </c>
      <c r="G54" s="5">
        <f>E54*F54</f>
        <v/>
      </c>
      <c r="H54" s="4" t="inlineStr">
        <is>
          <t>مطابقة سعر يونيه بالوصفة مع سعر الصنف بالجرد</t>
        </is>
      </c>
    </row>
    <row r="55">
      <c r="A55" s="4" t="inlineStr">
        <is>
          <t>كفته ابوهاشم</t>
        </is>
      </c>
      <c r="B55" s="4" t="inlineStr">
        <is>
          <t>الوصفة الرئيسية</t>
        </is>
      </c>
      <c r="C55" s="4" t="inlineStr">
        <is>
          <t>مفروم فراخ فاخر</t>
        </is>
      </c>
      <c r="D55" s="4" t="inlineStr">
        <is>
          <t>مفروم فراخ فاخر</t>
        </is>
      </c>
      <c r="E55" s="17" t="n">
        <v>5</v>
      </c>
      <c r="F55" s="6">
        <f>'جرد الخامات آخر أغسطس'!I12</f>
        <v/>
      </c>
      <c r="G55" s="5">
        <f>E55*F55</f>
        <v/>
      </c>
      <c r="H55" s="4" t="inlineStr">
        <is>
          <t>مطابقة سعر يونيه بالوصفة مع سعر الصنف بالجرد</t>
        </is>
      </c>
    </row>
    <row r="56">
      <c r="A56" s="4" t="inlineStr">
        <is>
          <t>كفته ابوهاشم</t>
        </is>
      </c>
      <c r="B56" s="4" t="inlineStr">
        <is>
          <t>الوصفة الرئيسية</t>
        </is>
      </c>
      <c r="C56" s="4" t="inlineStr">
        <is>
          <t>فلفل اخضر</t>
        </is>
      </c>
      <c r="D56" s="4" t="inlineStr">
        <is>
          <t>فلفل رومي حامي</t>
        </is>
      </c>
      <c r="E56" s="17" t="n">
        <v>2.5</v>
      </c>
      <c r="F56" s="6">
        <f>'جرد الخامات آخر أغسطس'!I26</f>
        <v/>
      </c>
      <c r="G56" s="5">
        <f>E56*F56</f>
        <v/>
      </c>
      <c r="H56" s="4" t="inlineStr">
        <is>
          <t>مطابقة سعر يونيه بالوصفة مع سعر الصنف بالجرد</t>
        </is>
      </c>
    </row>
    <row r="57">
      <c r="A57" s="4" t="inlineStr">
        <is>
          <t>كفته ابوهاشم</t>
        </is>
      </c>
      <c r="B57" s="4" t="inlineStr">
        <is>
          <t>الوصفة الرئيسية</t>
        </is>
      </c>
      <c r="C57" s="4" t="inlineStr">
        <is>
          <t>دهن</t>
        </is>
      </c>
      <c r="D57" s="4" t="inlineStr">
        <is>
          <t>دهن بلدي</t>
        </is>
      </c>
      <c r="E57" s="17" t="n">
        <v>9</v>
      </c>
      <c r="F57" s="6">
        <f>'جرد الخامات آخر أغسطس'!I13</f>
        <v/>
      </c>
      <c r="G57" s="5">
        <f>E57*F57</f>
        <v/>
      </c>
      <c r="H57" s="4" t="inlineStr">
        <is>
          <t>مطابقة سعر يونيه بالوصفة مع سعر الصنف بالجرد</t>
        </is>
      </c>
    </row>
    <row r="58">
      <c r="A58" s="4" t="inlineStr">
        <is>
          <t>كفته ابوهاشم</t>
        </is>
      </c>
      <c r="B58" s="4" t="inlineStr">
        <is>
          <t>الوصفة الرئيسية</t>
        </is>
      </c>
      <c r="C58" s="4" t="inlineStr">
        <is>
          <t>صويا</t>
        </is>
      </c>
      <c r="D58" s="4" t="inlineStr">
        <is>
          <t>صويا لحمه</t>
        </is>
      </c>
      <c r="E58" s="17" t="n">
        <v>7.5</v>
      </c>
      <c r="F58" s="6">
        <f>'جرد الخامات آخر أغسطس'!I10</f>
        <v/>
      </c>
      <c r="G58" s="5">
        <f>E58*F58</f>
        <v/>
      </c>
      <c r="H58" s="4" t="inlineStr">
        <is>
          <t>مطابقة سعر يونيه بالوصفة مع سعر الصنف بالجرد</t>
        </is>
      </c>
    </row>
    <row r="59">
      <c r="A59" s="4" t="inlineStr">
        <is>
          <t>كفته ابوهاشم</t>
        </is>
      </c>
      <c r="B59" s="4" t="inlineStr">
        <is>
          <t>الوصفة الرئيسية</t>
        </is>
      </c>
      <c r="C59" s="4" t="inlineStr">
        <is>
          <t>فلفل حار</t>
        </is>
      </c>
      <c r="D59" s="4" t="inlineStr">
        <is>
          <t>فلفل رومي حامي</t>
        </is>
      </c>
      <c r="E59" s="17" t="n">
        <v>0.2</v>
      </c>
      <c r="F59" s="6">
        <f>'جرد الخامات آخر أغسطس'!I26</f>
        <v/>
      </c>
      <c r="G59" s="5">
        <f>E59*F59</f>
        <v/>
      </c>
      <c r="H59" s="4" t="inlineStr">
        <is>
          <t>مطابقة سعر يونيه بالوصفة مع سعر الصنف بالجرد</t>
        </is>
      </c>
    </row>
    <row r="60">
      <c r="A60" s="4" t="inlineStr">
        <is>
          <t>كفته ابوهاشم</t>
        </is>
      </c>
      <c r="B60" s="4" t="inlineStr">
        <is>
          <t>الوصفة الرئيسية</t>
        </is>
      </c>
      <c r="C60" s="4" t="inlineStr">
        <is>
          <t>برغل</t>
        </is>
      </c>
      <c r="D60" s="4" t="inlineStr">
        <is>
          <t>برغل</t>
        </is>
      </c>
      <c r="E60" s="17" t="n">
        <v>0</v>
      </c>
      <c r="F60" s="6">
        <f>'جرد الخامات آخر أغسطس'!I20</f>
        <v/>
      </c>
      <c r="G60" s="5">
        <f>E60*F60</f>
        <v/>
      </c>
      <c r="H60" s="4" t="inlineStr">
        <is>
          <t>مطابقة سعر يونيه بالوصفة مع سعر الصنف بالجرد</t>
        </is>
      </c>
    </row>
    <row r="61">
      <c r="A61" s="4" t="inlineStr">
        <is>
          <t>كفته ابوهاشم</t>
        </is>
      </c>
      <c r="B61" s="4" t="inlineStr">
        <is>
          <t>الوصفة الرئيسية</t>
        </is>
      </c>
      <c r="C61" s="4" t="inlineStr">
        <is>
          <t>بصل</t>
        </is>
      </c>
      <c r="D61" s="4" t="inlineStr">
        <is>
          <t>بصل</t>
        </is>
      </c>
      <c r="E61" s="17" t="n">
        <v>6</v>
      </c>
      <c r="F61" s="6">
        <f>'جرد الخامات آخر أغسطس'!I5</f>
        <v/>
      </c>
      <c r="G61" s="5">
        <f>E61*F61</f>
        <v/>
      </c>
      <c r="H61" s="4" t="inlineStr">
        <is>
          <t>مطابقة سعر يونيه بالوصفة مع سعر الصنف بالجرد</t>
        </is>
      </c>
    </row>
    <row r="62">
      <c r="A62" s="4" t="inlineStr">
        <is>
          <t>كفته ابوهاشم</t>
        </is>
      </c>
      <c r="B62" s="4" t="inlineStr">
        <is>
          <t>الوصفة الرئيسية</t>
        </is>
      </c>
      <c r="C62" s="4" t="inlineStr">
        <is>
          <t>صويا ايزوليت</t>
        </is>
      </c>
      <c r="D62" s="4" t="inlineStr">
        <is>
          <t>صويا اوزيليت</t>
        </is>
      </c>
      <c r="E62" s="17" t="n">
        <v>1.2</v>
      </c>
      <c r="F62" s="6">
        <f>'جرد الخامات آخر أغسطس'!I11</f>
        <v/>
      </c>
      <c r="G62" s="5">
        <f>E62*F62</f>
        <v/>
      </c>
      <c r="H62" s="4" t="inlineStr">
        <is>
          <t>مطابقة سعر يونيه بالوصفة مع سعر الصنف بالجرد</t>
        </is>
      </c>
    </row>
    <row r="63">
      <c r="A63" s="4" t="inlineStr">
        <is>
          <t>كفته ابوهاشم</t>
        </is>
      </c>
      <c r="B63" s="4" t="inlineStr">
        <is>
          <t>الوصفة الرئيسية</t>
        </is>
      </c>
      <c r="C63" s="4" t="inlineStr">
        <is>
          <t>مايه</t>
        </is>
      </c>
      <c r="D63" s="4" t="inlineStr">
        <is>
          <t>—</t>
        </is>
      </c>
      <c r="E63" s="17" t="n">
        <v>15</v>
      </c>
      <c r="F63" s="6" t="n">
        <v>0</v>
      </c>
      <c r="G63" s="5">
        <f>E63*F63</f>
        <v/>
      </c>
      <c r="H63" s="8" t="inlineStr">
        <is>
          <t>لا يوجد سعر شراء مسجل للمياه ضمن الخامات — عادة تكلفة مرافق غير مباشرة</t>
        </is>
      </c>
    </row>
    <row r="64">
      <c r="A64" s="4" t="inlineStr">
        <is>
          <t>كفته ابوهاشم</t>
        </is>
      </c>
      <c r="B64" s="4" t="inlineStr">
        <is>
          <t>الوصفة الرئيسية</t>
        </is>
      </c>
      <c r="C64" s="4" t="inlineStr">
        <is>
          <t>نشا</t>
        </is>
      </c>
      <c r="D64" s="4" t="inlineStr">
        <is>
          <t>نشا</t>
        </is>
      </c>
      <c r="E64" s="17" t="n">
        <v>2.5</v>
      </c>
      <c r="F64" s="6">
        <f>'جرد الخامات آخر أغسطس'!I36</f>
        <v/>
      </c>
      <c r="G64" s="5">
        <f>E64*F64</f>
        <v/>
      </c>
      <c r="H64" s="4" t="inlineStr">
        <is>
          <t>مطابقة سعر يونيه بالوصفة مع سعر الصنف بالجرد</t>
        </is>
      </c>
    </row>
    <row r="65">
      <c r="A65" s="4" t="inlineStr">
        <is>
          <t>كفته ابوهاشم</t>
        </is>
      </c>
      <c r="B65" s="4" t="inlineStr">
        <is>
          <t>الوصفة الرئيسية</t>
        </is>
      </c>
      <c r="C65" s="4" t="inlineStr">
        <is>
          <t>صميد</t>
        </is>
      </c>
      <c r="D65" s="4" t="inlineStr">
        <is>
          <t>صميد</t>
        </is>
      </c>
      <c r="E65" s="17" t="n">
        <v>2</v>
      </c>
      <c r="F65" s="6">
        <f>'جرد الخامات آخر أغسطس'!I9</f>
        <v/>
      </c>
      <c r="G65" s="5">
        <f>E65*F65</f>
        <v/>
      </c>
      <c r="H65" s="4" t="inlineStr">
        <is>
          <t>مطابقة سعر يونيه بالوصفة مع سعر الصنف بالجرد</t>
        </is>
      </c>
    </row>
    <row r="66">
      <c r="A66" s="4" t="inlineStr">
        <is>
          <t>كفته ابوهاشم</t>
        </is>
      </c>
      <c r="B66" s="4" t="inlineStr">
        <is>
          <t>الوصفة الرئيسية</t>
        </is>
      </c>
      <c r="C66" s="4" t="inlineStr">
        <is>
          <t>دبوبريه</t>
        </is>
      </c>
      <c r="D66" s="4" t="inlineStr">
        <is>
          <t>دوبريه</t>
        </is>
      </c>
      <c r="E66" s="17" t="n">
        <v>5</v>
      </c>
      <c r="F66" s="6">
        <f>'جرد الخامات آخر أغسطس'!I25</f>
        <v/>
      </c>
      <c r="G66" s="5">
        <f>E66*F66</f>
        <v/>
      </c>
      <c r="H66" s="4" t="inlineStr">
        <is>
          <t>مطابقة سعر يونيه بالوصفة مع سعر الصنف بالجرد</t>
        </is>
      </c>
    </row>
    <row r="67">
      <c r="A67" s="4" t="inlineStr">
        <is>
          <t>كفته ابوهاشم</t>
        </is>
      </c>
      <c r="B67" s="4" t="inlineStr">
        <is>
          <t>الوصفة الرئيسية</t>
        </is>
      </c>
      <c r="C67" s="4" t="inlineStr">
        <is>
          <t>توابيل</t>
        </is>
      </c>
      <c r="D67" s="4" t="inlineStr">
        <is>
          <t>سعر كجم الخلطة الفرعية</t>
        </is>
      </c>
      <c r="E67" s="17" t="n">
        <v>2.6</v>
      </c>
      <c r="F67" s="6">
        <f>F52</f>
        <v/>
      </c>
      <c r="G67" s="5">
        <f>E67*F67</f>
        <v/>
      </c>
      <c r="H67" s="4" t="inlineStr">
        <is>
          <t>سعر كجم الخلطة الفرعية</t>
        </is>
      </c>
    </row>
    <row r="68">
      <c r="A68" s="18" t="inlineStr">
        <is>
          <t>كفته ابوهاشم</t>
        </is>
      </c>
      <c r="B68" s="19" t="inlineStr">
        <is>
          <t>إجمالى الوصفة الرئيسية</t>
        </is>
      </c>
      <c r="E68" s="20">
        <f>SUM(E54:E67)</f>
        <v/>
      </c>
      <c r="G68" s="21">
        <f>SUM(G54:G67)</f>
        <v/>
      </c>
      <c r="H68" s="18" t="inlineStr">
        <is>
          <t>سعر الكجم = قيمة الوصفة ÷ 78.5 كجم (معامل الإنتاجية كما بالوصفة)</t>
        </is>
      </c>
    </row>
    <row r="70">
      <c r="A70" s="4" t="inlineStr">
        <is>
          <t>برجر ابوهاشم</t>
        </is>
      </c>
      <c r="B70" s="4" t="inlineStr">
        <is>
          <t>خلطة فرعية (توابل)</t>
        </is>
      </c>
      <c r="C70" s="4" t="inlineStr">
        <is>
          <t>فوسفات</t>
        </is>
      </c>
      <c r="D70" s="4" t="inlineStr">
        <is>
          <t>فوسفات</t>
        </is>
      </c>
      <c r="E70" s="17" t="n">
        <v>0.25</v>
      </c>
      <c r="F70" s="6">
        <f>'جرد الخامات آخر أغسطس'!I56</f>
        <v/>
      </c>
      <c r="G70" s="5">
        <f>E70*F70</f>
        <v/>
      </c>
      <c r="H70" s="4" t="inlineStr">
        <is>
          <t>مطابقة سعر يونيه بالوصفة مع سعر الصنف بالجرد</t>
        </is>
      </c>
    </row>
    <row r="71">
      <c r="A71" s="4" t="inlineStr">
        <is>
          <t>برجر ابوهاشم</t>
        </is>
      </c>
      <c r="B71" s="4" t="inlineStr">
        <is>
          <t>خلطة فرعية (توابل)</t>
        </is>
      </c>
      <c r="C71" s="4" t="inlineStr">
        <is>
          <t>مونوصوديم</t>
        </is>
      </c>
      <c r="D71" s="4" t="inlineStr">
        <is>
          <t>جلتومات</t>
        </is>
      </c>
      <c r="E71" s="17" t="n">
        <v>0.2</v>
      </c>
      <c r="F71" s="6">
        <f>'جرد الخامات آخر أغسطس'!I57</f>
        <v/>
      </c>
      <c r="G71" s="5">
        <f>E71*F71</f>
        <v/>
      </c>
      <c r="H71" s="4" t="inlineStr">
        <is>
          <t>مطابقة سعر يونيه بالوصفة مع سعر الصنف بالجرد</t>
        </is>
      </c>
    </row>
    <row r="72">
      <c r="A72" s="4" t="inlineStr">
        <is>
          <t>برجر ابوهاشم</t>
        </is>
      </c>
      <c r="B72" s="4" t="inlineStr">
        <is>
          <t>خلطة فرعية (توابل)</t>
        </is>
      </c>
      <c r="C72" s="4" t="inlineStr">
        <is>
          <t>طعم برجر</t>
        </is>
      </c>
      <c r="D72" s="4" t="inlineStr">
        <is>
          <t>طعم برجر</t>
        </is>
      </c>
      <c r="E72" s="17" t="n">
        <v>0.1</v>
      </c>
      <c r="F72" s="6">
        <f>'جرد الخامات آخر أغسطس'!I62</f>
        <v/>
      </c>
      <c r="G72" s="5">
        <f>E72*F72</f>
        <v/>
      </c>
      <c r="H72" s="4" t="inlineStr">
        <is>
          <t>مطابقة سعر يونيه بالوصفة مع سعر الصنف بالجرد</t>
        </is>
      </c>
    </row>
    <row r="73">
      <c r="A73" s="4" t="inlineStr">
        <is>
          <t>برجر ابوهاشم</t>
        </is>
      </c>
      <c r="B73" s="4" t="inlineStr">
        <is>
          <t>خلطة فرعية (توابل)</t>
        </is>
      </c>
      <c r="C73" s="4" t="inlineStr">
        <is>
          <t>طعم دخان</t>
        </is>
      </c>
      <c r="D73" s="4" t="inlineStr">
        <is>
          <t>—</t>
        </is>
      </c>
      <c r="E73" s="17" t="n">
        <v>0</v>
      </c>
      <c r="F73" s="6" t="n">
        <v>0</v>
      </c>
      <c r="G73" s="5">
        <f>E73*F73</f>
        <v/>
      </c>
      <c r="H73" s="8" t="inlineStr">
        <is>
          <t>صنف غير موجود ضمن قاعدة بيانات الخامات المُسعّرة</t>
        </is>
      </c>
    </row>
    <row r="74">
      <c r="A74" s="4" t="inlineStr">
        <is>
          <t>برجر ابوهاشم</t>
        </is>
      </c>
      <c r="B74" s="4" t="inlineStr">
        <is>
          <t>خلطة فرعية (توابل)</t>
        </is>
      </c>
      <c r="C74" s="4" t="inlineStr">
        <is>
          <t>طعم بيف</t>
        </is>
      </c>
      <c r="D74" s="4" t="inlineStr">
        <is>
          <t>طعم بيف</t>
        </is>
      </c>
      <c r="E74" s="17" t="n">
        <v>0.15</v>
      </c>
      <c r="F74" s="6">
        <f>'جرد الخامات آخر أغسطس'!I63</f>
        <v/>
      </c>
      <c r="G74" s="5">
        <f>E74*F74</f>
        <v/>
      </c>
      <c r="H74" s="4" t="inlineStr">
        <is>
          <t>مطابقة سعر يونيه بالوصفة مع سعر الصنف بالجرد</t>
        </is>
      </c>
    </row>
    <row r="75">
      <c r="A75" s="4" t="inlineStr">
        <is>
          <t>برجر ابوهاشم</t>
        </is>
      </c>
      <c r="B75" s="4" t="inlineStr">
        <is>
          <t>خلطة فرعية (توابل)</t>
        </is>
      </c>
      <c r="C75" s="4" t="inlineStr">
        <is>
          <t>قرفه</t>
        </is>
      </c>
      <c r="D75" s="4" t="inlineStr">
        <is>
          <t>قرفه</t>
        </is>
      </c>
      <c r="E75" s="17" t="n">
        <v>0.05</v>
      </c>
      <c r="F75" s="6">
        <f>'جرد الخامات آخر أغسطس'!I46</f>
        <v/>
      </c>
      <c r="G75" s="5">
        <f>E75*F75</f>
        <v/>
      </c>
      <c r="H75" s="4" t="inlineStr">
        <is>
          <t>مطابقة سعر يونيه بالوصفة مع سعر الصنف بالجرد</t>
        </is>
      </c>
    </row>
    <row r="76">
      <c r="A76" s="4" t="inlineStr">
        <is>
          <t>برجر ابوهاشم</t>
        </is>
      </c>
      <c r="B76" s="4" t="inlineStr">
        <is>
          <t>خلطة فرعية (توابل)</t>
        </is>
      </c>
      <c r="C76" s="4" t="inlineStr">
        <is>
          <t>فلفل اسود</t>
        </is>
      </c>
      <c r="D76" s="4" t="inlineStr">
        <is>
          <t>فلفل اسود</t>
        </is>
      </c>
      <c r="E76" s="17" t="n">
        <v>0.25</v>
      </c>
      <c r="F76" s="6">
        <f>'جرد الخامات آخر أغسطس'!I37</f>
        <v/>
      </c>
      <c r="G76" s="5">
        <f>E76*F76</f>
        <v/>
      </c>
      <c r="H76" s="4" t="inlineStr">
        <is>
          <t>مطابقة سعر يونيه بالوصفة مع سعر الصنف بالجرد</t>
        </is>
      </c>
    </row>
    <row r="77">
      <c r="A77" s="4" t="inlineStr">
        <is>
          <t>برجر ابوهاشم</t>
        </is>
      </c>
      <c r="B77" s="4" t="inlineStr">
        <is>
          <t>خلطة فرعية (توابل)</t>
        </is>
      </c>
      <c r="C77" s="4" t="inlineStr">
        <is>
          <t>كزبرة</t>
        </is>
      </c>
      <c r="D77" s="4" t="inlineStr">
        <is>
          <t>كزبره</t>
        </is>
      </c>
      <c r="E77" s="17" t="n">
        <v>0.07000000000000001</v>
      </c>
      <c r="F77" s="6">
        <f>'جرد الخامات آخر أغسطس'!I45</f>
        <v/>
      </c>
      <c r="G77" s="5">
        <f>E77*F77</f>
        <v/>
      </c>
      <c r="H77" s="4" t="inlineStr">
        <is>
          <t>مطابقة سعر يونيه بالوصفة مع سعر الصنف بالجرد</t>
        </is>
      </c>
    </row>
    <row r="78">
      <c r="A78" s="4" t="inlineStr">
        <is>
          <t>برجر ابوهاشم</t>
        </is>
      </c>
      <c r="B78" s="4" t="inlineStr">
        <is>
          <t>خلطة فرعية (توابل)</t>
        </is>
      </c>
      <c r="C78" s="4" t="inlineStr">
        <is>
          <t>كبابة</t>
        </is>
      </c>
      <c r="D78" s="4" t="inlineStr">
        <is>
          <t>كبابه</t>
        </is>
      </c>
      <c r="E78" s="17" t="n">
        <v>0</v>
      </c>
      <c r="F78" s="6">
        <f>'جرد الخامات آخر أغسطس'!I41</f>
        <v/>
      </c>
      <c r="G78" s="5">
        <f>E78*F78</f>
        <v/>
      </c>
      <c r="H78" s="4" t="inlineStr">
        <is>
          <t>مطابقة سعر يونيه بالوصفة مع سعر الصنف بالجرد</t>
        </is>
      </c>
    </row>
    <row r="79">
      <c r="A79" s="4" t="inlineStr">
        <is>
          <t>برجر ابوهاشم</t>
        </is>
      </c>
      <c r="B79" s="4" t="inlineStr">
        <is>
          <t>خلطة فرعية (توابل)</t>
        </is>
      </c>
      <c r="C79" s="4" t="inlineStr">
        <is>
          <t>قرنفل</t>
        </is>
      </c>
      <c r="D79" s="4" t="inlineStr">
        <is>
          <t>قرنفل</t>
        </is>
      </c>
      <c r="E79" s="17" t="n">
        <v>0.025</v>
      </c>
      <c r="F79" s="6">
        <f>'جرد الخامات آخر أغسطس'!I38</f>
        <v/>
      </c>
      <c r="G79" s="5">
        <f>E79*F79</f>
        <v/>
      </c>
      <c r="H79" s="4" t="inlineStr">
        <is>
          <t>مطابقة سعر يونيه بالوصفة مع سعر الصنف بالجرد</t>
        </is>
      </c>
    </row>
    <row r="80">
      <c r="A80" s="4" t="inlineStr">
        <is>
          <t>برجر ابوهاشم</t>
        </is>
      </c>
      <c r="B80" s="4" t="inlineStr">
        <is>
          <t>خلطة فرعية (توابل)</t>
        </is>
      </c>
      <c r="C80" s="4" t="inlineStr">
        <is>
          <t>زعتر</t>
        </is>
      </c>
      <c r="D80" s="4" t="inlineStr">
        <is>
          <t>زعتر</t>
        </is>
      </c>
      <c r="E80" s="17" t="n">
        <v>0</v>
      </c>
      <c r="F80" s="6">
        <f>'جرد الخامات آخر أغسطس'!I47</f>
        <v/>
      </c>
      <c r="G80" s="5">
        <f>E80*F80</f>
        <v/>
      </c>
      <c r="H80" s="4" t="inlineStr">
        <is>
          <t>مطابقة سعر يونيه بالوصفة مع سعر الصنف بالجرد</t>
        </is>
      </c>
    </row>
    <row r="81">
      <c r="A81" s="4" t="inlineStr">
        <is>
          <t>برجر ابوهاشم</t>
        </is>
      </c>
      <c r="B81" s="4" t="inlineStr">
        <is>
          <t>خلطة فرعية (توابل)</t>
        </is>
      </c>
      <c r="C81" s="4" t="inlineStr">
        <is>
          <t>شطه</t>
        </is>
      </c>
      <c r="D81" s="4" t="inlineStr">
        <is>
          <t>شطه</t>
        </is>
      </c>
      <c r="E81" s="17" t="n">
        <v>0.01</v>
      </c>
      <c r="F81" s="6">
        <f>'جرد الخامات آخر أغسطس'!I48</f>
        <v/>
      </c>
      <c r="G81" s="5">
        <f>E81*F81</f>
        <v/>
      </c>
      <c r="H81" s="4" t="inlineStr">
        <is>
          <t>مطابقة سعر يونيه بالوصفة مع سعر الصنف بالجرد</t>
        </is>
      </c>
    </row>
    <row r="82">
      <c r="A82" s="4" t="inlineStr">
        <is>
          <t>برجر ابوهاشم</t>
        </is>
      </c>
      <c r="B82" s="4" t="inlineStr">
        <is>
          <t>خلطة فرعية (توابل)</t>
        </is>
      </c>
      <c r="C82" s="4" t="inlineStr">
        <is>
          <t>ملح</t>
        </is>
      </c>
      <c r="D82" s="4" t="inlineStr">
        <is>
          <t>الملح</t>
        </is>
      </c>
      <c r="E82" s="17" t="n">
        <v>0.8</v>
      </c>
      <c r="F82" s="6">
        <f>'جرد الخامات آخر أغسطس'!I55</f>
        <v/>
      </c>
      <c r="G82" s="5">
        <f>E82*F82</f>
        <v/>
      </c>
      <c r="H82" s="4" t="inlineStr">
        <is>
          <t>مطابقة سعر يونيه بالوصفة مع سعر الصنف بالجرد</t>
        </is>
      </c>
    </row>
    <row r="83">
      <c r="A83" s="18" t="inlineStr">
        <is>
          <t>برجر ابوهاشم</t>
        </is>
      </c>
      <c r="B83" s="19" t="inlineStr">
        <is>
          <t>إجمالى خلطة فرعية (توابل)</t>
        </is>
      </c>
      <c r="E83" s="20">
        <f>SUM(E70:E82)</f>
        <v/>
      </c>
      <c r="F83" s="15">
        <f>G83/E83</f>
        <v/>
      </c>
      <c r="G83" s="21">
        <f>SUM(G70:G82)</f>
        <v/>
      </c>
      <c r="H83" s="18" t="inlineStr">
        <is>
          <t>سعر كجم الخلطة الفرعية = قيمتها ÷ كميتها</t>
        </is>
      </c>
    </row>
    <row r="85">
      <c r="A85" s="4" t="inlineStr">
        <is>
          <t>برجر ابوهاشم</t>
        </is>
      </c>
      <c r="B85" s="4" t="inlineStr">
        <is>
          <t>الوصفة الرئيسية</t>
        </is>
      </c>
      <c r="C85" s="4" t="inlineStr">
        <is>
          <t>لحمه</t>
        </is>
      </c>
      <c r="D85" s="4" t="inlineStr">
        <is>
          <t>@مجمع اللحوم الهندى</t>
        </is>
      </c>
      <c r="E85" s="17" t="n">
        <v>12</v>
      </c>
      <c r="F85" s="6">
        <f>'خطوات احتساب المتوسط'!J5</f>
        <v/>
      </c>
      <c r="G85" s="5">
        <f>E85*F85</f>
        <v/>
      </c>
      <c r="H85" s="4" t="inlineStr">
        <is>
          <t>سعر مجمّع اللحوم الهندى</t>
        </is>
      </c>
    </row>
    <row r="86">
      <c r="A86" s="4" t="inlineStr">
        <is>
          <t>برجر ابوهاشم</t>
        </is>
      </c>
      <c r="B86" s="4" t="inlineStr">
        <is>
          <t>الوصفة الرئيسية</t>
        </is>
      </c>
      <c r="C86" s="4" t="inlineStr">
        <is>
          <t>بوش/دهن</t>
        </is>
      </c>
      <c r="D86" s="4" t="inlineStr">
        <is>
          <t>دهن بلدي</t>
        </is>
      </c>
      <c r="E86" s="17" t="n">
        <v>5</v>
      </c>
      <c r="F86" s="6">
        <f>'جرد الخامات آخر أغسطس'!I13</f>
        <v/>
      </c>
      <c r="G86" s="5">
        <f>E86*F86</f>
        <v/>
      </c>
      <c r="H86" s="4" t="inlineStr">
        <is>
          <t>مطابقة سعر يونيه بالوصفة مع سعر الصنف بالجرد</t>
        </is>
      </c>
    </row>
    <row r="87">
      <c r="A87" s="4" t="inlineStr">
        <is>
          <t>برجر ابوهاشم</t>
        </is>
      </c>
      <c r="B87" s="4" t="inlineStr">
        <is>
          <t>الوصفة الرئيسية</t>
        </is>
      </c>
      <c r="C87" s="4" t="inlineStr">
        <is>
          <t>دوبريه</t>
        </is>
      </c>
      <c r="D87" s="4" t="inlineStr">
        <is>
          <t>دوبريه</t>
        </is>
      </c>
      <c r="E87" s="17" t="n">
        <v>6</v>
      </c>
      <c r="F87" s="6">
        <f>'جرد الخامات آخر أغسطس'!I25</f>
        <v/>
      </c>
      <c r="G87" s="5">
        <f>E87*F87</f>
        <v/>
      </c>
      <c r="H87" s="4" t="inlineStr">
        <is>
          <t>مطابقة سعر يونيه بالوصفة مع سعر الصنف بالجرد</t>
        </is>
      </c>
    </row>
    <row r="88">
      <c r="A88" s="4" t="inlineStr">
        <is>
          <t>برجر ابوهاشم</t>
        </is>
      </c>
      <c r="B88" s="4" t="inlineStr">
        <is>
          <t>الوصفة الرئيسية</t>
        </is>
      </c>
      <c r="C88" s="4" t="inlineStr">
        <is>
          <t>صويا</t>
        </is>
      </c>
      <c r="D88" s="4" t="inlineStr">
        <is>
          <t>صويا لحمه</t>
        </is>
      </c>
      <c r="E88" s="17" t="n">
        <v>6</v>
      </c>
      <c r="F88" s="6">
        <f>'جرد الخامات آخر أغسطس'!I10</f>
        <v/>
      </c>
      <c r="G88" s="5">
        <f>E88*F88</f>
        <v/>
      </c>
      <c r="H88" s="4" t="inlineStr">
        <is>
          <t>مطابقة سعر يونيه بالوصفة مع سعر الصنف بالجرد</t>
        </is>
      </c>
    </row>
    <row r="89">
      <c r="A89" s="4" t="inlineStr">
        <is>
          <t>برجر ابوهاشم</t>
        </is>
      </c>
      <c r="B89" s="4" t="inlineStr">
        <is>
          <t>الوصفة الرئيسية</t>
        </is>
      </c>
      <c r="C89" s="4" t="inlineStr">
        <is>
          <t>بصل</t>
        </is>
      </c>
      <c r="D89" s="4" t="inlineStr">
        <is>
          <t>بصل</t>
        </is>
      </c>
      <c r="E89" s="17" t="n">
        <v>4</v>
      </c>
      <c r="F89" s="6">
        <f>'جرد الخامات آخر أغسطس'!I5</f>
        <v/>
      </c>
      <c r="G89" s="5">
        <f>E89*F89</f>
        <v/>
      </c>
      <c r="H89" s="4" t="inlineStr">
        <is>
          <t>مطابقة سعر يونيه بالوصفة مع سعر الصنف بالجرد</t>
        </is>
      </c>
    </row>
    <row r="90">
      <c r="A90" s="4" t="inlineStr">
        <is>
          <t>برجر ابوهاشم</t>
        </is>
      </c>
      <c r="B90" s="4" t="inlineStr">
        <is>
          <t>الوصفة الرئيسية</t>
        </is>
      </c>
      <c r="C90" s="4" t="inlineStr">
        <is>
          <t>صميد</t>
        </is>
      </c>
      <c r="D90" s="4" t="inlineStr">
        <is>
          <t>صميد</t>
        </is>
      </c>
      <c r="E90" s="17" t="n">
        <v>1</v>
      </c>
      <c r="F90" s="6">
        <f>'جرد الخامات آخر أغسطس'!I9</f>
        <v/>
      </c>
      <c r="G90" s="5">
        <f>E90*F90</f>
        <v/>
      </c>
      <c r="H90" s="4" t="inlineStr">
        <is>
          <t>مطابقة سعر يونيه بالوصفة مع سعر الصنف بالجرد</t>
        </is>
      </c>
    </row>
    <row r="91">
      <c r="A91" s="4" t="inlineStr">
        <is>
          <t>برجر ابوهاشم</t>
        </is>
      </c>
      <c r="B91" s="4" t="inlineStr">
        <is>
          <t>الوصفة الرئيسية</t>
        </is>
      </c>
      <c r="C91" s="4" t="inlineStr">
        <is>
          <t>ثوم</t>
        </is>
      </c>
      <c r="D91" s="4" t="inlineStr">
        <is>
          <t>ثوم</t>
        </is>
      </c>
      <c r="E91" s="17" t="n">
        <v>0.5</v>
      </c>
      <c r="F91" s="6">
        <f>'جرد الخامات آخر أغسطس'!I6</f>
        <v/>
      </c>
      <c r="G91" s="5">
        <f>E91*F91</f>
        <v/>
      </c>
      <c r="H91" s="4" t="inlineStr">
        <is>
          <t>مطابقة سعر يونيه بالوصفة مع سعر الصنف بالجرد</t>
        </is>
      </c>
    </row>
    <row r="92">
      <c r="A92" s="4" t="inlineStr">
        <is>
          <t>برجر ابوهاشم</t>
        </is>
      </c>
      <c r="B92" s="4" t="inlineStr">
        <is>
          <t>الوصفة الرئيسية</t>
        </is>
      </c>
      <c r="C92" s="4" t="inlineStr">
        <is>
          <t>نشا</t>
        </is>
      </c>
      <c r="D92" s="4" t="inlineStr">
        <is>
          <t>نشا</t>
        </is>
      </c>
      <c r="E92" s="17" t="n">
        <v>2</v>
      </c>
      <c r="F92" s="6">
        <f>'جرد الخامات آخر أغسطس'!I36</f>
        <v/>
      </c>
      <c r="G92" s="5">
        <f>E92*F92</f>
        <v/>
      </c>
      <c r="H92" s="4" t="inlineStr">
        <is>
          <t>مطابقة سعر يونيه بالوصفة مع سعر الصنف بالجرد</t>
        </is>
      </c>
    </row>
    <row r="93">
      <c r="A93" s="4" t="inlineStr">
        <is>
          <t>برجر ابوهاشم</t>
        </is>
      </c>
      <c r="B93" s="4" t="inlineStr">
        <is>
          <t>الوصفة الرئيسية</t>
        </is>
      </c>
      <c r="C93" s="4" t="inlineStr">
        <is>
          <t>برغل</t>
        </is>
      </c>
      <c r="D93" s="4" t="inlineStr">
        <is>
          <t>برغل</t>
        </is>
      </c>
      <c r="E93" s="17" t="n">
        <v>4</v>
      </c>
      <c r="F93" s="6">
        <f>'جرد الخامات آخر أغسطس'!I20</f>
        <v/>
      </c>
      <c r="G93" s="5">
        <f>E93*F93</f>
        <v/>
      </c>
      <c r="H93" s="4" t="inlineStr">
        <is>
          <t>مطابقة سعر يونيه بالوصفة مع سعر الصنف بالجرد</t>
        </is>
      </c>
    </row>
    <row r="94">
      <c r="A94" s="4" t="inlineStr">
        <is>
          <t>برجر ابوهاشم</t>
        </is>
      </c>
      <c r="B94" s="4" t="inlineStr">
        <is>
          <t>الوصفة الرئيسية</t>
        </is>
      </c>
      <c r="C94" s="4" t="inlineStr">
        <is>
          <t>صويا ايزوليت</t>
        </is>
      </c>
      <c r="D94" s="4" t="inlineStr">
        <is>
          <t>صويا اوزيليت</t>
        </is>
      </c>
      <c r="E94" s="17" t="n">
        <v>0.25</v>
      </c>
      <c r="F94" s="6">
        <f>'جرد الخامات آخر أغسطس'!I11</f>
        <v/>
      </c>
      <c r="G94" s="5">
        <f>E94*F94</f>
        <v/>
      </c>
      <c r="H94" s="4" t="inlineStr">
        <is>
          <t>مطابقة سعر يونيه بالوصفة مع سعر الصنف بالجرد</t>
        </is>
      </c>
    </row>
    <row r="95">
      <c r="A95" s="4" t="inlineStr">
        <is>
          <t>برجر ابوهاشم</t>
        </is>
      </c>
      <c r="B95" s="4" t="inlineStr">
        <is>
          <t>الوصفة الرئيسية</t>
        </is>
      </c>
      <c r="C95" s="4" t="inlineStr">
        <is>
          <t>مفروم</t>
        </is>
      </c>
      <c r="D95" s="4" t="inlineStr">
        <is>
          <t>مفروم فراخ شعبي</t>
        </is>
      </c>
      <c r="E95" s="17" t="n">
        <v>6</v>
      </c>
      <c r="F95" s="6">
        <f>'جرد الخامات آخر أغسطس'!I8</f>
        <v/>
      </c>
      <c r="G95" s="5">
        <f>E95*F95</f>
        <v/>
      </c>
      <c r="H95" s="4" t="inlineStr">
        <is>
          <t>مطابقة سعر يونيه بالوصفة مع سعر الصنف بالجرد</t>
        </is>
      </c>
    </row>
    <row r="96">
      <c r="A96" s="4" t="inlineStr">
        <is>
          <t>برجر ابوهاشم</t>
        </is>
      </c>
      <c r="B96" s="4" t="inlineStr">
        <is>
          <t>الوصفة الرئيسية</t>
        </is>
      </c>
      <c r="C96" s="4" t="inlineStr">
        <is>
          <t>مياه</t>
        </is>
      </c>
      <c r="D96" s="4" t="inlineStr">
        <is>
          <t>—</t>
        </is>
      </c>
      <c r="E96" s="17" t="n">
        <v>14</v>
      </c>
      <c r="F96" s="6" t="n">
        <v>0</v>
      </c>
      <c r="G96" s="5">
        <f>E96*F96</f>
        <v/>
      </c>
      <c r="H96" s="8" t="inlineStr">
        <is>
          <t>لا يوجد سعر شراء مسجل للمياه ضمن الخامات — عادة تكلفة مرافق غير مباشرة</t>
        </is>
      </c>
    </row>
    <row r="97">
      <c r="A97" s="4" t="inlineStr">
        <is>
          <t>برجر ابوهاشم</t>
        </is>
      </c>
      <c r="B97" s="4" t="inlineStr">
        <is>
          <t>الوصفة الرئيسية</t>
        </is>
      </c>
      <c r="C97" s="4" t="inlineStr">
        <is>
          <t>توابيل</t>
        </is>
      </c>
      <c r="D97" s="4" t="inlineStr">
        <is>
          <t>سعر كجم الخلطة الفرعية</t>
        </is>
      </c>
      <c r="E97" s="17" t="n">
        <v>1.905</v>
      </c>
      <c r="F97" s="6">
        <f>F83</f>
        <v/>
      </c>
      <c r="G97" s="5">
        <f>E97*F97</f>
        <v/>
      </c>
      <c r="H97" s="4" t="inlineStr">
        <is>
          <t>سعر كجم الخلطة الفرعية</t>
        </is>
      </c>
    </row>
    <row r="98">
      <c r="A98" s="18" t="inlineStr">
        <is>
          <t>برجر ابوهاشم</t>
        </is>
      </c>
      <c r="B98" s="19" t="inlineStr">
        <is>
          <t>إجمالى الوصفة الرئيسية</t>
        </is>
      </c>
      <c r="E98" s="20">
        <f>SUM(E85:E97)</f>
        <v/>
      </c>
      <c r="G98" s="21">
        <f>SUM(G85:G97)</f>
        <v/>
      </c>
      <c r="H98" s="18" t="inlineStr">
        <is>
          <t>سعر الكجم = قيمة الوصفة ÷ 62.655 كجم (معامل الإنتاجية كما بالوصفة)</t>
        </is>
      </c>
    </row>
    <row r="100">
      <c r="A100" s="4" t="inlineStr">
        <is>
          <t>برجر اسبشيال</t>
        </is>
      </c>
      <c r="B100" s="4" t="inlineStr">
        <is>
          <t>الوصفة الرئيسية</t>
        </is>
      </c>
      <c r="C100" s="4" t="inlineStr">
        <is>
          <t>مفروم فراخ شعبى</t>
        </is>
      </c>
      <c r="D100" s="4" t="inlineStr">
        <is>
          <t>مفروم فراخ شعبي</t>
        </is>
      </c>
      <c r="E100" s="17" t="n">
        <v>80</v>
      </c>
      <c r="F100" s="6">
        <f>'جرد الخامات آخر أغسطس'!I8</f>
        <v/>
      </c>
      <c r="G100" s="5">
        <f>E100*F100</f>
        <v/>
      </c>
      <c r="H100" s="4" t="inlineStr">
        <is>
          <t>مطابقة سعر يونيه بالوصفة مع سعر الصنف بالجرد</t>
        </is>
      </c>
    </row>
    <row r="101">
      <c r="A101" s="4" t="inlineStr">
        <is>
          <t>برجر اسبشيال</t>
        </is>
      </c>
      <c r="B101" s="4" t="inlineStr">
        <is>
          <t>الوصفة الرئيسية</t>
        </is>
      </c>
      <c r="C101" s="4" t="inlineStr">
        <is>
          <t>دهن</t>
        </is>
      </c>
      <c r="D101" s="4" t="inlineStr">
        <is>
          <t>دهن بلدي</t>
        </is>
      </c>
      <c r="E101" s="17" t="n">
        <v>28</v>
      </c>
      <c r="F101" s="6">
        <f>'جرد الخامات آخر أغسطس'!I13</f>
        <v/>
      </c>
      <c r="G101" s="5">
        <f>E101*F101</f>
        <v/>
      </c>
      <c r="H101" s="4" t="inlineStr">
        <is>
          <t>مطابقة سعر يونيه بالوصفة مع سعر الصنف بالجرد</t>
        </is>
      </c>
    </row>
    <row r="102">
      <c r="A102" s="4" t="inlineStr">
        <is>
          <t>برجر اسبشيال</t>
        </is>
      </c>
      <c r="B102" s="4" t="inlineStr">
        <is>
          <t>الوصفة الرئيسية</t>
        </is>
      </c>
      <c r="C102" s="4" t="inlineStr">
        <is>
          <t>فلفل احمر</t>
        </is>
      </c>
      <c r="D102" s="4" t="inlineStr">
        <is>
          <t>— (سعر ثابت بالوصفة)</t>
        </is>
      </c>
      <c r="E102" s="17" t="n">
        <v>25</v>
      </c>
      <c r="F102" s="6" t="n">
        <v>13</v>
      </c>
      <c r="G102" s="5">
        <f>E102*F102</f>
        <v/>
      </c>
      <c r="H102" s="8" t="inlineStr">
        <is>
          <t>لا يقابله صنف بالجرد — السعر ثابت كما بالوصفة</t>
        </is>
      </c>
    </row>
    <row r="103">
      <c r="A103" s="4" t="inlineStr">
        <is>
          <t>برجر اسبشيال</t>
        </is>
      </c>
      <c r="B103" s="4" t="inlineStr">
        <is>
          <t>الوصفة الرئيسية</t>
        </is>
      </c>
      <c r="C103" s="4" t="inlineStr">
        <is>
          <t>صويا</t>
        </is>
      </c>
      <c r="D103" s="4" t="inlineStr">
        <is>
          <t>صويا لحمه</t>
        </is>
      </c>
      <c r="E103" s="17" t="n">
        <v>43</v>
      </c>
      <c r="F103" s="6">
        <f>'جرد الخامات آخر أغسطس'!I10</f>
        <v/>
      </c>
      <c r="G103" s="5">
        <f>E103*F103</f>
        <v/>
      </c>
      <c r="H103" s="4" t="inlineStr">
        <is>
          <t>مطابقة سعر يونيه بالوصفة مع سعر الصنف بالجرد</t>
        </is>
      </c>
    </row>
    <row r="104">
      <c r="A104" s="4" t="inlineStr">
        <is>
          <t>برجر اسبشيال</t>
        </is>
      </c>
      <c r="B104" s="4" t="inlineStr">
        <is>
          <t>الوصفة الرئيسية</t>
        </is>
      </c>
      <c r="C104" s="4" t="inlineStr">
        <is>
          <t>فلفل اخضر حار</t>
        </is>
      </c>
      <c r="D104" s="4" t="inlineStr">
        <is>
          <t>فلفل رومي حامي</t>
        </is>
      </c>
      <c r="E104" s="17" t="n">
        <v>2</v>
      </c>
      <c r="F104" s="6">
        <f>'جرد الخامات آخر أغسطس'!I26</f>
        <v/>
      </c>
      <c r="G104" s="5">
        <f>E104*F104</f>
        <v/>
      </c>
      <c r="H104" s="4" t="inlineStr">
        <is>
          <t>مطابقة سعر يونيه بالوصفة مع سعر الصنف بالجرد</t>
        </is>
      </c>
    </row>
    <row r="105">
      <c r="A105" s="4" t="inlineStr">
        <is>
          <t>برجر اسبشيال</t>
        </is>
      </c>
      <c r="B105" s="4" t="inlineStr">
        <is>
          <t>الوصفة الرئيسية</t>
        </is>
      </c>
      <c r="C105" s="4" t="inlineStr">
        <is>
          <t>برغل</t>
        </is>
      </c>
      <c r="D105" s="4" t="inlineStr">
        <is>
          <t>برغل</t>
        </is>
      </c>
      <c r="E105" s="17" t="n">
        <v>28</v>
      </c>
      <c r="F105" s="6">
        <f>'جرد الخامات آخر أغسطس'!I20</f>
        <v/>
      </c>
      <c r="G105" s="5">
        <f>E105*F105</f>
        <v/>
      </c>
      <c r="H105" s="4" t="inlineStr">
        <is>
          <t>مطابقة سعر يونيه بالوصفة مع سعر الصنف بالجرد</t>
        </is>
      </c>
    </row>
    <row r="106">
      <c r="A106" s="4" t="inlineStr">
        <is>
          <t>برجر اسبشيال</t>
        </is>
      </c>
      <c r="B106" s="4" t="inlineStr">
        <is>
          <t>الوصفة الرئيسية</t>
        </is>
      </c>
      <c r="C106" s="4" t="inlineStr">
        <is>
          <t>نشا</t>
        </is>
      </c>
      <c r="D106" s="4" t="inlineStr">
        <is>
          <t>نشا</t>
        </is>
      </c>
      <c r="E106" s="17" t="n">
        <v>24</v>
      </c>
      <c r="F106" s="6">
        <f>'جرد الخامات آخر أغسطس'!I36</f>
        <v/>
      </c>
      <c r="G106" s="5">
        <f>E106*F106</f>
        <v/>
      </c>
      <c r="H106" s="4" t="inlineStr">
        <is>
          <t>مطابقة سعر يونيه بالوصفة مع سعر الصنف بالجرد</t>
        </is>
      </c>
    </row>
    <row r="107">
      <c r="A107" s="4" t="inlineStr">
        <is>
          <t>برجر اسبشيال</t>
        </is>
      </c>
      <c r="B107" s="4" t="inlineStr">
        <is>
          <t>الوصفة الرئيسية</t>
        </is>
      </c>
      <c r="C107" s="4" t="inlineStr">
        <is>
          <t>شعرية</t>
        </is>
      </c>
      <c r="D107" s="4" t="inlineStr">
        <is>
          <t>—</t>
        </is>
      </c>
      <c r="E107" s="17" t="n">
        <v>0</v>
      </c>
      <c r="F107" s="6" t="n">
        <v>0</v>
      </c>
      <c r="G107" s="5">
        <f>E107*F107</f>
        <v/>
      </c>
      <c r="H107" s="8" t="inlineStr">
        <is>
          <t>صنف غير موجود ضمن قاعدة بيانات الخامات المُسعّرة</t>
        </is>
      </c>
    </row>
    <row r="108">
      <c r="A108" s="4" t="inlineStr">
        <is>
          <t>برجر اسبشيال</t>
        </is>
      </c>
      <c r="B108" s="4" t="inlineStr">
        <is>
          <t>الوصفة الرئيسية</t>
        </is>
      </c>
      <c r="C108" s="4" t="inlineStr">
        <is>
          <t>بصل</t>
        </is>
      </c>
      <c r="D108" s="4" t="inlineStr">
        <is>
          <t>بصل</t>
        </is>
      </c>
      <c r="E108" s="17" t="n">
        <v>25</v>
      </c>
      <c r="F108" s="6">
        <f>'جرد الخامات آخر أغسطس'!I5</f>
        <v/>
      </c>
      <c r="G108" s="5">
        <f>E108*F108</f>
        <v/>
      </c>
      <c r="H108" s="4" t="inlineStr">
        <is>
          <t>مطابقة سعر يونيه بالوصفة مع سعر الصنف بالجرد</t>
        </is>
      </c>
    </row>
    <row r="109">
      <c r="A109" s="4" t="inlineStr">
        <is>
          <t>برجر اسبشيال</t>
        </is>
      </c>
      <c r="B109" s="4" t="inlineStr">
        <is>
          <t>الوصفة الرئيسية</t>
        </is>
      </c>
      <c r="C109" s="4" t="inlineStr">
        <is>
          <t>سميد</t>
        </is>
      </c>
      <c r="D109" s="4" t="inlineStr">
        <is>
          <t>صميد</t>
        </is>
      </c>
      <c r="E109" s="17" t="n">
        <v>26</v>
      </c>
      <c r="F109" s="6">
        <f>'جرد الخامات آخر أغسطس'!I9</f>
        <v/>
      </c>
      <c r="G109" s="5">
        <f>E109*F109</f>
        <v/>
      </c>
      <c r="H109" s="4" t="inlineStr">
        <is>
          <t>مطابقة سعر يونيه بالوصفة مع سعر الصنف بالجرد</t>
        </is>
      </c>
    </row>
    <row r="110">
      <c r="A110" s="4" t="inlineStr">
        <is>
          <t>برجر اسبشيال</t>
        </is>
      </c>
      <c r="B110" s="4" t="inlineStr">
        <is>
          <t>الوصفة الرئيسية</t>
        </is>
      </c>
      <c r="C110" s="4" t="inlineStr">
        <is>
          <t>مياه</t>
        </is>
      </c>
      <c r="D110" s="4" t="inlineStr">
        <is>
          <t>—</t>
        </is>
      </c>
      <c r="E110" s="17" t="n">
        <v>99</v>
      </c>
      <c r="F110" s="6" t="n">
        <v>0</v>
      </c>
      <c r="G110" s="5">
        <f>E110*F110</f>
        <v/>
      </c>
      <c r="H110" s="8" t="inlineStr">
        <is>
          <t>لا يوجد سعر شراء مسجل للمياه ضمن الخامات — عادة تكلفة مرافق غير مباشرة</t>
        </is>
      </c>
    </row>
    <row r="111">
      <c r="A111" s="4" t="inlineStr">
        <is>
          <t>برجر اسبشيال</t>
        </is>
      </c>
      <c r="B111" s="4" t="inlineStr">
        <is>
          <t>الوصفة الرئيسية</t>
        </is>
      </c>
      <c r="C111" s="4" t="inlineStr">
        <is>
          <t>مونوصوديم</t>
        </is>
      </c>
      <c r="D111" s="4" t="inlineStr">
        <is>
          <t>جلتومات</t>
        </is>
      </c>
      <c r="E111" s="17" t="n">
        <v>2</v>
      </c>
      <c r="F111" s="6">
        <f>'جرد الخامات آخر أغسطس'!I57</f>
        <v/>
      </c>
      <c r="G111" s="5">
        <f>E111*F111</f>
        <v/>
      </c>
      <c r="H111" s="4" t="inlineStr">
        <is>
          <t>مطابقة سعر يونيه بالوصفة مع سعر الصنف بالجرد</t>
        </is>
      </c>
    </row>
    <row r="112">
      <c r="A112" s="4" t="inlineStr">
        <is>
          <t>برجر اسبشيال</t>
        </is>
      </c>
      <c r="B112" s="4" t="inlineStr">
        <is>
          <t>الوصفة الرئيسية</t>
        </is>
      </c>
      <c r="C112" s="4" t="inlineStr">
        <is>
          <t>لون 601</t>
        </is>
      </c>
      <c r="D112" s="4" t="inlineStr">
        <is>
          <t>لون طبيعي</t>
        </is>
      </c>
      <c r="E112" s="17" t="n">
        <v>0.09</v>
      </c>
      <c r="F112" s="6">
        <f>'جرد الخامات آخر أغسطس'!I70</f>
        <v/>
      </c>
      <c r="G112" s="5">
        <f>E112*F112</f>
        <v/>
      </c>
      <c r="H112" s="4" t="inlineStr">
        <is>
          <t>مطابقة سعر يونيه بالوصفة مع سعر الصنف بالجرد</t>
        </is>
      </c>
    </row>
    <row r="113">
      <c r="A113" s="4" t="inlineStr">
        <is>
          <t>برجر اسبشيال</t>
        </is>
      </c>
      <c r="B113" s="4" t="inlineStr">
        <is>
          <t>الوصفة الرئيسية</t>
        </is>
      </c>
      <c r="C113" s="4" t="inlineStr">
        <is>
          <t>كسبرة</t>
        </is>
      </c>
      <c r="D113" s="4" t="inlineStr">
        <is>
          <t>كزبره</t>
        </is>
      </c>
      <c r="E113" s="17" t="n">
        <v>0.6</v>
      </c>
      <c r="F113" s="6">
        <f>'جرد الخامات آخر أغسطس'!I45</f>
        <v/>
      </c>
      <c r="G113" s="5">
        <f>E113*F113</f>
        <v/>
      </c>
      <c r="H113" s="4" t="inlineStr">
        <is>
          <t>مطابقة سعر يونيه بالوصفة مع سعر الصنف بالجرد</t>
        </is>
      </c>
    </row>
    <row r="114">
      <c r="A114" s="4" t="inlineStr">
        <is>
          <t>برجر اسبشيال</t>
        </is>
      </c>
      <c r="B114" s="4" t="inlineStr">
        <is>
          <t>الوصفة الرئيسية</t>
        </is>
      </c>
      <c r="C114" s="4" t="inlineStr">
        <is>
          <t>شطة</t>
        </is>
      </c>
      <c r="D114" s="4" t="inlineStr">
        <is>
          <t>شطه</t>
        </is>
      </c>
      <c r="E114" s="17" t="n">
        <v>0.5</v>
      </c>
      <c r="F114" s="6">
        <f>'جرد الخامات آخر أغسطس'!I48</f>
        <v/>
      </c>
      <c r="G114" s="5">
        <f>E114*F114</f>
        <v/>
      </c>
      <c r="H114" s="4" t="inlineStr">
        <is>
          <t>مطابقة سعر يونيه بالوصفة مع سعر الصنف بالجرد</t>
        </is>
      </c>
    </row>
    <row r="115">
      <c r="A115" s="4" t="inlineStr">
        <is>
          <t>برجر اسبشيال</t>
        </is>
      </c>
      <c r="B115" s="4" t="inlineStr">
        <is>
          <t>الوصفة الرئيسية</t>
        </is>
      </c>
      <c r="C115" s="4" t="inlineStr">
        <is>
          <t>ملح</t>
        </is>
      </c>
      <c r="D115" s="4" t="inlineStr">
        <is>
          <t>الملح</t>
        </is>
      </c>
      <c r="E115" s="17" t="n">
        <v>6.8</v>
      </c>
      <c r="F115" s="6">
        <f>'جرد الخامات آخر أغسطس'!I55</f>
        <v/>
      </c>
      <c r="G115" s="5">
        <f>E115*F115</f>
        <v/>
      </c>
      <c r="H115" s="4" t="inlineStr">
        <is>
          <t>مطابقة سعر يونيه بالوصفة مع سعر الصنف بالجرد</t>
        </is>
      </c>
    </row>
    <row r="116">
      <c r="A116" s="4" t="inlineStr">
        <is>
          <t>برجر اسبشيال</t>
        </is>
      </c>
      <c r="B116" s="4" t="inlineStr">
        <is>
          <t>الوصفة الرئيسية</t>
        </is>
      </c>
      <c r="C116" s="4" t="inlineStr">
        <is>
          <t>جبهان</t>
        </is>
      </c>
      <c r="D116" s="4" t="inlineStr">
        <is>
          <t>حبهان</t>
        </is>
      </c>
      <c r="E116" s="17" t="n">
        <v>0.2</v>
      </c>
      <c r="F116" s="6">
        <f>'جرد الخامات آخر أغسطس'!I51</f>
        <v/>
      </c>
      <c r="G116" s="5">
        <f>E116*F116</f>
        <v/>
      </c>
      <c r="H116" s="4" t="inlineStr">
        <is>
          <t>مطابقة سعر يونيه بالوصفة مع سعر الصنف بالجرد</t>
        </is>
      </c>
    </row>
    <row r="117">
      <c r="A117" s="4" t="inlineStr">
        <is>
          <t>برجر اسبشيال</t>
        </is>
      </c>
      <c r="B117" s="4" t="inlineStr">
        <is>
          <t>الوصفة الرئيسية</t>
        </is>
      </c>
      <c r="C117" s="4" t="inlineStr">
        <is>
          <t>طعم كفته</t>
        </is>
      </c>
      <c r="D117" s="4" t="inlineStr">
        <is>
          <t>طعم كفته</t>
        </is>
      </c>
      <c r="E117" s="17" t="n">
        <v>0.5</v>
      </c>
      <c r="F117" s="6">
        <f>'جرد الخامات آخر أغسطس'!I61</f>
        <v/>
      </c>
      <c r="G117" s="5">
        <f>E117*F117</f>
        <v/>
      </c>
      <c r="H117" s="4" t="inlineStr">
        <is>
          <t>مطابقة سعر يونيه بالوصفة مع سعر الصنف بالجرد</t>
        </is>
      </c>
    </row>
    <row r="118">
      <c r="A118" s="4" t="inlineStr">
        <is>
          <t>برجر اسبشيال</t>
        </is>
      </c>
      <c r="B118" s="4" t="inlineStr">
        <is>
          <t>الوصفة الرئيسية</t>
        </is>
      </c>
      <c r="C118" s="4" t="inlineStr">
        <is>
          <t>طعم بيف</t>
        </is>
      </c>
      <c r="D118" s="4" t="inlineStr">
        <is>
          <t>طعم بيف</t>
        </is>
      </c>
      <c r="E118" s="17" t="n">
        <v>0.5</v>
      </c>
      <c r="F118" s="6">
        <f>'جرد الخامات آخر أغسطس'!I63</f>
        <v/>
      </c>
      <c r="G118" s="5">
        <f>E118*F118</f>
        <v/>
      </c>
      <c r="H118" s="4" t="inlineStr">
        <is>
          <t>مطابقة سعر يونيه بالوصفة مع سعر الصنف بالجرد</t>
        </is>
      </c>
    </row>
    <row r="119">
      <c r="A119" s="4" t="inlineStr">
        <is>
          <t>برجر اسبشيال</t>
        </is>
      </c>
      <c r="B119" s="4" t="inlineStr">
        <is>
          <t>الوصفة الرئيسية</t>
        </is>
      </c>
      <c r="C119" s="4" t="inlineStr">
        <is>
          <t>فوسفات</t>
        </is>
      </c>
      <c r="D119" s="4" t="inlineStr">
        <is>
          <t>فوسفات</t>
        </is>
      </c>
      <c r="E119" s="17" t="n">
        <v>2</v>
      </c>
      <c r="F119" s="6">
        <f>'جرد الخامات آخر أغسطس'!I56</f>
        <v/>
      </c>
      <c r="G119" s="5">
        <f>E119*F119</f>
        <v/>
      </c>
      <c r="H119" s="4" t="inlineStr">
        <is>
          <t>مطابقة سعر يونيه بالوصفة مع سعر الصنف بالجرد</t>
        </is>
      </c>
    </row>
    <row r="120">
      <c r="A120" s="4" t="inlineStr">
        <is>
          <t>برجر اسبشيال</t>
        </is>
      </c>
      <c r="B120" s="4" t="inlineStr">
        <is>
          <t>الوصفة الرئيسية</t>
        </is>
      </c>
      <c r="C120" s="4" t="inlineStr">
        <is>
          <t>جنزبيل</t>
        </is>
      </c>
      <c r="D120" s="4" t="inlineStr">
        <is>
          <t>جنزبيل</t>
        </is>
      </c>
      <c r="E120" s="17" t="n">
        <v>0.2</v>
      </c>
      <c r="F120" s="6">
        <f>'جرد الخامات آخر أغسطس'!I54</f>
        <v/>
      </c>
      <c r="G120" s="5">
        <f>E120*F120</f>
        <v/>
      </c>
      <c r="H120" s="4" t="inlineStr">
        <is>
          <t>مطابقة سعر يونيه بالوصفة مع سعر الصنف بالجرد</t>
        </is>
      </c>
    </row>
    <row r="121">
      <c r="A121" s="4" t="inlineStr">
        <is>
          <t>برجر اسبشيال</t>
        </is>
      </c>
      <c r="B121" s="4" t="inlineStr">
        <is>
          <t>الوصفة الرئيسية</t>
        </is>
      </c>
      <c r="C121" s="4" t="inlineStr">
        <is>
          <t>طعم ليه</t>
        </is>
      </c>
      <c r="D121" s="4" t="inlineStr">
        <is>
          <t>طعم ليه</t>
        </is>
      </c>
      <c r="E121" s="17" t="n">
        <v>0.5</v>
      </c>
      <c r="F121" s="6">
        <f>'جرد الخامات آخر أغسطس'!I60</f>
        <v/>
      </c>
      <c r="G121" s="5">
        <f>E121*F121</f>
        <v/>
      </c>
      <c r="H121" s="4" t="inlineStr">
        <is>
          <t>مطابقة سعر يونيه بالوصفة مع سعر الصنف بالجرد</t>
        </is>
      </c>
    </row>
    <row r="122">
      <c r="A122" s="4" t="inlineStr">
        <is>
          <t>برجر اسبشيال</t>
        </is>
      </c>
      <c r="B122" s="4" t="inlineStr">
        <is>
          <t>الوصفة الرئيسية</t>
        </is>
      </c>
      <c r="C122" s="4" t="inlineStr">
        <is>
          <t>بابريكا</t>
        </is>
      </c>
      <c r="D122" s="4" t="inlineStr">
        <is>
          <t>بابريكا</t>
        </is>
      </c>
      <c r="E122" s="17" t="n">
        <v>0.5</v>
      </c>
      <c r="F122" s="6">
        <f>'جرد الخامات آخر أغسطس'!I53</f>
        <v/>
      </c>
      <c r="G122" s="5">
        <f>E122*F122</f>
        <v/>
      </c>
      <c r="H122" s="4" t="inlineStr">
        <is>
          <t>مطابقة سعر يونيه بالوصفة مع سعر الصنف بالجرد</t>
        </is>
      </c>
    </row>
    <row r="123">
      <c r="A123" s="18" t="inlineStr">
        <is>
          <t>برجر اسبشيال</t>
        </is>
      </c>
      <c r="B123" s="19" t="inlineStr">
        <is>
          <t>إجمالى الوصفة الرئيسية</t>
        </is>
      </c>
      <c r="E123" s="20">
        <f>SUM(E100:E122)</f>
        <v/>
      </c>
      <c r="G123" s="21">
        <f>SUM(G100:G122)</f>
        <v/>
      </c>
      <c r="H123" s="18" t="inlineStr">
        <is>
          <t>سعر الكجم = قيمة الوصفة ÷ 394.39 كجم (معامل الإنتاجية كما بالوصفة)</t>
        </is>
      </c>
    </row>
    <row r="125">
      <c r="A125" s="4" t="inlineStr">
        <is>
          <t>سجق اسبشيال</t>
        </is>
      </c>
      <c r="B125" s="4" t="inlineStr">
        <is>
          <t>الوصفة الرئيسية</t>
        </is>
      </c>
      <c r="C125" s="4" t="inlineStr">
        <is>
          <t>مفروم فراخ شعبى</t>
        </is>
      </c>
      <c r="D125" s="4" t="inlineStr">
        <is>
          <t>مفروم فراخ شعبي</t>
        </is>
      </c>
      <c r="E125" s="17" t="n">
        <v>105</v>
      </c>
      <c r="F125" s="6">
        <f>'جرد الخامات آخر أغسطس'!I8</f>
        <v/>
      </c>
      <c r="G125" s="5">
        <f>E125*F125</f>
        <v/>
      </c>
      <c r="H125" s="4" t="inlineStr">
        <is>
          <t>مطابقة سعر يونيه بالوصفة مع سعر الصنف بالجرد</t>
        </is>
      </c>
    </row>
    <row r="126">
      <c r="A126" s="4" t="inlineStr">
        <is>
          <t>سجق اسبشيال</t>
        </is>
      </c>
      <c r="B126" s="4" t="inlineStr">
        <is>
          <t>الوصفة الرئيسية</t>
        </is>
      </c>
      <c r="C126" s="4" t="inlineStr">
        <is>
          <t>دهن</t>
        </is>
      </c>
      <c r="D126" s="4" t="inlineStr">
        <is>
          <t>دهن بلدي</t>
        </is>
      </c>
      <c r="E126" s="17" t="n">
        <v>0</v>
      </c>
      <c r="F126" s="6">
        <f>'جرد الخامات آخر أغسطس'!I13</f>
        <v/>
      </c>
      <c r="G126" s="5">
        <f>E126*F126</f>
        <v/>
      </c>
      <c r="H126" s="4" t="inlineStr">
        <is>
          <t>مطابقة سعر يونيه بالوصفة مع سعر الصنف بالجرد</t>
        </is>
      </c>
    </row>
    <row r="127">
      <c r="A127" s="4" t="inlineStr">
        <is>
          <t>سجق اسبشيال</t>
        </is>
      </c>
      <c r="B127" s="4" t="inlineStr">
        <is>
          <t>الوصفة الرئيسية</t>
        </is>
      </c>
      <c r="C127" s="4" t="inlineStr">
        <is>
          <t>برغل</t>
        </is>
      </c>
      <c r="D127" s="4" t="inlineStr">
        <is>
          <t>برغل</t>
        </is>
      </c>
      <c r="E127" s="17" t="n">
        <v>10.5</v>
      </c>
      <c r="F127" s="6">
        <f>'جرد الخامات آخر أغسطس'!I20</f>
        <v/>
      </c>
      <c r="G127" s="5">
        <f>E127*F127</f>
        <v/>
      </c>
      <c r="H127" s="4" t="inlineStr">
        <is>
          <t>مطابقة سعر يونيه بالوصفة مع سعر الصنف بالجرد</t>
        </is>
      </c>
    </row>
    <row r="128">
      <c r="A128" s="4" t="inlineStr">
        <is>
          <t>سجق اسبشيال</t>
        </is>
      </c>
      <c r="B128" s="4" t="inlineStr">
        <is>
          <t>الوصفة الرئيسية</t>
        </is>
      </c>
      <c r="C128" s="4" t="inlineStr">
        <is>
          <t>مياه</t>
        </is>
      </c>
      <c r="D128" s="4" t="inlineStr">
        <is>
          <t>—</t>
        </is>
      </c>
      <c r="E128" s="17" t="n">
        <v>48</v>
      </c>
      <c r="F128" s="6" t="n">
        <v>0</v>
      </c>
      <c r="G128" s="5">
        <f>E128*F128</f>
        <v/>
      </c>
      <c r="H128" s="8" t="inlineStr">
        <is>
          <t>لا يوجد سعر شراء مسجل للمياه ضمن الخامات — عادة تكلفة مرافق غير مباشرة</t>
        </is>
      </c>
    </row>
    <row r="129">
      <c r="A129" s="4" t="inlineStr">
        <is>
          <t>سجق اسبشيال</t>
        </is>
      </c>
      <c r="B129" s="4" t="inlineStr">
        <is>
          <t>الوصفة الرئيسية</t>
        </is>
      </c>
      <c r="C129" s="4" t="inlineStr">
        <is>
          <t>صويا</t>
        </is>
      </c>
      <c r="D129" s="4" t="inlineStr">
        <is>
          <t>صويا لحمه</t>
        </is>
      </c>
      <c r="E129" s="17" t="n">
        <v>21.75</v>
      </c>
      <c r="F129" s="6">
        <f>'جرد الخامات آخر أغسطس'!I10</f>
        <v/>
      </c>
      <c r="G129" s="5">
        <f>E129*F129</f>
        <v/>
      </c>
      <c r="H129" s="4" t="inlineStr">
        <is>
          <t>مطابقة سعر يونيه بالوصفة مع سعر الصنف بالجرد</t>
        </is>
      </c>
    </row>
    <row r="130">
      <c r="A130" s="4" t="inlineStr">
        <is>
          <t>سجق اسبشيال</t>
        </is>
      </c>
      <c r="B130" s="4" t="inlineStr">
        <is>
          <t>الوصفة الرئيسية</t>
        </is>
      </c>
      <c r="C130" s="4" t="inlineStr">
        <is>
          <t>سميد</t>
        </is>
      </c>
      <c r="D130" s="4" t="inlineStr">
        <is>
          <t>صميد</t>
        </is>
      </c>
      <c r="E130" s="17" t="n">
        <v>0</v>
      </c>
      <c r="F130" s="6">
        <f>'جرد الخامات آخر أغسطس'!I9</f>
        <v/>
      </c>
      <c r="G130" s="5">
        <f>E130*F130</f>
        <v/>
      </c>
      <c r="H130" s="4" t="inlineStr">
        <is>
          <t>مطابقة سعر يونيه بالوصفة مع سعر الصنف بالجرد</t>
        </is>
      </c>
    </row>
    <row r="131">
      <c r="A131" s="4" t="inlineStr">
        <is>
          <t>سجق اسبشيال</t>
        </is>
      </c>
      <c r="B131" s="4" t="inlineStr">
        <is>
          <t>الوصفة الرئيسية</t>
        </is>
      </c>
      <c r="C131" s="4" t="inlineStr">
        <is>
          <t>جلد</t>
        </is>
      </c>
      <c r="D131" s="4" t="inlineStr">
        <is>
          <t>جلد</t>
        </is>
      </c>
      <c r="E131" s="17" t="n">
        <v>0</v>
      </c>
      <c r="F131" s="6">
        <f>'جرد الخامات آخر أغسطس'!I23</f>
        <v/>
      </c>
      <c r="G131" s="5">
        <f>E131*F131</f>
        <v/>
      </c>
      <c r="H131" s="4" t="inlineStr">
        <is>
          <t>مطابقة سعر يونيه بالوصفة مع سعر الصنف بالجرد</t>
        </is>
      </c>
    </row>
    <row r="132">
      <c r="A132" s="4" t="inlineStr">
        <is>
          <t>سجق اسبشيال</t>
        </is>
      </c>
      <c r="B132" s="4" t="inlineStr">
        <is>
          <t>الوصفة الرئيسية</t>
        </is>
      </c>
      <c r="C132" s="4" t="inlineStr">
        <is>
          <t>نشا</t>
        </is>
      </c>
      <c r="D132" s="4" t="inlineStr">
        <is>
          <t>نشا</t>
        </is>
      </c>
      <c r="E132" s="17" t="n">
        <v>7.5</v>
      </c>
      <c r="F132" s="6">
        <f>'جرد الخامات آخر أغسطس'!I36</f>
        <v/>
      </c>
      <c r="G132" s="5">
        <f>E132*F132</f>
        <v/>
      </c>
      <c r="H132" s="4" t="inlineStr">
        <is>
          <t>مطابقة سعر يونيه بالوصفة مع سعر الصنف بالجرد</t>
        </is>
      </c>
    </row>
    <row r="133">
      <c r="A133" s="4" t="inlineStr">
        <is>
          <t>سجق اسبشيال</t>
        </is>
      </c>
      <c r="B133" s="4" t="inlineStr">
        <is>
          <t>الوصفة الرئيسية</t>
        </is>
      </c>
      <c r="C133" s="4" t="inlineStr">
        <is>
          <t>بصل</t>
        </is>
      </c>
      <c r="D133" s="4" t="inlineStr">
        <is>
          <t>بصل</t>
        </is>
      </c>
      <c r="E133" s="17" t="n">
        <v>19.5</v>
      </c>
      <c r="F133" s="6">
        <f>'جرد الخامات آخر أغسطس'!I5</f>
        <v/>
      </c>
      <c r="G133" s="5">
        <f>E133*F133</f>
        <v/>
      </c>
      <c r="H133" s="4" t="inlineStr">
        <is>
          <t>مطابقة سعر يونيه بالوصفة مع سعر الصنف بالجرد</t>
        </is>
      </c>
    </row>
    <row r="134">
      <c r="A134" s="4" t="inlineStr">
        <is>
          <t>سجق اسبشيال</t>
        </is>
      </c>
      <c r="B134" s="4" t="inlineStr">
        <is>
          <t>الوصفة الرئيسية</t>
        </is>
      </c>
      <c r="C134" s="4" t="inlineStr">
        <is>
          <t>ملح</t>
        </is>
      </c>
      <c r="D134" s="4" t="inlineStr">
        <is>
          <t>الملح</t>
        </is>
      </c>
      <c r="E134" s="17" t="n">
        <v>4.2</v>
      </c>
      <c r="F134" s="6">
        <f>'جرد الخامات آخر أغسطس'!I55</f>
        <v/>
      </c>
      <c r="G134" s="5">
        <f>E134*F134</f>
        <v/>
      </c>
      <c r="H134" s="4" t="inlineStr">
        <is>
          <t>مطابقة سعر يونيه بالوصفة مع سعر الصنف بالجرد</t>
        </is>
      </c>
    </row>
    <row r="135">
      <c r="A135" s="4" t="inlineStr">
        <is>
          <t>سجق اسبشيال</t>
        </is>
      </c>
      <c r="B135" s="4" t="inlineStr">
        <is>
          <t>الوصفة الرئيسية</t>
        </is>
      </c>
      <c r="C135" s="4" t="inlineStr">
        <is>
          <t>فوسفات</t>
        </is>
      </c>
      <c r="D135" s="4" t="inlineStr">
        <is>
          <t>فوسفات</t>
        </is>
      </c>
      <c r="E135" s="17" t="n">
        <v>1.5</v>
      </c>
      <c r="F135" s="6">
        <f>'جرد الخامات آخر أغسطس'!I56</f>
        <v/>
      </c>
      <c r="G135" s="5">
        <f>E135*F135</f>
        <v/>
      </c>
      <c r="H135" s="4" t="inlineStr">
        <is>
          <t>مطابقة سعر يونيه بالوصفة مع سعر الصنف بالجرد</t>
        </is>
      </c>
    </row>
    <row r="136">
      <c r="A136" s="4" t="inlineStr">
        <is>
          <t>سجق اسبشيال</t>
        </is>
      </c>
      <c r="B136" s="4" t="inlineStr">
        <is>
          <t>الوصفة الرئيسية</t>
        </is>
      </c>
      <c r="C136" s="4" t="inlineStr">
        <is>
          <t>لورا</t>
        </is>
      </c>
      <c r="D136" s="4" t="inlineStr">
        <is>
          <t>لورا</t>
        </is>
      </c>
      <c r="E136" s="17" t="n">
        <v>0</v>
      </c>
      <c r="F136" s="6">
        <f>'جرد الخامات آخر أغسطس'!I43</f>
        <v/>
      </c>
      <c r="G136" s="5">
        <f>E136*F136</f>
        <v/>
      </c>
      <c r="H136" s="4" t="inlineStr">
        <is>
          <t>مطابقة سعر يونيه بالوصفة مع سعر الصنف بالجرد</t>
        </is>
      </c>
    </row>
    <row r="137">
      <c r="A137" s="4" t="inlineStr">
        <is>
          <t>سجق اسبشيال</t>
        </is>
      </c>
      <c r="B137" s="4" t="inlineStr">
        <is>
          <t>الوصفة الرئيسية</t>
        </is>
      </c>
      <c r="C137" s="4" t="inlineStr">
        <is>
          <t>شطه</t>
        </is>
      </c>
      <c r="D137" s="4" t="inlineStr">
        <is>
          <t>شطه</t>
        </is>
      </c>
      <c r="E137" s="17" t="n">
        <v>0.75</v>
      </c>
      <c r="F137" s="6">
        <f>'جرد الخامات آخر أغسطس'!I48</f>
        <v/>
      </c>
      <c r="G137" s="5">
        <f>E137*F137</f>
        <v/>
      </c>
      <c r="H137" s="4" t="inlineStr">
        <is>
          <t>مطابقة سعر يونيه بالوصفة مع سعر الصنف بالجرد</t>
        </is>
      </c>
    </row>
    <row r="138">
      <c r="A138" s="4" t="inlineStr">
        <is>
          <t>سجق اسبشيال</t>
        </is>
      </c>
      <c r="B138" s="4" t="inlineStr">
        <is>
          <t>الوصفة الرئيسية</t>
        </is>
      </c>
      <c r="C138" s="4" t="inlineStr">
        <is>
          <t>مونوصوديم</t>
        </is>
      </c>
      <c r="D138" s="4" t="inlineStr">
        <is>
          <t>جلتومات</t>
        </is>
      </c>
      <c r="E138" s="17" t="n">
        <v>1.5</v>
      </c>
      <c r="F138" s="6">
        <f>'جرد الخامات آخر أغسطس'!I57</f>
        <v/>
      </c>
      <c r="G138" s="5">
        <f>E138*F138</f>
        <v/>
      </c>
      <c r="H138" s="4" t="inlineStr">
        <is>
          <t>مطابقة سعر يونيه بالوصفة مع سعر الصنف بالجرد</t>
        </is>
      </c>
    </row>
    <row r="139">
      <c r="A139" s="4" t="inlineStr">
        <is>
          <t>سجق اسبشيال</t>
        </is>
      </c>
      <c r="B139" s="4" t="inlineStr">
        <is>
          <t>الوصفة الرئيسية</t>
        </is>
      </c>
      <c r="C139" s="4" t="inlineStr">
        <is>
          <t>فلفل اسود</t>
        </is>
      </c>
      <c r="D139" s="4" t="inlineStr">
        <is>
          <t>فلفل اسود</t>
        </is>
      </c>
      <c r="E139" s="17" t="n">
        <v>0</v>
      </c>
      <c r="F139" s="6">
        <f>'جرد الخامات آخر أغسطس'!I37</f>
        <v/>
      </c>
      <c r="G139" s="5">
        <f>E139*F139</f>
        <v/>
      </c>
      <c r="H139" s="4" t="inlineStr">
        <is>
          <t>مطابقة سعر يونيه بالوصفة مع سعر الصنف بالجرد</t>
        </is>
      </c>
    </row>
    <row r="140">
      <c r="A140" s="4" t="inlineStr">
        <is>
          <t>سجق اسبشيال</t>
        </is>
      </c>
      <c r="B140" s="4" t="inlineStr">
        <is>
          <t>الوصفة الرئيسية</t>
        </is>
      </c>
      <c r="C140" s="4" t="inlineStr">
        <is>
          <t>خلنجان</t>
        </is>
      </c>
      <c r="D140" s="4" t="inlineStr">
        <is>
          <t>خلنجان</t>
        </is>
      </c>
      <c r="E140" s="17" t="n">
        <v>0.75</v>
      </c>
      <c r="F140" s="6">
        <f>'جرد الخامات آخر أغسطس'!I44</f>
        <v/>
      </c>
      <c r="G140" s="5">
        <f>E140*F140</f>
        <v/>
      </c>
      <c r="H140" s="4" t="inlineStr">
        <is>
          <t>مطابقة سعر يونيه بالوصفة مع سعر الصنف بالجرد</t>
        </is>
      </c>
    </row>
    <row r="141">
      <c r="A141" s="4" t="inlineStr">
        <is>
          <t>سجق اسبشيال</t>
        </is>
      </c>
      <c r="B141" s="4" t="inlineStr">
        <is>
          <t>الوصفة الرئيسية</t>
        </is>
      </c>
      <c r="C141" s="4" t="inlineStr">
        <is>
          <t>توم</t>
        </is>
      </c>
      <c r="D141" s="4" t="inlineStr">
        <is>
          <t>ثوم</t>
        </is>
      </c>
      <c r="E141" s="17" t="n">
        <v>4.5</v>
      </c>
      <c r="F141" s="6">
        <f>'جرد الخامات آخر أغسطس'!I6</f>
        <v/>
      </c>
      <c r="G141" s="5">
        <f>E141*F141</f>
        <v/>
      </c>
      <c r="H141" s="4" t="inlineStr">
        <is>
          <t>مطابقة سعر يونيه بالوصفة مع سعر الصنف بالجرد</t>
        </is>
      </c>
    </row>
    <row r="142">
      <c r="A142" s="4" t="inlineStr">
        <is>
          <t>سجق اسبشيال</t>
        </is>
      </c>
      <c r="B142" s="4" t="inlineStr">
        <is>
          <t>الوصفة الرئيسية</t>
        </is>
      </c>
      <c r="C142" s="4" t="inlineStr">
        <is>
          <t>زعتر</t>
        </is>
      </c>
      <c r="D142" s="4" t="inlineStr">
        <is>
          <t>زعتر</t>
        </is>
      </c>
      <c r="E142" s="17" t="n">
        <v>0.38</v>
      </c>
      <c r="F142" s="6">
        <f>'جرد الخامات آخر أغسطس'!I47</f>
        <v/>
      </c>
      <c r="G142" s="5">
        <f>E142*F142</f>
        <v/>
      </c>
      <c r="H142" s="4" t="inlineStr">
        <is>
          <t>مطابقة سعر يونيه بالوصفة مع سعر الصنف بالجرد</t>
        </is>
      </c>
    </row>
    <row r="143">
      <c r="A143" s="4" t="inlineStr">
        <is>
          <t>سجق اسبشيال</t>
        </is>
      </c>
      <c r="B143" s="4" t="inlineStr">
        <is>
          <t>الوصفة الرئيسية</t>
        </is>
      </c>
      <c r="C143" s="4" t="inlineStr">
        <is>
          <t>ينسون</t>
        </is>
      </c>
      <c r="D143" s="4" t="inlineStr">
        <is>
          <t>ينسون</t>
        </is>
      </c>
      <c r="E143" s="17" t="n">
        <v>0.6889999999999999</v>
      </c>
      <c r="F143" s="6">
        <f>'جرد الخامات آخر أغسطس'!I50</f>
        <v/>
      </c>
      <c r="G143" s="5">
        <f>E143*F143</f>
        <v/>
      </c>
      <c r="H143" s="4" t="inlineStr">
        <is>
          <t>مطابقة سعر يونيه بالوصفة مع سعر الصنف بالجرد</t>
        </is>
      </c>
    </row>
    <row r="144">
      <c r="A144" s="4" t="inlineStr">
        <is>
          <t>سجق اسبشيال</t>
        </is>
      </c>
      <c r="B144" s="4" t="inlineStr">
        <is>
          <t>الوصفة الرئيسية</t>
        </is>
      </c>
      <c r="C144" s="4" t="inlineStr">
        <is>
          <t>قرفة</t>
        </is>
      </c>
      <c r="D144" s="4" t="inlineStr">
        <is>
          <t>قرفه</t>
        </is>
      </c>
      <c r="E144" s="17" t="n">
        <v>0.6</v>
      </c>
      <c r="F144" s="6">
        <f>'جرد الخامات آخر أغسطس'!I46</f>
        <v/>
      </c>
      <c r="G144" s="5">
        <f>E144*F144</f>
        <v/>
      </c>
      <c r="H144" s="4" t="inlineStr">
        <is>
          <t>مطابقة سعر يونيه بالوصفة مع سعر الصنف بالجرد</t>
        </is>
      </c>
    </row>
    <row r="145">
      <c r="A145" s="4" t="inlineStr">
        <is>
          <t>سجق اسبشيال</t>
        </is>
      </c>
      <c r="B145" s="4" t="inlineStr">
        <is>
          <t>الوصفة الرئيسية</t>
        </is>
      </c>
      <c r="C145" s="4" t="inlineStr">
        <is>
          <t>كزبره</t>
        </is>
      </c>
      <c r="D145" s="4" t="inlineStr">
        <is>
          <t>كزبره</t>
        </is>
      </c>
      <c r="E145" s="17" t="n">
        <v>1.2</v>
      </c>
      <c r="F145" s="6">
        <f>'جرد الخامات آخر أغسطس'!I45</f>
        <v/>
      </c>
      <c r="G145" s="5">
        <f>E145*F145</f>
        <v/>
      </c>
      <c r="H145" s="4" t="inlineStr">
        <is>
          <t>مطابقة سعر يونيه بالوصفة مع سعر الصنف بالجرد</t>
        </is>
      </c>
    </row>
    <row r="146">
      <c r="A146" s="4" t="inlineStr">
        <is>
          <t>سجق اسبشيال</t>
        </is>
      </c>
      <c r="B146" s="4" t="inlineStr">
        <is>
          <t>الوصفة الرئيسية</t>
        </is>
      </c>
      <c r="C146" s="4" t="inlineStr">
        <is>
          <t>طعم سجق بودر</t>
        </is>
      </c>
      <c r="D146" s="4" t="inlineStr">
        <is>
          <t>طعم سجق بودر</t>
        </is>
      </c>
      <c r="E146" s="17" t="n">
        <v>0.3</v>
      </c>
      <c r="F146" s="6">
        <f>'جرد الخامات آخر أغسطس'!I58</f>
        <v/>
      </c>
      <c r="G146" s="5">
        <f>E146*F146</f>
        <v/>
      </c>
      <c r="H146" s="4" t="inlineStr">
        <is>
          <t>مطابقة سعر يونيه بالوصفة مع سعر الصنف بالجرد</t>
        </is>
      </c>
    </row>
    <row r="147">
      <c r="A147" s="4" t="inlineStr">
        <is>
          <t>سجق اسبشيال</t>
        </is>
      </c>
      <c r="B147" s="4" t="inlineStr">
        <is>
          <t>الوصفة الرئيسية</t>
        </is>
      </c>
      <c r="C147" s="4" t="inlineStr">
        <is>
          <t>بيف</t>
        </is>
      </c>
      <c r="D147" s="4" t="inlineStr">
        <is>
          <t>طعم بيف</t>
        </is>
      </c>
      <c r="E147" s="17" t="n">
        <v>0</v>
      </c>
      <c r="F147" s="6">
        <f>'جرد الخامات آخر أغسطس'!I63</f>
        <v/>
      </c>
      <c r="G147" s="5">
        <f>E147*F147</f>
        <v/>
      </c>
      <c r="H147" s="4" t="inlineStr">
        <is>
          <t>مطابقة سعر يونيه بالوصفة مع سعر الصنف بالجرد</t>
        </is>
      </c>
    </row>
    <row r="148">
      <c r="A148" s="4" t="inlineStr">
        <is>
          <t>سجق اسبشيال</t>
        </is>
      </c>
      <c r="B148" s="4" t="inlineStr">
        <is>
          <t>الوصفة الرئيسية</t>
        </is>
      </c>
      <c r="C148" s="4" t="inlineStr">
        <is>
          <t>لون</t>
        </is>
      </c>
      <c r="D148" s="4" t="inlineStr">
        <is>
          <t>لون طبيعي</t>
        </is>
      </c>
      <c r="E148" s="17" t="n">
        <v>0.04</v>
      </c>
      <c r="F148" s="6">
        <f>'جرد الخامات آخر أغسطس'!I70</f>
        <v/>
      </c>
      <c r="G148" s="5">
        <f>E148*F148</f>
        <v/>
      </c>
      <c r="H148" s="4" t="inlineStr">
        <is>
          <t>مطابقة سعر يونيه بالوصفة مع سعر الصنف بالجرد</t>
        </is>
      </c>
    </row>
    <row r="149">
      <c r="A149" s="18" t="inlineStr">
        <is>
          <t>سجق اسبشيال</t>
        </is>
      </c>
      <c r="B149" s="19" t="inlineStr">
        <is>
          <t>إجمالى الوصفة الرئيسية</t>
        </is>
      </c>
      <c r="E149" s="20">
        <f>SUM(E125:E148)</f>
        <v/>
      </c>
      <c r="G149" s="21">
        <f>SUM(G125:G148)</f>
        <v/>
      </c>
      <c r="H149" s="18" t="inlineStr">
        <is>
          <t>سعر الكجم = قيمة الوصفة ÷ 228.659 كجم (معامل الإنتاجية كما بالوصفة)</t>
        </is>
      </c>
    </row>
    <row r="151">
      <c r="A151" s="4" t="inlineStr">
        <is>
          <t>كفته اسبشيال</t>
        </is>
      </c>
      <c r="B151" s="4" t="inlineStr">
        <is>
          <t>الوصفة الرئيسية</t>
        </is>
      </c>
      <c r="C151" s="4" t="inlineStr">
        <is>
          <t>مفروم فراخ شعبى</t>
        </is>
      </c>
      <c r="D151" s="4" t="inlineStr">
        <is>
          <t>مفروم فراخ شعبي</t>
        </is>
      </c>
      <c r="E151" s="17" t="n">
        <v>90</v>
      </c>
      <c r="F151" s="6">
        <f>'جرد الخامات آخر أغسطس'!I8</f>
        <v/>
      </c>
      <c r="G151" s="5">
        <f>E151*F151</f>
        <v/>
      </c>
      <c r="H151" s="4" t="inlineStr">
        <is>
          <t>مطابقة سعر يونيه بالوصفة مع سعر الصنف بالجرد</t>
        </is>
      </c>
    </row>
    <row r="152">
      <c r="A152" s="4" t="inlineStr">
        <is>
          <t>كفته اسبشيال</t>
        </is>
      </c>
      <c r="B152" s="4" t="inlineStr">
        <is>
          <t>الوصفة الرئيسية</t>
        </is>
      </c>
      <c r="C152" s="4" t="inlineStr">
        <is>
          <t>دهن</t>
        </is>
      </c>
      <c r="D152" s="4" t="inlineStr">
        <is>
          <t>دهن بلدي</t>
        </is>
      </c>
      <c r="E152" s="17" t="n">
        <v>60</v>
      </c>
      <c r="F152" s="6">
        <f>'جرد الخامات آخر أغسطس'!I13</f>
        <v/>
      </c>
      <c r="G152" s="5">
        <f>E152*F152</f>
        <v/>
      </c>
      <c r="H152" s="4" t="inlineStr">
        <is>
          <t>مطابقة سعر يونيه بالوصفة مع سعر الصنف بالجرد</t>
        </is>
      </c>
    </row>
    <row r="153">
      <c r="A153" s="4" t="inlineStr">
        <is>
          <t>كفته اسبشيال</t>
        </is>
      </c>
      <c r="B153" s="4" t="inlineStr">
        <is>
          <t>الوصفة الرئيسية</t>
        </is>
      </c>
      <c r="C153" s="4" t="inlineStr">
        <is>
          <t>فلفل</t>
        </is>
      </c>
      <c r="D153" s="4" t="inlineStr">
        <is>
          <t>—</t>
        </is>
      </c>
      <c r="E153" s="17" t="n">
        <v>15</v>
      </c>
      <c r="F153" s="6" t="n">
        <v>0</v>
      </c>
      <c r="G153" s="5">
        <f>E153*F153</f>
        <v/>
      </c>
      <c r="H153" s="8" t="inlineStr">
        <is>
          <t>غير محدد النوع (فلفل اسود/احمر/اخضر) — لا يمكن تحديد سعر بدقة دون توضيح</t>
        </is>
      </c>
    </row>
    <row r="154">
      <c r="A154" s="4" t="inlineStr">
        <is>
          <t>كفته اسبشيال</t>
        </is>
      </c>
      <c r="B154" s="4" t="inlineStr">
        <is>
          <t>الوصفة الرئيسية</t>
        </is>
      </c>
      <c r="C154" s="4" t="inlineStr">
        <is>
          <t>صويا</t>
        </is>
      </c>
      <c r="D154" s="4" t="inlineStr">
        <is>
          <t>صويا لحمه</t>
        </is>
      </c>
      <c r="E154" s="17" t="n">
        <v>27</v>
      </c>
      <c r="F154" s="6">
        <f>'جرد الخامات آخر أغسطس'!I10</f>
        <v/>
      </c>
      <c r="G154" s="5">
        <f>E154*F154</f>
        <v/>
      </c>
      <c r="H154" s="4" t="inlineStr">
        <is>
          <t>مطابقة سعر يونيه بالوصفة مع سعر الصنف بالجرد</t>
        </is>
      </c>
    </row>
    <row r="155">
      <c r="A155" s="4" t="inlineStr">
        <is>
          <t>كفته اسبشيال</t>
        </is>
      </c>
      <c r="B155" s="4" t="inlineStr">
        <is>
          <t>الوصفة الرئيسية</t>
        </is>
      </c>
      <c r="C155" s="4" t="inlineStr">
        <is>
          <t>فلفل احمر</t>
        </is>
      </c>
      <c r="D155" s="4" t="inlineStr">
        <is>
          <t>— (سعر ثابت بالوصفة)</t>
        </is>
      </c>
      <c r="E155" s="17" t="n">
        <v>15</v>
      </c>
      <c r="F155" s="6" t="n">
        <v>13</v>
      </c>
      <c r="G155" s="5">
        <f>E155*F155</f>
        <v/>
      </c>
      <c r="H155" s="8" t="inlineStr">
        <is>
          <t>لا يقابله صنف بالجرد — السعر ثابت كما بالوصفة</t>
        </is>
      </c>
    </row>
    <row r="156">
      <c r="A156" s="4" t="inlineStr">
        <is>
          <t>كفته اسبشيال</t>
        </is>
      </c>
      <c r="B156" s="4" t="inlineStr">
        <is>
          <t>الوصفة الرئيسية</t>
        </is>
      </c>
      <c r="C156" s="4" t="inlineStr">
        <is>
          <t>برغل</t>
        </is>
      </c>
      <c r="D156" s="4" t="inlineStr">
        <is>
          <t>برغل</t>
        </is>
      </c>
      <c r="E156" s="17" t="n">
        <v>15</v>
      </c>
      <c r="F156" s="6">
        <f>'جرد الخامات آخر أغسطس'!I20</f>
        <v/>
      </c>
      <c r="G156" s="5">
        <f>E156*F156</f>
        <v/>
      </c>
      <c r="H156" s="4" t="inlineStr">
        <is>
          <t>مطابقة سعر يونيه بالوصفة مع سعر الصنف بالجرد</t>
        </is>
      </c>
    </row>
    <row r="157">
      <c r="A157" s="4" t="inlineStr">
        <is>
          <t>كفته اسبشيال</t>
        </is>
      </c>
      <c r="B157" s="4" t="inlineStr">
        <is>
          <t>الوصفة الرئيسية</t>
        </is>
      </c>
      <c r="C157" s="4" t="inlineStr">
        <is>
          <t>نشا</t>
        </is>
      </c>
      <c r="D157" s="4" t="inlineStr">
        <is>
          <t>نشا</t>
        </is>
      </c>
      <c r="E157" s="17" t="n">
        <v>15</v>
      </c>
      <c r="F157" s="6">
        <f>'جرد الخامات آخر أغسطس'!I36</f>
        <v/>
      </c>
      <c r="G157" s="5">
        <f>E157*F157</f>
        <v/>
      </c>
      <c r="H157" s="4" t="inlineStr">
        <is>
          <t>مطابقة سعر يونيه بالوصفة مع سعر الصنف بالجرد</t>
        </is>
      </c>
    </row>
    <row r="158">
      <c r="A158" s="4" t="inlineStr">
        <is>
          <t>كفته اسبشيال</t>
        </is>
      </c>
      <c r="B158" s="4" t="inlineStr">
        <is>
          <t>الوصفة الرئيسية</t>
        </is>
      </c>
      <c r="C158" s="4" t="inlineStr">
        <is>
          <t>بصل</t>
        </is>
      </c>
      <c r="D158" s="4" t="inlineStr">
        <is>
          <t>بصل</t>
        </is>
      </c>
      <c r="E158" s="17" t="n">
        <v>30</v>
      </c>
      <c r="F158" s="6">
        <f>'جرد الخامات آخر أغسطس'!I5</f>
        <v/>
      </c>
      <c r="G158" s="5">
        <f>E158*F158</f>
        <v/>
      </c>
      <c r="H158" s="4" t="inlineStr">
        <is>
          <t>مطابقة سعر يونيه بالوصفة مع سعر الصنف بالجرد</t>
        </is>
      </c>
    </row>
    <row r="159">
      <c r="A159" s="4" t="inlineStr">
        <is>
          <t>كفته اسبشيال</t>
        </is>
      </c>
      <c r="B159" s="4" t="inlineStr">
        <is>
          <t>الوصفة الرئيسية</t>
        </is>
      </c>
      <c r="C159" s="4" t="inlineStr">
        <is>
          <t>سميد</t>
        </is>
      </c>
      <c r="D159" s="4" t="inlineStr">
        <is>
          <t>صميد</t>
        </is>
      </c>
      <c r="E159" s="17" t="n">
        <v>19.5</v>
      </c>
      <c r="F159" s="6">
        <f>'جرد الخامات آخر أغسطس'!I9</f>
        <v/>
      </c>
      <c r="G159" s="5">
        <f>E159*F159</f>
        <v/>
      </c>
      <c r="H159" s="4" t="inlineStr">
        <is>
          <t>مطابقة سعر يونيه بالوصفة مع سعر الصنف بالجرد</t>
        </is>
      </c>
    </row>
    <row r="160">
      <c r="A160" s="4" t="inlineStr">
        <is>
          <t>كفته اسبشيال</t>
        </is>
      </c>
      <c r="B160" s="4" t="inlineStr">
        <is>
          <t>الوصفة الرئيسية</t>
        </is>
      </c>
      <c r="C160" s="4" t="inlineStr">
        <is>
          <t>مياه</t>
        </is>
      </c>
      <c r="D160" s="4" t="inlineStr">
        <is>
          <t>—</t>
        </is>
      </c>
      <c r="E160" s="17" t="n">
        <v>60</v>
      </c>
      <c r="F160" s="6" t="n">
        <v>0</v>
      </c>
      <c r="G160" s="5">
        <f>E160*F160</f>
        <v/>
      </c>
      <c r="H160" s="8" t="inlineStr">
        <is>
          <t>لا يوجد سعر شراء مسجل للمياه ضمن الخامات — عادة تكلفة مرافق غير مباشرة</t>
        </is>
      </c>
    </row>
    <row r="161">
      <c r="A161" s="4" t="inlineStr">
        <is>
          <t>كفته اسبشيال</t>
        </is>
      </c>
      <c r="B161" s="4" t="inlineStr">
        <is>
          <t>الوصفة الرئيسية</t>
        </is>
      </c>
      <c r="C161" s="4" t="inlineStr">
        <is>
          <t>مونوصوديم</t>
        </is>
      </c>
      <c r="D161" s="4" t="inlineStr">
        <is>
          <t>جلتومات</t>
        </is>
      </c>
      <c r="E161" s="17" t="n">
        <v>1.2</v>
      </c>
      <c r="F161" s="6">
        <f>'جرد الخامات آخر أغسطس'!I57</f>
        <v/>
      </c>
      <c r="G161" s="5">
        <f>E161*F161</f>
        <v/>
      </c>
      <c r="H161" s="4" t="inlineStr">
        <is>
          <t>مطابقة سعر يونيه بالوصفة مع سعر الصنف بالجرد</t>
        </is>
      </c>
    </row>
    <row r="162">
      <c r="A162" s="4" t="inlineStr">
        <is>
          <t>كفته اسبشيال</t>
        </is>
      </c>
      <c r="B162" s="4" t="inlineStr">
        <is>
          <t>الوصفة الرئيسية</t>
        </is>
      </c>
      <c r="C162" s="4" t="inlineStr">
        <is>
          <t>ايزوليت</t>
        </is>
      </c>
      <c r="D162" s="4" t="inlineStr">
        <is>
          <t>صويا اوزيليت</t>
        </is>
      </c>
      <c r="E162" s="17" t="n">
        <v>4.5</v>
      </c>
      <c r="F162" s="6">
        <f>'جرد الخامات آخر أغسطس'!I11</f>
        <v/>
      </c>
      <c r="G162" s="5">
        <f>E162*F162</f>
        <v/>
      </c>
      <c r="H162" s="4" t="inlineStr">
        <is>
          <t>مطابقة سعر يونيه بالوصفة مع سعر الصنف بالجرد</t>
        </is>
      </c>
    </row>
    <row r="163">
      <c r="A163" s="4" t="inlineStr">
        <is>
          <t>كفته اسبشيال</t>
        </is>
      </c>
      <c r="B163" s="4" t="inlineStr">
        <is>
          <t>الوصفة الرئيسية</t>
        </is>
      </c>
      <c r="C163" s="4" t="inlineStr">
        <is>
          <t>كزبرة</t>
        </is>
      </c>
      <c r="D163" s="4" t="inlineStr">
        <is>
          <t>كزبره</t>
        </is>
      </c>
      <c r="E163" s="17" t="n">
        <v>0.75</v>
      </c>
      <c r="F163" s="6">
        <f>'جرد الخامات آخر أغسطس'!I45</f>
        <v/>
      </c>
      <c r="G163" s="5">
        <f>E163*F163</f>
        <v/>
      </c>
      <c r="H163" s="4" t="inlineStr">
        <is>
          <t>مطابقة سعر يونيه بالوصفة مع سعر الصنف بالجرد</t>
        </is>
      </c>
    </row>
    <row r="164">
      <c r="A164" s="4" t="inlineStr">
        <is>
          <t>كفته اسبشيال</t>
        </is>
      </c>
      <c r="B164" s="4" t="inlineStr">
        <is>
          <t>الوصفة الرئيسية</t>
        </is>
      </c>
      <c r="C164" s="4" t="inlineStr">
        <is>
          <t>كبابة</t>
        </is>
      </c>
      <c r="D164" s="4" t="inlineStr">
        <is>
          <t>كبابه</t>
        </is>
      </c>
      <c r="E164" s="17" t="n">
        <v>0</v>
      </c>
      <c r="F164" s="6">
        <f>'جرد الخامات آخر أغسطس'!I41</f>
        <v/>
      </c>
      <c r="G164" s="5">
        <f>E164*F164</f>
        <v/>
      </c>
      <c r="H164" s="4" t="inlineStr">
        <is>
          <t>مطابقة سعر يونيه بالوصفة مع سعر الصنف بالجرد</t>
        </is>
      </c>
    </row>
    <row r="165">
      <c r="A165" s="4" t="inlineStr">
        <is>
          <t>كفته اسبشيال</t>
        </is>
      </c>
      <c r="B165" s="4" t="inlineStr">
        <is>
          <t>الوصفة الرئيسية</t>
        </is>
      </c>
      <c r="C165" s="4" t="inlineStr">
        <is>
          <t>قرنفل</t>
        </is>
      </c>
      <c r="D165" s="4" t="inlineStr">
        <is>
          <t>قرنفل</t>
        </is>
      </c>
      <c r="E165" s="17" t="n">
        <v>0</v>
      </c>
      <c r="F165" s="6">
        <f>'جرد الخامات آخر أغسطس'!I38</f>
        <v/>
      </c>
      <c r="G165" s="5">
        <f>E165*F165</f>
        <v/>
      </c>
      <c r="H165" s="4" t="inlineStr">
        <is>
          <t>مطابقة سعر يونيه بالوصفة مع سعر الصنف بالجرد</t>
        </is>
      </c>
    </row>
    <row r="166">
      <c r="A166" s="4" t="inlineStr">
        <is>
          <t>كفته اسبشيال</t>
        </is>
      </c>
      <c r="B166" s="4" t="inlineStr">
        <is>
          <t>الوصفة الرئيسية</t>
        </is>
      </c>
      <c r="C166" s="4" t="inlineStr">
        <is>
          <t>قرفه</t>
        </is>
      </c>
      <c r="D166" s="4" t="inlineStr">
        <is>
          <t>قرفه</t>
        </is>
      </c>
      <c r="E166" s="17" t="n">
        <v>0</v>
      </c>
      <c r="F166" s="6">
        <f>'جرد الخامات آخر أغسطس'!I46</f>
        <v/>
      </c>
      <c r="G166" s="5">
        <f>E166*F166</f>
        <v/>
      </c>
      <c r="H166" s="4" t="inlineStr">
        <is>
          <t>مطابقة سعر يونيه بالوصفة مع سعر الصنف بالجرد</t>
        </is>
      </c>
    </row>
    <row r="167">
      <c r="A167" s="4" t="inlineStr">
        <is>
          <t>كفته اسبشيال</t>
        </is>
      </c>
      <c r="B167" s="4" t="inlineStr">
        <is>
          <t>الوصفة الرئيسية</t>
        </is>
      </c>
      <c r="C167" s="4" t="inlineStr">
        <is>
          <t>فوسفات</t>
        </is>
      </c>
      <c r="D167" s="4" t="inlineStr">
        <is>
          <t>فوسفات</t>
        </is>
      </c>
      <c r="E167" s="17" t="n">
        <v>1.8</v>
      </c>
      <c r="F167" s="6">
        <f>'جرد الخامات آخر أغسطس'!I56</f>
        <v/>
      </c>
      <c r="G167" s="5">
        <f>E167*F167</f>
        <v/>
      </c>
      <c r="H167" s="4" t="inlineStr">
        <is>
          <t>مطابقة سعر يونيه بالوصفة مع سعر الصنف بالجرد</t>
        </is>
      </c>
    </row>
    <row r="168">
      <c r="A168" s="4" t="inlineStr">
        <is>
          <t>كفته اسبشيال</t>
        </is>
      </c>
      <c r="B168" s="4" t="inlineStr">
        <is>
          <t>الوصفة الرئيسية</t>
        </is>
      </c>
      <c r="C168" s="4" t="inlineStr">
        <is>
          <t>ينسون</t>
        </is>
      </c>
      <c r="D168" s="4" t="inlineStr">
        <is>
          <t>ينسون</t>
        </is>
      </c>
      <c r="E168" s="17" t="n">
        <v>0</v>
      </c>
      <c r="F168" s="6">
        <f>'جرد الخامات آخر أغسطس'!I50</f>
        <v/>
      </c>
      <c r="G168" s="5">
        <f>E168*F168</f>
        <v/>
      </c>
      <c r="H168" s="4" t="inlineStr">
        <is>
          <t>مطابقة سعر يونيه بالوصفة مع سعر الصنف بالجرد</t>
        </is>
      </c>
    </row>
    <row r="169">
      <c r="A169" s="4" t="inlineStr">
        <is>
          <t>كفته اسبشيال</t>
        </is>
      </c>
      <c r="B169" s="4" t="inlineStr">
        <is>
          <t>الوصفة الرئيسية</t>
        </is>
      </c>
      <c r="C169" s="4" t="inlineStr">
        <is>
          <t>شطة</t>
        </is>
      </c>
      <c r="D169" s="4" t="inlineStr">
        <is>
          <t>شطه</t>
        </is>
      </c>
      <c r="E169" s="17" t="n">
        <v>0.15</v>
      </c>
      <c r="F169" s="6">
        <f>'جرد الخامات آخر أغسطس'!I48</f>
        <v/>
      </c>
      <c r="G169" s="5">
        <f>E169*F169</f>
        <v/>
      </c>
      <c r="H169" s="4" t="inlineStr">
        <is>
          <t>مطابقة سعر يونيه بالوصفة مع سعر الصنف بالجرد</t>
        </is>
      </c>
    </row>
    <row r="170">
      <c r="A170" s="4" t="inlineStr">
        <is>
          <t>كفته اسبشيال</t>
        </is>
      </c>
      <c r="B170" s="4" t="inlineStr">
        <is>
          <t>الوصفة الرئيسية</t>
        </is>
      </c>
      <c r="C170" s="4" t="inlineStr">
        <is>
          <t>ملح</t>
        </is>
      </c>
      <c r="D170" s="4" t="inlineStr">
        <is>
          <t>الملح</t>
        </is>
      </c>
      <c r="E170" s="17" t="n">
        <v>5.1</v>
      </c>
      <c r="F170" s="6">
        <f>'جرد الخامات آخر أغسطس'!I55</f>
        <v/>
      </c>
      <c r="G170" s="5">
        <f>E170*F170</f>
        <v/>
      </c>
      <c r="H170" s="4" t="inlineStr">
        <is>
          <t>مطابقة سعر يونيه بالوصفة مع سعر الصنف بالجرد</t>
        </is>
      </c>
    </row>
    <row r="171">
      <c r="A171" s="4" t="inlineStr">
        <is>
          <t>كفته اسبشيال</t>
        </is>
      </c>
      <c r="B171" s="4" t="inlineStr">
        <is>
          <t>الوصفة الرئيسية</t>
        </is>
      </c>
      <c r="C171" s="4" t="inlineStr">
        <is>
          <t>فلفل اسود</t>
        </is>
      </c>
      <c r="D171" s="4" t="inlineStr">
        <is>
          <t>فلفل اسود</t>
        </is>
      </c>
      <c r="E171" s="17" t="n">
        <v>1.5</v>
      </c>
      <c r="F171" s="6">
        <f>'جرد الخامات آخر أغسطس'!I37</f>
        <v/>
      </c>
      <c r="G171" s="5">
        <f>E171*F171</f>
        <v/>
      </c>
      <c r="H171" s="4" t="inlineStr">
        <is>
          <t>مطابقة سعر يونيه بالوصفة مع سعر الصنف بالجرد</t>
        </is>
      </c>
    </row>
    <row r="172">
      <c r="A172" s="4" t="inlineStr">
        <is>
          <t>كفته اسبشيال</t>
        </is>
      </c>
      <c r="B172" s="4" t="inlineStr">
        <is>
          <t>الوصفة الرئيسية</t>
        </is>
      </c>
      <c r="C172" s="4" t="inlineStr">
        <is>
          <t>جبهان</t>
        </is>
      </c>
      <c r="D172" s="4" t="inlineStr">
        <is>
          <t>حبهان</t>
        </is>
      </c>
      <c r="E172" s="17" t="n">
        <v>0.12</v>
      </c>
      <c r="F172" s="6">
        <f>'جرد الخامات آخر أغسطس'!I51</f>
        <v/>
      </c>
      <c r="G172" s="5">
        <f>E172*F172</f>
        <v/>
      </c>
      <c r="H172" s="4" t="inlineStr">
        <is>
          <t>مطابقة سعر يونيه بالوصفة مع سعر الصنف بالجرد</t>
        </is>
      </c>
    </row>
    <row r="173">
      <c r="A173" s="4" t="inlineStr">
        <is>
          <t>كفته اسبشيال</t>
        </is>
      </c>
      <c r="B173" s="4" t="inlineStr">
        <is>
          <t>الوصفة الرئيسية</t>
        </is>
      </c>
      <c r="C173" s="4" t="inlineStr">
        <is>
          <t>لورى</t>
        </is>
      </c>
      <c r="D173" s="4" t="inlineStr">
        <is>
          <t>لورا</t>
        </is>
      </c>
      <c r="E173" s="17" t="n">
        <v>0.3</v>
      </c>
      <c r="F173" s="6">
        <f>'جرد الخامات آخر أغسطس'!I43</f>
        <v/>
      </c>
      <c r="G173" s="5">
        <f>E173*F173</f>
        <v/>
      </c>
      <c r="H173" s="4" t="inlineStr">
        <is>
          <t>مطابقة سعر يونيه بالوصفة مع سعر الصنف بالجرد</t>
        </is>
      </c>
    </row>
    <row r="174">
      <c r="A174" s="4" t="inlineStr">
        <is>
          <t>كفته اسبشيال</t>
        </is>
      </c>
      <c r="B174" s="4" t="inlineStr">
        <is>
          <t>الوصفة الرئيسية</t>
        </is>
      </c>
      <c r="C174" s="4" t="inlineStr">
        <is>
          <t>طعم شواء</t>
        </is>
      </c>
      <c r="D174" s="4" t="inlineStr">
        <is>
          <t>طعم شواي</t>
        </is>
      </c>
      <c r="E174" s="17" t="n">
        <v>0.75</v>
      </c>
      <c r="F174" s="6">
        <f>'جرد الخامات آخر أغسطس'!I64</f>
        <v/>
      </c>
      <c r="G174" s="5">
        <f>E174*F174</f>
        <v/>
      </c>
      <c r="H174" s="4" t="inlineStr">
        <is>
          <t>مطابقة سعر يونيه بالوصفة مع سعر الصنف بالجرد</t>
        </is>
      </c>
    </row>
    <row r="175">
      <c r="A175" s="4" t="inlineStr">
        <is>
          <t>كفته اسبشيال</t>
        </is>
      </c>
      <c r="B175" s="4" t="inlineStr">
        <is>
          <t>الوصفة الرئيسية</t>
        </is>
      </c>
      <c r="C175" s="4" t="inlineStr">
        <is>
          <t>طعم كفته</t>
        </is>
      </c>
      <c r="D175" s="4" t="inlineStr">
        <is>
          <t>طعم كفته</t>
        </is>
      </c>
      <c r="E175" s="17" t="n">
        <v>0.75</v>
      </c>
      <c r="F175" s="6">
        <f>'جرد الخامات آخر أغسطس'!I61</f>
        <v/>
      </c>
      <c r="G175" s="5">
        <f>E175*F175</f>
        <v/>
      </c>
      <c r="H175" s="4" t="inlineStr">
        <is>
          <t>مطابقة سعر يونيه بالوصفة مع سعر الصنف بالجرد</t>
        </is>
      </c>
    </row>
    <row r="176">
      <c r="A176" s="4" t="inlineStr">
        <is>
          <t>كفته اسبشيال</t>
        </is>
      </c>
      <c r="B176" s="4" t="inlineStr">
        <is>
          <t>الوصفة الرئيسية</t>
        </is>
      </c>
      <c r="C176" s="4" t="inlineStr">
        <is>
          <t>طعم ليه</t>
        </is>
      </c>
      <c r="D176" s="4" t="inlineStr">
        <is>
          <t>طعم ليه</t>
        </is>
      </c>
      <c r="E176" s="17" t="n">
        <v>1.2</v>
      </c>
      <c r="F176" s="6">
        <f>'جرد الخامات آخر أغسطس'!I60</f>
        <v/>
      </c>
      <c r="G176" s="5">
        <f>E176*F176</f>
        <v/>
      </c>
      <c r="H176" s="4" t="inlineStr">
        <is>
          <t>مطابقة سعر يونيه بالوصفة مع سعر الصنف بالجرد</t>
        </is>
      </c>
    </row>
    <row r="177">
      <c r="A177" s="4" t="inlineStr">
        <is>
          <t>كفته اسبشيال</t>
        </is>
      </c>
      <c r="B177" s="4" t="inlineStr">
        <is>
          <t>الوصفة الرئيسية</t>
        </is>
      </c>
      <c r="C177" s="4" t="inlineStr">
        <is>
          <t>طعم بيف</t>
        </is>
      </c>
      <c r="D177" s="4" t="inlineStr">
        <is>
          <t>طعم بيف</t>
        </is>
      </c>
      <c r="E177" s="17" t="n">
        <v>0.75</v>
      </c>
      <c r="F177" s="6">
        <f>'جرد الخامات آخر أغسطس'!I63</f>
        <v/>
      </c>
      <c r="G177" s="5">
        <f>E177*F177</f>
        <v/>
      </c>
      <c r="H177" s="4" t="inlineStr">
        <is>
          <t>مطابقة سعر يونيه بالوصفة مع سعر الصنف بالجرد</t>
        </is>
      </c>
    </row>
    <row r="178">
      <c r="A178" s="4" t="inlineStr">
        <is>
          <t>كفته اسبشيال</t>
        </is>
      </c>
      <c r="B178" s="4" t="inlineStr">
        <is>
          <t>الوصفة الرئيسية</t>
        </is>
      </c>
      <c r="C178" s="4" t="inlineStr">
        <is>
          <t>لون احمر</t>
        </is>
      </c>
      <c r="D178" s="4" t="inlineStr">
        <is>
          <t>لون طبيعي</t>
        </is>
      </c>
      <c r="E178" s="17" t="n">
        <v>0.03</v>
      </c>
      <c r="F178" s="6">
        <f>'جرد الخامات آخر أغسطس'!I70</f>
        <v/>
      </c>
      <c r="G178" s="5">
        <f>E178*F178</f>
        <v/>
      </c>
      <c r="H178" s="4" t="inlineStr">
        <is>
          <t>مطابقة سعر يونيه بالوصفة مع سعر الصنف بالجرد</t>
        </is>
      </c>
    </row>
    <row r="179">
      <c r="A179" s="18" t="inlineStr">
        <is>
          <t>كفته اسبشيال</t>
        </is>
      </c>
      <c r="B179" s="19" t="inlineStr">
        <is>
          <t>إجمالى الوصفة الرئيسية</t>
        </is>
      </c>
      <c r="E179" s="20">
        <f>SUM(E151:E178)</f>
        <v/>
      </c>
      <c r="G179" s="21">
        <f>SUM(G151:G178)</f>
        <v/>
      </c>
      <c r="H179" s="18" t="inlineStr">
        <is>
          <t>سعر الكجم = قيمة الوصفة ÷ 365.4 كجم (معامل الإنتاجية كما بالوصفة)</t>
        </is>
      </c>
    </row>
    <row r="181">
      <c r="A181" s="4" t="inlineStr">
        <is>
          <t>سجق الهنا</t>
        </is>
      </c>
      <c r="B181" s="4" t="inlineStr">
        <is>
          <t>الوصفة الرئيسية</t>
        </is>
      </c>
      <c r="C181" s="4" t="inlineStr">
        <is>
          <t>مفروم فراخ شعبى</t>
        </is>
      </c>
      <c r="D181" s="4" t="inlineStr">
        <is>
          <t>مفروم فراخ شعبي</t>
        </is>
      </c>
      <c r="E181" s="17" t="n">
        <v>60</v>
      </c>
      <c r="F181" s="6">
        <f>'جرد الخامات آخر أغسطس'!I8</f>
        <v/>
      </c>
      <c r="G181" s="5">
        <f>E181*F181</f>
        <v/>
      </c>
      <c r="H181" s="4" t="inlineStr">
        <is>
          <t>مطابقة سعر يونيه بالوصفة مع سعر الصنف بالجرد</t>
        </is>
      </c>
    </row>
    <row r="182">
      <c r="A182" s="4" t="inlineStr">
        <is>
          <t>سجق الهنا</t>
        </is>
      </c>
      <c r="B182" s="4" t="inlineStr">
        <is>
          <t>الوصفة الرئيسية</t>
        </is>
      </c>
      <c r="C182" s="4" t="inlineStr">
        <is>
          <t>دهن</t>
        </is>
      </c>
      <c r="D182" s="4" t="inlineStr">
        <is>
          <t>دهن بلدي</t>
        </is>
      </c>
      <c r="E182" s="17" t="n">
        <v>27</v>
      </c>
      <c r="F182" s="6">
        <f>'جرد الخامات آخر أغسطس'!I13</f>
        <v/>
      </c>
      <c r="G182" s="5">
        <f>E182*F182</f>
        <v/>
      </c>
      <c r="H182" s="4" t="inlineStr">
        <is>
          <t>مطابقة سعر يونيه بالوصفة مع سعر الصنف بالجرد</t>
        </is>
      </c>
    </row>
    <row r="183">
      <c r="A183" s="4" t="inlineStr">
        <is>
          <t>سجق الهنا</t>
        </is>
      </c>
      <c r="B183" s="4" t="inlineStr">
        <is>
          <t>الوصفة الرئيسية</t>
        </is>
      </c>
      <c r="C183" s="4" t="inlineStr">
        <is>
          <t>فلفل</t>
        </is>
      </c>
      <c r="D183" s="4" t="inlineStr">
        <is>
          <t>—</t>
        </is>
      </c>
      <c r="E183" s="17" t="n">
        <v>0</v>
      </c>
      <c r="F183" s="6" t="n">
        <v>0</v>
      </c>
      <c r="G183" s="5">
        <f>E183*F183</f>
        <v/>
      </c>
      <c r="H183" s="8" t="inlineStr">
        <is>
          <t>غير محدد النوع (فلفل اسود/احمر/اخضر) — لا يمكن تحديد سعر بدقة دون توضيح</t>
        </is>
      </c>
    </row>
    <row r="184">
      <c r="A184" s="4" t="inlineStr">
        <is>
          <t>سجق الهنا</t>
        </is>
      </c>
      <c r="B184" s="4" t="inlineStr">
        <is>
          <t>الوصفة الرئيسية</t>
        </is>
      </c>
      <c r="C184" s="4" t="inlineStr">
        <is>
          <t>صويا</t>
        </is>
      </c>
      <c r="D184" s="4" t="inlineStr">
        <is>
          <t>صويا لحمه</t>
        </is>
      </c>
      <c r="E184" s="17" t="n">
        <v>15</v>
      </c>
      <c r="F184" s="6">
        <f>'جرد الخامات آخر أغسطس'!I10</f>
        <v/>
      </c>
      <c r="G184" s="5">
        <f>E184*F184</f>
        <v/>
      </c>
      <c r="H184" s="4" t="inlineStr">
        <is>
          <t>مطابقة سعر يونيه بالوصفة مع سعر الصنف بالجرد</t>
        </is>
      </c>
    </row>
    <row r="185">
      <c r="A185" s="4" t="inlineStr">
        <is>
          <t>سجق الهنا</t>
        </is>
      </c>
      <c r="B185" s="4" t="inlineStr">
        <is>
          <t>الوصفة الرئيسية</t>
        </is>
      </c>
      <c r="C185" s="4" t="inlineStr">
        <is>
          <t>برغل</t>
        </is>
      </c>
      <c r="D185" s="4" t="inlineStr">
        <is>
          <t>برغل</t>
        </is>
      </c>
      <c r="E185" s="17" t="n">
        <v>22.5</v>
      </c>
      <c r="F185" s="6">
        <f>'جرد الخامات آخر أغسطس'!I20</f>
        <v/>
      </c>
      <c r="G185" s="5">
        <f>E185*F185</f>
        <v/>
      </c>
      <c r="H185" s="4" t="inlineStr">
        <is>
          <t>مطابقة سعر يونيه بالوصفة مع سعر الصنف بالجرد</t>
        </is>
      </c>
    </row>
    <row r="186">
      <c r="A186" s="4" t="inlineStr">
        <is>
          <t>سجق الهنا</t>
        </is>
      </c>
      <c r="B186" s="4" t="inlineStr">
        <is>
          <t>الوصفة الرئيسية</t>
        </is>
      </c>
      <c r="C186" s="4" t="inlineStr">
        <is>
          <t>جلد</t>
        </is>
      </c>
      <c r="D186" s="4" t="inlineStr">
        <is>
          <t>جلد</t>
        </is>
      </c>
      <c r="E186" s="17" t="n">
        <v>0</v>
      </c>
      <c r="F186" s="6">
        <f>'جرد الخامات آخر أغسطس'!I23</f>
        <v/>
      </c>
      <c r="G186" s="5">
        <f>E186*F186</f>
        <v/>
      </c>
      <c r="H186" s="4" t="inlineStr">
        <is>
          <t>مطابقة سعر يونيه بالوصفة مع سعر الصنف بالجرد</t>
        </is>
      </c>
    </row>
    <row r="187">
      <c r="A187" s="4" t="inlineStr">
        <is>
          <t>سجق الهنا</t>
        </is>
      </c>
      <c r="B187" s="4" t="inlineStr">
        <is>
          <t>الوصفة الرئيسية</t>
        </is>
      </c>
      <c r="C187" s="4" t="inlineStr">
        <is>
          <t>توام</t>
        </is>
      </c>
      <c r="D187" s="4" t="inlineStr">
        <is>
          <t>ثوم</t>
        </is>
      </c>
      <c r="E187" s="17" t="n">
        <v>7.5</v>
      </c>
      <c r="F187" s="6">
        <f>'جرد الخامات آخر أغسطس'!I6</f>
        <v/>
      </c>
      <c r="G187" s="5">
        <f>E187*F187</f>
        <v/>
      </c>
      <c r="H187" s="4" t="inlineStr">
        <is>
          <t>مطابقة سعر يونيه بالوصفة مع سعر الصنف بالجرد</t>
        </is>
      </c>
    </row>
    <row r="188">
      <c r="A188" s="4" t="inlineStr">
        <is>
          <t>سجق الهنا</t>
        </is>
      </c>
      <c r="B188" s="4" t="inlineStr">
        <is>
          <t>الوصفة الرئيسية</t>
        </is>
      </c>
      <c r="C188" s="4" t="inlineStr">
        <is>
          <t>سميد</t>
        </is>
      </c>
      <c r="D188" s="4" t="inlineStr">
        <is>
          <t>صميد</t>
        </is>
      </c>
      <c r="E188" s="17" t="n">
        <v>21</v>
      </c>
      <c r="F188" s="6">
        <f>'جرد الخامات آخر أغسطس'!I9</f>
        <v/>
      </c>
      <c r="G188" s="5">
        <f>E188*F188</f>
        <v/>
      </c>
      <c r="H188" s="4" t="inlineStr">
        <is>
          <t>مطابقة سعر يونيه بالوصفة مع سعر الصنف بالجرد</t>
        </is>
      </c>
    </row>
    <row r="189">
      <c r="A189" s="4" t="inlineStr">
        <is>
          <t>سجق الهنا</t>
        </is>
      </c>
      <c r="B189" s="4" t="inlineStr">
        <is>
          <t>الوصفة الرئيسية</t>
        </is>
      </c>
      <c r="C189" s="4" t="inlineStr">
        <is>
          <t>مياه</t>
        </is>
      </c>
      <c r="D189" s="4" t="inlineStr">
        <is>
          <t>—</t>
        </is>
      </c>
      <c r="E189" s="17" t="n">
        <v>67.5</v>
      </c>
      <c r="F189" s="6" t="n">
        <v>0</v>
      </c>
      <c r="G189" s="5">
        <f>E189*F189</f>
        <v/>
      </c>
      <c r="H189" s="8" t="inlineStr">
        <is>
          <t>لا يوجد سعر شراء مسجل للمياه ضمن الخامات — عادة تكلفة مرافق غير مباشرة</t>
        </is>
      </c>
    </row>
    <row r="190">
      <c r="A190" s="4" t="inlineStr">
        <is>
          <t>سجق الهنا</t>
        </is>
      </c>
      <c r="B190" s="4" t="inlineStr">
        <is>
          <t>الوصفة الرئيسية</t>
        </is>
      </c>
      <c r="C190" s="4" t="inlineStr">
        <is>
          <t>مونوصوديم</t>
        </is>
      </c>
      <c r="D190" s="4" t="inlineStr">
        <is>
          <t>جلتومات</t>
        </is>
      </c>
      <c r="E190" s="17" t="n">
        <v>0.9</v>
      </c>
      <c r="F190" s="6">
        <f>'جرد الخامات آخر أغسطس'!I57</f>
        <v/>
      </c>
      <c r="G190" s="5">
        <f>E190*F190</f>
        <v/>
      </c>
      <c r="H190" s="4" t="inlineStr">
        <is>
          <t>مطابقة سعر يونيه بالوصفة مع سعر الصنف بالجرد</t>
        </is>
      </c>
    </row>
    <row r="191">
      <c r="A191" s="4" t="inlineStr">
        <is>
          <t>سجق الهنا</t>
        </is>
      </c>
      <c r="B191" s="4" t="inlineStr">
        <is>
          <t>الوصفة الرئيسية</t>
        </is>
      </c>
      <c r="C191" s="4" t="inlineStr">
        <is>
          <t>لون احمر</t>
        </is>
      </c>
      <c r="D191" s="4" t="inlineStr">
        <is>
          <t>لون طبيعي</t>
        </is>
      </c>
      <c r="E191" s="17" t="n">
        <v>0</v>
      </c>
      <c r="F191" s="6">
        <f>'جرد الخامات آخر أغسطس'!I70</f>
        <v/>
      </c>
      <c r="G191" s="5">
        <f>E191*F191</f>
        <v/>
      </c>
      <c r="H191" s="4" t="inlineStr">
        <is>
          <t>مطابقة سعر يونيه بالوصفة مع سعر الصنف بالجرد</t>
        </is>
      </c>
    </row>
    <row r="192">
      <c r="A192" s="4" t="inlineStr">
        <is>
          <t>سجق الهنا</t>
        </is>
      </c>
      <c r="B192" s="4" t="inlineStr">
        <is>
          <t>الوصفة الرئيسية</t>
        </is>
      </c>
      <c r="C192" s="4" t="inlineStr">
        <is>
          <t>كزبرة</t>
        </is>
      </c>
      <c r="D192" s="4" t="inlineStr">
        <is>
          <t>كزبره</t>
        </is>
      </c>
      <c r="E192" s="17" t="n">
        <v>0</v>
      </c>
      <c r="F192" s="6">
        <f>'جرد الخامات آخر أغسطس'!I45</f>
        <v/>
      </c>
      <c r="G192" s="5">
        <f>E192*F192</f>
        <v/>
      </c>
      <c r="H192" s="4" t="inlineStr">
        <is>
          <t>مطابقة سعر يونيه بالوصفة مع سعر الصنف بالجرد</t>
        </is>
      </c>
    </row>
    <row r="193">
      <c r="A193" s="4" t="inlineStr">
        <is>
          <t>سجق الهنا</t>
        </is>
      </c>
      <c r="B193" s="4" t="inlineStr">
        <is>
          <t>الوصفة الرئيسية</t>
        </is>
      </c>
      <c r="C193" s="4" t="inlineStr">
        <is>
          <t>كبابة</t>
        </is>
      </c>
      <c r="D193" s="4" t="inlineStr">
        <is>
          <t>كبابه</t>
        </is>
      </c>
      <c r="E193" s="17" t="n">
        <v>0</v>
      </c>
      <c r="F193" s="6">
        <f>'جرد الخامات آخر أغسطس'!I41</f>
        <v/>
      </c>
      <c r="G193" s="5">
        <f>E193*F193</f>
        <v/>
      </c>
      <c r="H193" s="4" t="inlineStr">
        <is>
          <t>مطابقة سعر يونيه بالوصفة مع سعر الصنف بالجرد</t>
        </is>
      </c>
    </row>
    <row r="194">
      <c r="A194" s="4" t="inlineStr">
        <is>
          <t>سجق الهنا</t>
        </is>
      </c>
      <c r="B194" s="4" t="inlineStr">
        <is>
          <t>الوصفة الرئيسية</t>
        </is>
      </c>
      <c r="C194" s="4" t="inlineStr">
        <is>
          <t>قرنفل</t>
        </is>
      </c>
      <c r="D194" s="4" t="inlineStr">
        <is>
          <t>قرنفل</t>
        </is>
      </c>
      <c r="E194" s="17" t="n">
        <v>0.15</v>
      </c>
      <c r="F194" s="6">
        <f>'جرد الخامات آخر أغسطس'!I38</f>
        <v/>
      </c>
      <c r="G194" s="5">
        <f>E194*F194</f>
        <v/>
      </c>
      <c r="H194" s="4" t="inlineStr">
        <is>
          <t>مطابقة سعر يونيه بالوصفة مع سعر الصنف بالجرد</t>
        </is>
      </c>
    </row>
    <row r="195">
      <c r="A195" s="4" t="inlineStr">
        <is>
          <t>سجق الهنا</t>
        </is>
      </c>
      <c r="B195" s="4" t="inlineStr">
        <is>
          <t>الوصفة الرئيسية</t>
        </is>
      </c>
      <c r="C195" s="4" t="inlineStr">
        <is>
          <t>قرفه</t>
        </is>
      </c>
      <c r="D195" s="4" t="inlineStr">
        <is>
          <t>قرفه</t>
        </is>
      </c>
      <c r="E195" s="17" t="n">
        <v>0.24</v>
      </c>
      <c r="F195" s="6">
        <f>'جرد الخامات آخر أغسطس'!I46</f>
        <v/>
      </c>
      <c r="G195" s="5">
        <f>E195*F195</f>
        <v/>
      </c>
      <c r="H195" s="4" t="inlineStr">
        <is>
          <t>مطابقة سعر يونيه بالوصفة مع سعر الصنف بالجرد</t>
        </is>
      </c>
    </row>
    <row r="196">
      <c r="A196" s="4" t="inlineStr">
        <is>
          <t>سجق الهنا</t>
        </is>
      </c>
      <c r="B196" s="4" t="inlineStr">
        <is>
          <t>الوصفة الرئيسية</t>
        </is>
      </c>
      <c r="C196" s="4" t="inlineStr">
        <is>
          <t>فوسفات</t>
        </is>
      </c>
      <c r="D196" s="4" t="inlineStr">
        <is>
          <t>فوسفات</t>
        </is>
      </c>
      <c r="E196" s="17" t="n">
        <v>0.15</v>
      </c>
      <c r="F196" s="6">
        <f>'جرد الخامات آخر أغسطس'!I56</f>
        <v/>
      </c>
      <c r="G196" s="5">
        <f>E196*F196</f>
        <v/>
      </c>
      <c r="H196" s="4" t="inlineStr">
        <is>
          <t>مطابقة سعر يونيه بالوصفة مع سعر الصنف بالجرد</t>
        </is>
      </c>
    </row>
    <row r="197">
      <c r="A197" s="4" t="inlineStr">
        <is>
          <t>سجق الهنا</t>
        </is>
      </c>
      <c r="B197" s="4" t="inlineStr">
        <is>
          <t>الوصفة الرئيسية</t>
        </is>
      </c>
      <c r="C197" s="4" t="inlineStr">
        <is>
          <t>ينسون</t>
        </is>
      </c>
      <c r="D197" s="4" t="inlineStr">
        <is>
          <t>ينسون</t>
        </is>
      </c>
      <c r="E197" s="17" t="n">
        <v>0.12</v>
      </c>
      <c r="F197" s="6">
        <f>'جرد الخامات آخر أغسطس'!I50</f>
        <v/>
      </c>
      <c r="G197" s="5">
        <f>E197*F197</f>
        <v/>
      </c>
      <c r="H197" s="4" t="inlineStr">
        <is>
          <t>مطابقة سعر يونيه بالوصفة مع سعر الصنف بالجرد</t>
        </is>
      </c>
    </row>
    <row r="198">
      <c r="A198" s="4" t="inlineStr">
        <is>
          <t>سجق الهنا</t>
        </is>
      </c>
      <c r="B198" s="4" t="inlineStr">
        <is>
          <t>الوصفة الرئيسية</t>
        </is>
      </c>
      <c r="C198" s="4" t="inlineStr">
        <is>
          <t>شطة</t>
        </is>
      </c>
      <c r="D198" s="4" t="inlineStr">
        <is>
          <t>شطه</t>
        </is>
      </c>
      <c r="E198" s="17" t="n">
        <v>0.42</v>
      </c>
      <c r="F198" s="6">
        <f>'جرد الخامات آخر أغسطس'!I48</f>
        <v/>
      </c>
      <c r="G198" s="5">
        <f>E198*F198</f>
        <v/>
      </c>
      <c r="H198" s="4" t="inlineStr">
        <is>
          <t>مطابقة سعر يونيه بالوصفة مع سعر الصنف بالجرد</t>
        </is>
      </c>
    </row>
    <row r="199">
      <c r="A199" s="4" t="inlineStr">
        <is>
          <t>سجق الهنا</t>
        </is>
      </c>
      <c r="B199" s="4" t="inlineStr">
        <is>
          <t>الوصفة الرئيسية</t>
        </is>
      </c>
      <c r="C199" s="4" t="inlineStr">
        <is>
          <t>ملح</t>
        </is>
      </c>
      <c r="D199" s="4" t="inlineStr">
        <is>
          <t>الملح</t>
        </is>
      </c>
      <c r="E199" s="17" t="n">
        <v>4.2</v>
      </c>
      <c r="F199" s="6">
        <f>'جرد الخامات آخر أغسطس'!I55</f>
        <v/>
      </c>
      <c r="G199" s="5">
        <f>E199*F199</f>
        <v/>
      </c>
      <c r="H199" s="4" t="inlineStr">
        <is>
          <t>مطابقة سعر يونيه بالوصفة مع سعر الصنف بالجرد</t>
        </is>
      </c>
    </row>
    <row r="200">
      <c r="A200" s="4" t="inlineStr">
        <is>
          <t>سجق الهنا</t>
        </is>
      </c>
      <c r="B200" s="4" t="inlineStr">
        <is>
          <t>الوصفة الرئيسية</t>
        </is>
      </c>
      <c r="C200" s="4" t="inlineStr">
        <is>
          <t>ببريكا</t>
        </is>
      </c>
      <c r="D200" s="4" t="inlineStr">
        <is>
          <t>بابريكا</t>
        </is>
      </c>
      <c r="E200" s="17" t="n">
        <v>0.3</v>
      </c>
      <c r="F200" s="6">
        <f>'جرد الخامات آخر أغسطس'!I53</f>
        <v/>
      </c>
      <c r="G200" s="5">
        <f>E200*F200</f>
        <v/>
      </c>
      <c r="H200" s="4" t="inlineStr">
        <is>
          <t>مطابقة سعر يونيه بالوصفة مع سعر الصنف بالجرد</t>
        </is>
      </c>
    </row>
    <row r="201">
      <c r="A201" s="4" t="inlineStr">
        <is>
          <t>سجق الهنا</t>
        </is>
      </c>
      <c r="B201" s="4" t="inlineStr">
        <is>
          <t>الوصفة الرئيسية</t>
        </is>
      </c>
      <c r="C201" s="4" t="inlineStr">
        <is>
          <t>كمون</t>
        </is>
      </c>
      <c r="D201" s="4" t="inlineStr">
        <is>
          <t>كمون</t>
        </is>
      </c>
      <c r="E201" s="17" t="n">
        <v>0</v>
      </c>
      <c r="F201" s="6">
        <f>'جرد الخامات آخر أغسطس'!I39</f>
        <v/>
      </c>
      <c r="G201" s="5">
        <f>E201*F201</f>
        <v/>
      </c>
      <c r="H201" s="4" t="inlineStr">
        <is>
          <t>مطابقة سعر يونيه بالوصفة مع سعر الصنف بالجرد</t>
        </is>
      </c>
    </row>
    <row r="202">
      <c r="A202" s="4" t="inlineStr">
        <is>
          <t>سجق الهنا</t>
        </is>
      </c>
      <c r="B202" s="4" t="inlineStr">
        <is>
          <t>الوصفة الرئيسية</t>
        </is>
      </c>
      <c r="C202" s="4" t="inlineStr">
        <is>
          <t>لورى</t>
        </is>
      </c>
      <c r="D202" s="4" t="inlineStr">
        <is>
          <t>لورا</t>
        </is>
      </c>
      <c r="E202" s="17" t="n">
        <v>0</v>
      </c>
      <c r="F202" s="6">
        <f>'جرد الخامات آخر أغسطس'!I43</f>
        <v/>
      </c>
      <c r="G202" s="5">
        <f>E202*F202</f>
        <v/>
      </c>
      <c r="H202" s="4" t="inlineStr">
        <is>
          <t>مطابقة سعر يونيه بالوصفة مع سعر الصنف بالجرد</t>
        </is>
      </c>
    </row>
    <row r="203">
      <c r="A203" s="4" t="inlineStr">
        <is>
          <t>سجق الهنا</t>
        </is>
      </c>
      <c r="B203" s="4" t="inlineStr">
        <is>
          <t>الوصفة الرئيسية</t>
        </is>
      </c>
      <c r="C203" s="4" t="inlineStr">
        <is>
          <t>طعم ليه</t>
        </is>
      </c>
      <c r="D203" s="4" t="inlineStr">
        <is>
          <t>طعم ليه</t>
        </is>
      </c>
      <c r="E203" s="17" t="n">
        <v>0.15</v>
      </c>
      <c r="F203" s="6">
        <f>'جرد الخامات آخر أغسطس'!I60</f>
        <v/>
      </c>
      <c r="G203" s="5">
        <f>E203*F203</f>
        <v/>
      </c>
      <c r="H203" s="4" t="inlineStr">
        <is>
          <t>مطابقة سعر يونيه بالوصفة مع سعر الصنف بالجرد</t>
        </is>
      </c>
    </row>
    <row r="204">
      <c r="A204" s="4" t="inlineStr">
        <is>
          <t>سجق الهنا</t>
        </is>
      </c>
      <c r="B204" s="4" t="inlineStr">
        <is>
          <t>الوصفة الرئيسية</t>
        </is>
      </c>
      <c r="C204" s="4" t="inlineStr">
        <is>
          <t>طعم بيف</t>
        </is>
      </c>
      <c r="D204" s="4" t="inlineStr">
        <is>
          <t>طعم بيف</t>
        </is>
      </c>
      <c r="E204" s="17" t="n">
        <v>0.03</v>
      </c>
      <c r="F204" s="6">
        <f>'جرد الخامات آخر أغسطس'!I63</f>
        <v/>
      </c>
      <c r="G204" s="5">
        <f>E204*F204</f>
        <v/>
      </c>
      <c r="H204" s="4" t="inlineStr">
        <is>
          <t>مطابقة سعر يونيه بالوصفة مع سعر الصنف بالجرد</t>
        </is>
      </c>
    </row>
    <row r="205">
      <c r="A205" s="4" t="inlineStr">
        <is>
          <t>سجق الهنا</t>
        </is>
      </c>
      <c r="B205" s="4" t="inlineStr">
        <is>
          <t>الوصفة الرئيسية</t>
        </is>
      </c>
      <c r="C205" s="4" t="inlineStr">
        <is>
          <t>لون احمر2</t>
        </is>
      </c>
      <c r="D205" s="4" t="inlineStr">
        <is>
          <t>لون طبيعي</t>
        </is>
      </c>
      <c r="E205" s="17" t="n">
        <v>0.1</v>
      </c>
      <c r="F205" s="6">
        <f>'جرد الخامات آخر أغسطس'!I70</f>
        <v/>
      </c>
      <c r="G205" s="5">
        <f>E205*F205</f>
        <v/>
      </c>
      <c r="H205" s="4" t="inlineStr">
        <is>
          <t>مطابقة سعر يونيه بالوصفة مع سعر الصنف بالجرد</t>
        </is>
      </c>
    </row>
    <row r="206">
      <c r="A206" s="18" t="inlineStr">
        <is>
          <t>سجق الهنا</t>
        </is>
      </c>
      <c r="B206" s="19" t="inlineStr">
        <is>
          <t>إجمالى الوصفة الرئيسية</t>
        </is>
      </c>
      <c r="E206" s="20">
        <f>SUM(E181:E205)</f>
        <v/>
      </c>
      <c r="G206" s="21">
        <f>SUM(G181:G205)</f>
        <v/>
      </c>
      <c r="H206" s="18" t="inlineStr">
        <is>
          <t>سعر الكجم = قيمة الوصفة ÷ 227.26 كجم (معامل الإنتاجية كما بالوصفة)</t>
        </is>
      </c>
    </row>
    <row r="208">
      <c r="A208" s="4" t="inlineStr">
        <is>
          <t>برجر الهنا</t>
        </is>
      </c>
      <c r="B208" s="4" t="inlineStr">
        <is>
          <t>الوصفة الرئيسية</t>
        </is>
      </c>
      <c r="C208" s="4" t="inlineStr">
        <is>
          <t>مفروم فراخ شعبى</t>
        </is>
      </c>
      <c r="D208" s="4" t="inlineStr">
        <is>
          <t>مفروم فراخ شعبي</t>
        </is>
      </c>
      <c r="E208" s="17" t="n">
        <v>100</v>
      </c>
      <c r="F208" s="6">
        <f>'جرد الخامات آخر أغسطس'!I8</f>
        <v/>
      </c>
      <c r="G208" s="5">
        <f>E208*F208</f>
        <v/>
      </c>
      <c r="H208" s="4" t="inlineStr">
        <is>
          <t>مطابقة سعر يونيه بالوصفة مع سعر الصنف بالجرد</t>
        </is>
      </c>
    </row>
    <row r="209">
      <c r="A209" s="4" t="inlineStr">
        <is>
          <t>برجر الهنا</t>
        </is>
      </c>
      <c r="B209" s="4" t="inlineStr">
        <is>
          <t>الوصفة الرئيسية</t>
        </is>
      </c>
      <c r="C209" s="4" t="inlineStr">
        <is>
          <t>دهن</t>
        </is>
      </c>
      <c r="D209" s="4" t="inlineStr">
        <is>
          <t>دهن بلدي</t>
        </is>
      </c>
      <c r="E209" s="17" t="n">
        <v>40</v>
      </c>
      <c r="F209" s="6">
        <f>'جرد الخامات آخر أغسطس'!I13</f>
        <v/>
      </c>
      <c r="G209" s="5">
        <f>E209*F209</f>
        <v/>
      </c>
      <c r="H209" s="4" t="inlineStr">
        <is>
          <t>مطابقة سعر يونيه بالوصفة مع سعر الصنف بالجرد</t>
        </is>
      </c>
    </row>
    <row r="210">
      <c r="A210" s="4" t="inlineStr">
        <is>
          <t>برجر الهنا</t>
        </is>
      </c>
      <c r="B210" s="4" t="inlineStr">
        <is>
          <t>الوصفة الرئيسية</t>
        </is>
      </c>
      <c r="C210" s="4" t="inlineStr">
        <is>
          <t>برغل</t>
        </is>
      </c>
      <c r="D210" s="4" t="inlineStr">
        <is>
          <t>برغل</t>
        </is>
      </c>
      <c r="E210" s="17" t="n">
        <v>20</v>
      </c>
      <c r="F210" s="6">
        <f>'جرد الخامات آخر أغسطس'!I20</f>
        <v/>
      </c>
      <c r="G210" s="5">
        <f>E210*F210</f>
        <v/>
      </c>
      <c r="H210" s="4" t="inlineStr">
        <is>
          <t>مطابقة سعر يونيه بالوصفة مع سعر الصنف بالجرد</t>
        </is>
      </c>
    </row>
    <row r="211">
      <c r="A211" s="4" t="inlineStr">
        <is>
          <t>برجر الهنا</t>
        </is>
      </c>
      <c r="B211" s="4" t="inlineStr">
        <is>
          <t>الوصفة الرئيسية</t>
        </is>
      </c>
      <c r="C211" s="4" t="inlineStr">
        <is>
          <t>مياه</t>
        </is>
      </c>
      <c r="D211" s="4" t="inlineStr">
        <is>
          <t>—</t>
        </is>
      </c>
      <c r="E211" s="17" t="n">
        <v>116</v>
      </c>
      <c r="F211" s="6" t="n">
        <v>0</v>
      </c>
      <c r="G211" s="5">
        <f>E211*F211</f>
        <v/>
      </c>
      <c r="H211" s="8" t="inlineStr">
        <is>
          <t>لا يوجد سعر شراء مسجل للمياه ضمن الخامات — عادة تكلفة مرافق غير مباشرة</t>
        </is>
      </c>
    </row>
    <row r="212">
      <c r="A212" s="4" t="inlineStr">
        <is>
          <t>برجر الهنا</t>
        </is>
      </c>
      <c r="B212" s="4" t="inlineStr">
        <is>
          <t>الوصفة الرئيسية</t>
        </is>
      </c>
      <c r="C212" s="4" t="inlineStr">
        <is>
          <t>صويا</t>
        </is>
      </c>
      <c r="D212" s="4" t="inlineStr">
        <is>
          <t>صويا لحمه</t>
        </is>
      </c>
      <c r="E212" s="17" t="n">
        <v>44</v>
      </c>
      <c r="F212" s="6">
        <f>'جرد الخامات آخر أغسطس'!I10</f>
        <v/>
      </c>
      <c r="G212" s="5">
        <f>E212*F212</f>
        <v/>
      </c>
      <c r="H212" s="4" t="inlineStr">
        <is>
          <t>مطابقة سعر يونيه بالوصفة مع سعر الصنف بالجرد</t>
        </is>
      </c>
    </row>
    <row r="213">
      <c r="A213" s="4" t="inlineStr">
        <is>
          <t>برجر الهنا</t>
        </is>
      </c>
      <c r="B213" s="4" t="inlineStr">
        <is>
          <t>الوصفة الرئيسية</t>
        </is>
      </c>
      <c r="C213" s="4" t="inlineStr">
        <is>
          <t>سميد</t>
        </is>
      </c>
      <c r="D213" s="4" t="inlineStr">
        <is>
          <t>صميد</t>
        </is>
      </c>
      <c r="E213" s="17" t="n">
        <v>20</v>
      </c>
      <c r="F213" s="6">
        <f>'جرد الخامات آخر أغسطس'!I9</f>
        <v/>
      </c>
      <c r="G213" s="5">
        <f>E213*F213</f>
        <v/>
      </c>
      <c r="H213" s="4" t="inlineStr">
        <is>
          <t>مطابقة سعر يونيه بالوصفة مع سعر الصنف بالجرد</t>
        </is>
      </c>
    </row>
    <row r="214">
      <c r="A214" s="4" t="inlineStr">
        <is>
          <t>برجر الهنا</t>
        </is>
      </c>
      <c r="B214" s="4" t="inlineStr">
        <is>
          <t>الوصفة الرئيسية</t>
        </is>
      </c>
      <c r="C214" s="4" t="inlineStr">
        <is>
          <t>جلد</t>
        </is>
      </c>
      <c r="D214" s="4" t="inlineStr">
        <is>
          <t>جلد</t>
        </is>
      </c>
      <c r="E214" s="17" t="n">
        <v>20</v>
      </c>
      <c r="F214" s="6">
        <f>'جرد الخامات آخر أغسطس'!I23</f>
        <v/>
      </c>
      <c r="G214" s="5">
        <f>E214*F214</f>
        <v/>
      </c>
      <c r="H214" s="4" t="inlineStr">
        <is>
          <t>مطابقة سعر يونيه بالوصفة مع سعر الصنف بالجرد</t>
        </is>
      </c>
    </row>
    <row r="215">
      <c r="A215" s="4" t="inlineStr">
        <is>
          <t>برجر الهنا</t>
        </is>
      </c>
      <c r="B215" s="4" t="inlineStr">
        <is>
          <t>الوصفة الرئيسية</t>
        </is>
      </c>
      <c r="C215" s="4" t="inlineStr">
        <is>
          <t>نشا</t>
        </is>
      </c>
      <c r="D215" s="4" t="inlineStr">
        <is>
          <t>نشا</t>
        </is>
      </c>
      <c r="E215" s="17" t="n">
        <v>20</v>
      </c>
      <c r="F215" s="6">
        <f>'جرد الخامات آخر أغسطس'!I36</f>
        <v/>
      </c>
      <c r="G215" s="5">
        <f>E215*F215</f>
        <v/>
      </c>
      <c r="H215" s="4" t="inlineStr">
        <is>
          <t>مطابقة سعر يونيه بالوصفة مع سعر الصنف بالجرد</t>
        </is>
      </c>
    </row>
    <row r="216">
      <c r="A216" s="4" t="inlineStr">
        <is>
          <t>برجر الهنا</t>
        </is>
      </c>
      <c r="B216" s="4" t="inlineStr">
        <is>
          <t>الوصفة الرئيسية</t>
        </is>
      </c>
      <c r="C216" s="4" t="inlineStr">
        <is>
          <t>بصل</t>
        </is>
      </c>
      <c r="D216" s="4" t="inlineStr">
        <is>
          <t>بصل</t>
        </is>
      </c>
      <c r="E216" s="17" t="n">
        <v>36</v>
      </c>
      <c r="F216" s="6">
        <f>'جرد الخامات آخر أغسطس'!I5</f>
        <v/>
      </c>
      <c r="G216" s="5">
        <f>E216*F216</f>
        <v/>
      </c>
      <c r="H216" s="4" t="inlineStr">
        <is>
          <t>مطابقة سعر يونيه بالوصفة مع سعر الصنف بالجرد</t>
        </is>
      </c>
    </row>
    <row r="217">
      <c r="A217" s="4" t="inlineStr">
        <is>
          <t>برجر الهنا</t>
        </is>
      </c>
      <c r="B217" s="4" t="inlineStr">
        <is>
          <t>الوصفة الرئيسية</t>
        </is>
      </c>
      <c r="C217" s="4" t="inlineStr">
        <is>
          <t>ملح</t>
        </is>
      </c>
      <c r="D217" s="4" t="inlineStr">
        <is>
          <t>الملح</t>
        </is>
      </c>
      <c r="E217" s="17" t="n">
        <v>6.4</v>
      </c>
      <c r="F217" s="6">
        <f>'جرد الخامات آخر أغسطس'!I55</f>
        <v/>
      </c>
      <c r="G217" s="5">
        <f>E217*F217</f>
        <v/>
      </c>
      <c r="H217" s="4" t="inlineStr">
        <is>
          <t>مطابقة سعر يونيه بالوصفة مع سعر الصنف بالجرد</t>
        </is>
      </c>
    </row>
    <row r="218">
      <c r="A218" s="4" t="inlineStr">
        <is>
          <t>برجر الهنا</t>
        </is>
      </c>
      <c r="B218" s="4" t="inlineStr">
        <is>
          <t>الوصفة الرئيسية</t>
        </is>
      </c>
      <c r="C218" s="4" t="inlineStr">
        <is>
          <t>فوسفات</t>
        </is>
      </c>
      <c r="D218" s="4" t="inlineStr">
        <is>
          <t>فوسفات</t>
        </is>
      </c>
      <c r="E218" s="17" t="n">
        <v>2</v>
      </c>
      <c r="F218" s="6">
        <f>'جرد الخامات آخر أغسطس'!I56</f>
        <v/>
      </c>
      <c r="G218" s="5">
        <f>E218*F218</f>
        <v/>
      </c>
      <c r="H218" s="4" t="inlineStr">
        <is>
          <t>مطابقة سعر يونيه بالوصفة مع سعر الصنف بالجرد</t>
        </is>
      </c>
    </row>
    <row r="219">
      <c r="A219" s="4" t="inlineStr">
        <is>
          <t>برجر الهنا</t>
        </is>
      </c>
      <c r="B219" s="4" t="inlineStr">
        <is>
          <t>الوصفة الرئيسية</t>
        </is>
      </c>
      <c r="C219" s="4" t="inlineStr">
        <is>
          <t>لورا</t>
        </is>
      </c>
      <c r="D219" s="4" t="inlineStr">
        <is>
          <t>لورا</t>
        </is>
      </c>
      <c r="E219" s="17" t="n">
        <v>0.2</v>
      </c>
      <c r="F219" s="6">
        <f>'جرد الخامات آخر أغسطس'!I43</f>
        <v/>
      </c>
      <c r="G219" s="5">
        <f>E219*F219</f>
        <v/>
      </c>
      <c r="H219" s="4" t="inlineStr">
        <is>
          <t>مطابقة سعر يونيه بالوصفة مع سعر الصنف بالجرد</t>
        </is>
      </c>
    </row>
    <row r="220">
      <c r="A220" s="4" t="inlineStr">
        <is>
          <t>برجر الهنا</t>
        </is>
      </c>
      <c r="B220" s="4" t="inlineStr">
        <is>
          <t>الوصفة الرئيسية</t>
        </is>
      </c>
      <c r="C220" s="4" t="inlineStr">
        <is>
          <t>شطه</t>
        </is>
      </c>
      <c r="D220" s="4" t="inlineStr">
        <is>
          <t>شطه</t>
        </is>
      </c>
      <c r="E220" s="17" t="n">
        <v>0.4</v>
      </c>
      <c r="F220" s="6">
        <f>'جرد الخامات آخر أغسطس'!I48</f>
        <v/>
      </c>
      <c r="G220" s="5">
        <f>E220*F220</f>
        <v/>
      </c>
      <c r="H220" s="4" t="inlineStr">
        <is>
          <t>مطابقة سعر يونيه بالوصفة مع سعر الصنف بالجرد</t>
        </is>
      </c>
    </row>
    <row r="221">
      <c r="A221" s="4" t="inlineStr">
        <is>
          <t>برجر الهنا</t>
        </is>
      </c>
      <c r="B221" s="4" t="inlineStr">
        <is>
          <t>الوصفة الرئيسية</t>
        </is>
      </c>
      <c r="C221" s="4" t="inlineStr">
        <is>
          <t>مونوصوديم</t>
        </is>
      </c>
      <c r="D221" s="4" t="inlineStr">
        <is>
          <t>جلتومات</t>
        </is>
      </c>
      <c r="E221" s="17" t="n">
        <v>2</v>
      </c>
      <c r="F221" s="6">
        <f>'جرد الخامات آخر أغسطس'!I57</f>
        <v/>
      </c>
      <c r="G221" s="5">
        <f>E221*F221</f>
        <v/>
      </c>
      <c r="H221" s="4" t="inlineStr">
        <is>
          <t>مطابقة سعر يونيه بالوصفة مع سعر الصنف بالجرد</t>
        </is>
      </c>
    </row>
    <row r="222">
      <c r="A222" s="4" t="inlineStr">
        <is>
          <t>برجر الهنا</t>
        </is>
      </c>
      <c r="B222" s="4" t="inlineStr">
        <is>
          <t>الوصفة الرئيسية</t>
        </is>
      </c>
      <c r="C222" s="4" t="inlineStr">
        <is>
          <t>قرفة</t>
        </is>
      </c>
      <c r="D222" s="4" t="inlineStr">
        <is>
          <t>قرفه</t>
        </is>
      </c>
      <c r="E222" s="17" t="n">
        <v>0.6</v>
      </c>
      <c r="F222" s="6">
        <f>'جرد الخامات آخر أغسطس'!I46</f>
        <v/>
      </c>
      <c r="G222" s="5">
        <f>E222*F222</f>
        <v/>
      </c>
      <c r="H222" s="4" t="inlineStr">
        <is>
          <t>مطابقة سعر يونيه بالوصفة مع سعر الصنف بالجرد</t>
        </is>
      </c>
    </row>
    <row r="223">
      <c r="A223" s="4" t="inlineStr">
        <is>
          <t>برجر الهنا</t>
        </is>
      </c>
      <c r="B223" s="4" t="inlineStr">
        <is>
          <t>الوصفة الرئيسية</t>
        </is>
      </c>
      <c r="C223" s="4" t="inlineStr">
        <is>
          <t>كزبره</t>
        </is>
      </c>
      <c r="D223" s="4" t="inlineStr">
        <is>
          <t>كزبره</t>
        </is>
      </c>
      <c r="E223" s="17" t="n">
        <v>0.8</v>
      </c>
      <c r="F223" s="6">
        <f>'جرد الخامات آخر أغسطس'!I45</f>
        <v/>
      </c>
      <c r="G223" s="5">
        <f>E223*F223</f>
        <v/>
      </c>
      <c r="H223" s="4" t="inlineStr">
        <is>
          <t>مطابقة سعر يونيه بالوصفة مع سعر الصنف بالجرد</t>
        </is>
      </c>
    </row>
    <row r="224">
      <c r="A224" s="4" t="inlineStr">
        <is>
          <t>برجر الهنا</t>
        </is>
      </c>
      <c r="B224" s="4" t="inlineStr">
        <is>
          <t>الوصفة الرئيسية</t>
        </is>
      </c>
      <c r="C224" s="4" t="inlineStr">
        <is>
          <t>طعم شواء</t>
        </is>
      </c>
      <c r="D224" s="4" t="inlineStr">
        <is>
          <t>طعم شواي</t>
        </is>
      </c>
      <c r="E224" s="17" t="n">
        <v>0.8</v>
      </c>
      <c r="F224" s="6">
        <f>'جرد الخامات آخر أغسطس'!I64</f>
        <v/>
      </c>
      <c r="G224" s="5">
        <f>E224*F224</f>
        <v/>
      </c>
      <c r="H224" s="4" t="inlineStr">
        <is>
          <t>مطابقة سعر يونيه بالوصفة مع سعر الصنف بالجرد</t>
        </is>
      </c>
    </row>
    <row r="225">
      <c r="A225" s="4" t="inlineStr">
        <is>
          <t>برجر الهنا</t>
        </is>
      </c>
      <c r="B225" s="4" t="inlineStr">
        <is>
          <t>الوصفة الرئيسية</t>
        </is>
      </c>
      <c r="C225" s="4" t="inlineStr">
        <is>
          <t>بيف</t>
        </is>
      </c>
      <c r="D225" s="4" t="inlineStr">
        <is>
          <t>طعم بيف</t>
        </is>
      </c>
      <c r="E225" s="17" t="n">
        <v>0.8</v>
      </c>
      <c r="F225" s="6">
        <f>'جرد الخامات آخر أغسطس'!I63</f>
        <v/>
      </c>
      <c r="G225" s="5">
        <f>E225*F225</f>
        <v/>
      </c>
      <c r="H225" s="4" t="inlineStr">
        <is>
          <t>مطابقة سعر يونيه بالوصفة مع سعر الصنف بالجرد</t>
        </is>
      </c>
    </row>
    <row r="226">
      <c r="A226" s="4" t="inlineStr">
        <is>
          <t>برجر الهنا</t>
        </is>
      </c>
      <c r="B226" s="4" t="inlineStr">
        <is>
          <t>الوصفة الرئيسية</t>
        </is>
      </c>
      <c r="C226" s="4" t="inlineStr">
        <is>
          <t>لون</t>
        </is>
      </c>
      <c r="D226" s="4" t="inlineStr">
        <is>
          <t>لون طبيعي</t>
        </is>
      </c>
      <c r="E226" s="17" t="n">
        <v>0.09</v>
      </c>
      <c r="F226" s="6">
        <f>'جرد الخامات آخر أغسطس'!I70</f>
        <v/>
      </c>
      <c r="G226" s="5">
        <f>E226*F226</f>
        <v/>
      </c>
      <c r="H226" s="4" t="inlineStr">
        <is>
          <t>مطابقة سعر يونيه بالوصفة مع سعر الصنف بالجرد</t>
        </is>
      </c>
    </row>
    <row r="227">
      <c r="A227" s="18" t="inlineStr">
        <is>
          <t>برجر الهنا</t>
        </is>
      </c>
      <c r="B227" s="19" t="inlineStr">
        <is>
          <t>إجمالى الوصفة الرئيسية</t>
        </is>
      </c>
      <c r="E227" s="20">
        <f>SUM(E208:E226)</f>
        <v/>
      </c>
      <c r="G227" s="21">
        <f>SUM(G208:G226)</f>
        <v/>
      </c>
      <c r="H227" s="18" t="inlineStr">
        <is>
          <t>سعر الكجم = قيمة الوصفة ÷ 430.09 كجم (معامل الإنتاجية كما بالوصفة)</t>
        </is>
      </c>
    </row>
    <row r="229">
      <c r="A229" s="4" t="inlineStr">
        <is>
          <t>كفته الهنا</t>
        </is>
      </c>
      <c r="B229" s="4" t="inlineStr">
        <is>
          <t>الوصفة الرئيسية</t>
        </is>
      </c>
      <c r="C229" s="4" t="inlineStr">
        <is>
          <t>مفروم فراخ شعبى</t>
        </is>
      </c>
      <c r="D229" s="4" t="inlineStr">
        <is>
          <t>مفروم فراخ شعبي</t>
        </is>
      </c>
      <c r="E229" s="17" t="n">
        <v>80</v>
      </c>
      <c r="F229" s="6">
        <f>'جرد الخامات آخر أغسطس'!I8</f>
        <v/>
      </c>
      <c r="G229" s="5">
        <f>E229*F229</f>
        <v/>
      </c>
      <c r="H229" s="4" t="inlineStr">
        <is>
          <t>مطابقة سعر يونيه بالوصفة مع سعر الصنف بالجرد</t>
        </is>
      </c>
    </row>
    <row r="230">
      <c r="A230" s="4" t="inlineStr">
        <is>
          <t>كفته الهنا</t>
        </is>
      </c>
      <c r="B230" s="4" t="inlineStr">
        <is>
          <t>الوصفة الرئيسية</t>
        </is>
      </c>
      <c r="C230" s="4" t="inlineStr">
        <is>
          <t>دهن</t>
        </is>
      </c>
      <c r="D230" s="4" t="inlineStr">
        <is>
          <t>دهن بلدي</t>
        </is>
      </c>
      <c r="E230" s="17" t="n">
        <v>28</v>
      </c>
      <c r="F230" s="6">
        <f>'جرد الخامات آخر أغسطس'!I13</f>
        <v/>
      </c>
      <c r="G230" s="5">
        <f>E230*F230</f>
        <v/>
      </c>
      <c r="H230" s="4" t="inlineStr">
        <is>
          <t>مطابقة سعر يونيه بالوصفة مع سعر الصنف بالجرد</t>
        </is>
      </c>
    </row>
    <row r="231">
      <c r="A231" s="4" t="inlineStr">
        <is>
          <t>كفته الهنا</t>
        </is>
      </c>
      <c r="B231" s="4" t="inlineStr">
        <is>
          <t>الوصفة الرئيسية</t>
        </is>
      </c>
      <c r="C231" s="4" t="inlineStr">
        <is>
          <t>فلفل احمر</t>
        </is>
      </c>
      <c r="D231" s="4" t="inlineStr">
        <is>
          <t>— (سعر ثابت بالوصفة)</t>
        </is>
      </c>
      <c r="E231" s="17" t="n">
        <v>25</v>
      </c>
      <c r="F231" s="6" t="n">
        <v>13</v>
      </c>
      <c r="G231" s="5">
        <f>E231*F231</f>
        <v/>
      </c>
      <c r="H231" s="8" t="inlineStr">
        <is>
          <t>لا يقابله صنف بالجرد — السعر ثابت كما بالوصفة</t>
        </is>
      </c>
    </row>
    <row r="232">
      <c r="A232" s="4" t="inlineStr">
        <is>
          <t>كفته الهنا</t>
        </is>
      </c>
      <c r="B232" s="4" t="inlineStr">
        <is>
          <t>الوصفة الرئيسية</t>
        </is>
      </c>
      <c r="C232" s="4" t="inlineStr">
        <is>
          <t>صويا</t>
        </is>
      </c>
      <c r="D232" s="4" t="inlineStr">
        <is>
          <t>صويا لحمه</t>
        </is>
      </c>
      <c r="E232" s="17" t="n">
        <v>43</v>
      </c>
      <c r="F232" s="6">
        <f>'جرد الخامات آخر أغسطس'!I10</f>
        <v/>
      </c>
      <c r="G232" s="5">
        <f>E232*F232</f>
        <v/>
      </c>
      <c r="H232" s="4" t="inlineStr">
        <is>
          <t>مطابقة سعر يونيه بالوصفة مع سعر الصنف بالجرد</t>
        </is>
      </c>
    </row>
    <row r="233">
      <c r="A233" s="4" t="inlineStr">
        <is>
          <t>كفته الهنا</t>
        </is>
      </c>
      <c r="B233" s="4" t="inlineStr">
        <is>
          <t>الوصفة الرئيسية</t>
        </is>
      </c>
      <c r="C233" s="4" t="inlineStr">
        <is>
          <t>فلفل اخضر حار</t>
        </is>
      </c>
      <c r="D233" s="4" t="inlineStr">
        <is>
          <t>فلفل رومي حامي</t>
        </is>
      </c>
      <c r="E233" s="17" t="n">
        <v>2</v>
      </c>
      <c r="F233" s="6">
        <f>'جرد الخامات آخر أغسطس'!I26</f>
        <v/>
      </c>
      <c r="G233" s="5">
        <f>E233*F233</f>
        <v/>
      </c>
      <c r="H233" s="4" t="inlineStr">
        <is>
          <t>مطابقة سعر يونيه بالوصفة مع سعر الصنف بالجرد</t>
        </is>
      </c>
    </row>
    <row r="234">
      <c r="A234" s="4" t="inlineStr">
        <is>
          <t>كفته الهنا</t>
        </is>
      </c>
      <c r="B234" s="4" t="inlineStr">
        <is>
          <t>الوصفة الرئيسية</t>
        </is>
      </c>
      <c r="C234" s="4" t="inlineStr">
        <is>
          <t>برغل</t>
        </is>
      </c>
      <c r="D234" s="4" t="inlineStr">
        <is>
          <t>برغل</t>
        </is>
      </c>
      <c r="E234" s="17" t="n">
        <v>28</v>
      </c>
      <c r="F234" s="6">
        <f>'جرد الخامات آخر أغسطس'!I20</f>
        <v/>
      </c>
      <c r="G234" s="5">
        <f>E234*F234</f>
        <v/>
      </c>
      <c r="H234" s="4" t="inlineStr">
        <is>
          <t>مطابقة سعر يونيه بالوصفة مع سعر الصنف بالجرد</t>
        </is>
      </c>
    </row>
    <row r="235">
      <c r="A235" s="4" t="inlineStr">
        <is>
          <t>كفته الهنا</t>
        </is>
      </c>
      <c r="B235" s="4" t="inlineStr">
        <is>
          <t>الوصفة الرئيسية</t>
        </is>
      </c>
      <c r="C235" s="4" t="inlineStr">
        <is>
          <t>نشا</t>
        </is>
      </c>
      <c r="D235" s="4" t="inlineStr">
        <is>
          <t>نشا</t>
        </is>
      </c>
      <c r="E235" s="17" t="n">
        <v>24</v>
      </c>
      <c r="F235" s="6">
        <f>'جرد الخامات آخر أغسطس'!I36</f>
        <v/>
      </c>
      <c r="G235" s="5">
        <f>E235*F235</f>
        <v/>
      </c>
      <c r="H235" s="4" t="inlineStr">
        <is>
          <t>مطابقة سعر يونيه بالوصفة مع سعر الصنف بالجرد</t>
        </is>
      </c>
    </row>
    <row r="236">
      <c r="A236" s="4" t="inlineStr">
        <is>
          <t>كفته الهنا</t>
        </is>
      </c>
      <c r="B236" s="4" t="inlineStr">
        <is>
          <t>الوصفة الرئيسية</t>
        </is>
      </c>
      <c r="C236" s="4" t="inlineStr">
        <is>
          <t>شعرية</t>
        </is>
      </c>
      <c r="D236" s="4" t="inlineStr">
        <is>
          <t>—</t>
        </is>
      </c>
      <c r="E236" s="17" t="n">
        <v>0</v>
      </c>
      <c r="F236" s="6" t="n">
        <v>0</v>
      </c>
      <c r="G236" s="5">
        <f>E236*F236</f>
        <v/>
      </c>
      <c r="H236" s="8" t="inlineStr">
        <is>
          <t>صنف غير موجود ضمن قاعدة بيانات الخامات المُسعّرة</t>
        </is>
      </c>
    </row>
    <row r="237">
      <c r="A237" s="4" t="inlineStr">
        <is>
          <t>كفته الهنا</t>
        </is>
      </c>
      <c r="B237" s="4" t="inlineStr">
        <is>
          <t>الوصفة الرئيسية</t>
        </is>
      </c>
      <c r="C237" s="4" t="inlineStr">
        <is>
          <t>بصل</t>
        </is>
      </c>
      <c r="D237" s="4" t="inlineStr">
        <is>
          <t>بصل</t>
        </is>
      </c>
      <c r="E237" s="17" t="n">
        <v>25</v>
      </c>
      <c r="F237" s="6">
        <f>'جرد الخامات آخر أغسطس'!I5</f>
        <v/>
      </c>
      <c r="G237" s="5">
        <f>E237*F237</f>
        <v/>
      </c>
      <c r="H237" s="4" t="inlineStr">
        <is>
          <t>مطابقة سعر يونيه بالوصفة مع سعر الصنف بالجرد</t>
        </is>
      </c>
    </row>
    <row r="238">
      <c r="A238" s="4" t="inlineStr">
        <is>
          <t>كفته الهنا</t>
        </is>
      </c>
      <c r="B238" s="4" t="inlineStr">
        <is>
          <t>الوصفة الرئيسية</t>
        </is>
      </c>
      <c r="C238" s="4" t="inlineStr">
        <is>
          <t>سميد</t>
        </is>
      </c>
      <c r="D238" s="4" t="inlineStr">
        <is>
          <t>صميد</t>
        </is>
      </c>
      <c r="E238" s="17" t="n">
        <v>26</v>
      </c>
      <c r="F238" s="6">
        <f>'جرد الخامات آخر أغسطس'!I9</f>
        <v/>
      </c>
      <c r="G238" s="5">
        <f>E238*F238</f>
        <v/>
      </c>
      <c r="H238" s="4" t="inlineStr">
        <is>
          <t>مطابقة سعر يونيه بالوصفة مع سعر الصنف بالجرد</t>
        </is>
      </c>
    </row>
    <row r="239">
      <c r="A239" s="4" t="inlineStr">
        <is>
          <t>كفته الهنا</t>
        </is>
      </c>
      <c r="B239" s="4" t="inlineStr">
        <is>
          <t>الوصفة الرئيسية</t>
        </is>
      </c>
      <c r="C239" s="4" t="inlineStr">
        <is>
          <t>مياه</t>
        </is>
      </c>
      <c r="D239" s="4" t="inlineStr">
        <is>
          <t>—</t>
        </is>
      </c>
      <c r="E239" s="17" t="n">
        <v>99</v>
      </c>
      <c r="F239" s="6" t="n">
        <v>0</v>
      </c>
      <c r="G239" s="5">
        <f>E239*F239</f>
        <v/>
      </c>
      <c r="H239" s="8" t="inlineStr">
        <is>
          <t>لا يوجد سعر شراء مسجل للمياه ضمن الخامات — عادة تكلفة مرافق غير مباشرة</t>
        </is>
      </c>
    </row>
    <row r="240">
      <c r="A240" s="4" t="inlineStr">
        <is>
          <t>كفته الهنا</t>
        </is>
      </c>
      <c r="B240" s="4" t="inlineStr">
        <is>
          <t>الوصفة الرئيسية</t>
        </is>
      </c>
      <c r="C240" s="4" t="inlineStr">
        <is>
          <t>مونوصوديم</t>
        </is>
      </c>
      <c r="D240" s="4" t="inlineStr">
        <is>
          <t>جلتومات</t>
        </is>
      </c>
      <c r="E240" s="17" t="n">
        <v>2</v>
      </c>
      <c r="F240" s="6">
        <f>'جرد الخامات آخر أغسطس'!I57</f>
        <v/>
      </c>
      <c r="G240" s="5">
        <f>E240*F240</f>
        <v/>
      </c>
      <c r="H240" s="4" t="inlineStr">
        <is>
          <t>مطابقة سعر يونيه بالوصفة مع سعر الصنف بالجرد</t>
        </is>
      </c>
    </row>
    <row r="241">
      <c r="A241" s="4" t="inlineStr">
        <is>
          <t>كفته الهنا</t>
        </is>
      </c>
      <c r="B241" s="4" t="inlineStr">
        <is>
          <t>الوصفة الرئيسية</t>
        </is>
      </c>
      <c r="C241" s="4" t="inlineStr">
        <is>
          <t>لون 601</t>
        </is>
      </c>
      <c r="D241" s="4" t="inlineStr">
        <is>
          <t>لون طبيعي</t>
        </is>
      </c>
      <c r="E241" s="17" t="n">
        <v>0.09</v>
      </c>
      <c r="F241" s="6">
        <f>'جرد الخامات آخر أغسطس'!I70</f>
        <v/>
      </c>
      <c r="G241" s="5">
        <f>E241*F241</f>
        <v/>
      </c>
      <c r="H241" s="4" t="inlineStr">
        <is>
          <t>مطابقة سعر يونيه بالوصفة مع سعر الصنف بالجرد</t>
        </is>
      </c>
    </row>
    <row r="242">
      <c r="A242" s="4" t="inlineStr">
        <is>
          <t>كفته الهنا</t>
        </is>
      </c>
      <c r="B242" s="4" t="inlineStr">
        <is>
          <t>الوصفة الرئيسية</t>
        </is>
      </c>
      <c r="C242" s="4" t="inlineStr">
        <is>
          <t>كسبرة</t>
        </is>
      </c>
      <c r="D242" s="4" t="inlineStr">
        <is>
          <t>كزبره</t>
        </is>
      </c>
      <c r="E242" s="17" t="n">
        <v>0.6</v>
      </c>
      <c r="F242" s="6">
        <f>'جرد الخامات آخر أغسطس'!I45</f>
        <v/>
      </c>
      <c r="G242" s="5">
        <f>E242*F242</f>
        <v/>
      </c>
      <c r="H242" s="4" t="inlineStr">
        <is>
          <t>مطابقة سعر يونيه بالوصفة مع سعر الصنف بالجرد</t>
        </is>
      </c>
    </row>
    <row r="243">
      <c r="A243" s="4" t="inlineStr">
        <is>
          <t>كفته الهنا</t>
        </is>
      </c>
      <c r="B243" s="4" t="inlineStr">
        <is>
          <t>الوصفة الرئيسية</t>
        </is>
      </c>
      <c r="C243" s="4" t="inlineStr">
        <is>
          <t>شطة</t>
        </is>
      </c>
      <c r="D243" s="4" t="inlineStr">
        <is>
          <t>شطه</t>
        </is>
      </c>
      <c r="E243" s="17" t="n">
        <v>0.5</v>
      </c>
      <c r="F243" s="6">
        <f>'جرد الخامات آخر أغسطس'!I48</f>
        <v/>
      </c>
      <c r="G243" s="5">
        <f>E243*F243</f>
        <v/>
      </c>
      <c r="H243" s="4" t="inlineStr">
        <is>
          <t>مطابقة سعر يونيه بالوصفة مع سعر الصنف بالجرد</t>
        </is>
      </c>
    </row>
    <row r="244">
      <c r="A244" s="4" t="inlineStr">
        <is>
          <t>كفته الهنا</t>
        </is>
      </c>
      <c r="B244" s="4" t="inlineStr">
        <is>
          <t>الوصفة الرئيسية</t>
        </is>
      </c>
      <c r="C244" s="4" t="inlineStr">
        <is>
          <t>ملح</t>
        </is>
      </c>
      <c r="D244" s="4" t="inlineStr">
        <is>
          <t>الملح</t>
        </is>
      </c>
      <c r="E244" s="17" t="n">
        <v>6.8</v>
      </c>
      <c r="F244" s="6">
        <f>'جرد الخامات آخر أغسطس'!I55</f>
        <v/>
      </c>
      <c r="G244" s="5">
        <f>E244*F244</f>
        <v/>
      </c>
      <c r="H244" s="4" t="inlineStr">
        <is>
          <t>مطابقة سعر يونيه بالوصفة مع سعر الصنف بالجرد</t>
        </is>
      </c>
    </row>
    <row r="245">
      <c r="A245" s="4" t="inlineStr">
        <is>
          <t>كفته الهنا</t>
        </is>
      </c>
      <c r="B245" s="4" t="inlineStr">
        <is>
          <t>الوصفة الرئيسية</t>
        </is>
      </c>
      <c r="C245" s="4" t="inlineStr">
        <is>
          <t>جبهان</t>
        </is>
      </c>
      <c r="D245" s="4" t="inlineStr">
        <is>
          <t>حبهان</t>
        </is>
      </c>
      <c r="E245" s="17" t="n">
        <v>0.2</v>
      </c>
      <c r="F245" s="6">
        <f>'جرد الخامات آخر أغسطس'!I51</f>
        <v/>
      </c>
      <c r="G245" s="5">
        <f>E245*F245</f>
        <v/>
      </c>
      <c r="H245" s="4" t="inlineStr">
        <is>
          <t>مطابقة سعر يونيه بالوصفة مع سعر الصنف بالجرد</t>
        </is>
      </c>
    </row>
    <row r="246">
      <c r="A246" s="4" t="inlineStr">
        <is>
          <t>كفته الهنا</t>
        </is>
      </c>
      <c r="B246" s="4" t="inlineStr">
        <is>
          <t>الوصفة الرئيسية</t>
        </is>
      </c>
      <c r="C246" s="4" t="inlineStr">
        <is>
          <t>طعم كفته</t>
        </is>
      </c>
      <c r="D246" s="4" t="inlineStr">
        <is>
          <t>طعم كفته</t>
        </is>
      </c>
      <c r="E246" s="17" t="n">
        <v>0.5</v>
      </c>
      <c r="F246" s="6">
        <f>'جرد الخامات آخر أغسطس'!I61</f>
        <v/>
      </c>
      <c r="G246" s="5">
        <f>E246*F246</f>
        <v/>
      </c>
      <c r="H246" s="4" t="inlineStr">
        <is>
          <t>مطابقة سعر يونيه بالوصفة مع سعر الصنف بالجرد</t>
        </is>
      </c>
    </row>
    <row r="247">
      <c r="A247" s="4" t="inlineStr">
        <is>
          <t>كفته الهنا</t>
        </is>
      </c>
      <c r="B247" s="4" t="inlineStr">
        <is>
          <t>الوصفة الرئيسية</t>
        </is>
      </c>
      <c r="C247" s="4" t="inlineStr">
        <is>
          <t>طعم بيف</t>
        </is>
      </c>
      <c r="D247" s="4" t="inlineStr">
        <is>
          <t>طعم بيف</t>
        </is>
      </c>
      <c r="E247" s="17" t="n">
        <v>0.5</v>
      </c>
      <c r="F247" s="6">
        <f>'جرد الخامات آخر أغسطس'!I63</f>
        <v/>
      </c>
      <c r="G247" s="5">
        <f>E247*F247</f>
        <v/>
      </c>
      <c r="H247" s="4" t="inlineStr">
        <is>
          <t>مطابقة سعر يونيه بالوصفة مع سعر الصنف بالجرد</t>
        </is>
      </c>
    </row>
    <row r="248">
      <c r="A248" s="4" t="inlineStr">
        <is>
          <t>كفته الهنا</t>
        </is>
      </c>
      <c r="B248" s="4" t="inlineStr">
        <is>
          <t>الوصفة الرئيسية</t>
        </is>
      </c>
      <c r="C248" s="4" t="inlineStr">
        <is>
          <t>فوسفات</t>
        </is>
      </c>
      <c r="D248" s="4" t="inlineStr">
        <is>
          <t>فوسفات</t>
        </is>
      </c>
      <c r="E248" s="17" t="n">
        <v>2</v>
      </c>
      <c r="F248" s="6">
        <f>'جرد الخامات آخر أغسطس'!I56</f>
        <v/>
      </c>
      <c r="G248" s="5">
        <f>E248*F248</f>
        <v/>
      </c>
      <c r="H248" s="4" t="inlineStr">
        <is>
          <t>مطابقة سعر يونيه بالوصفة مع سعر الصنف بالجرد</t>
        </is>
      </c>
    </row>
    <row r="249">
      <c r="A249" s="4" t="inlineStr">
        <is>
          <t>كفته الهنا</t>
        </is>
      </c>
      <c r="B249" s="4" t="inlineStr">
        <is>
          <t>الوصفة الرئيسية</t>
        </is>
      </c>
      <c r="C249" s="4" t="inlineStr">
        <is>
          <t>جنزبيل</t>
        </is>
      </c>
      <c r="D249" s="4" t="inlineStr">
        <is>
          <t>جنزبيل</t>
        </is>
      </c>
      <c r="E249" s="17" t="n">
        <v>0.2</v>
      </c>
      <c r="F249" s="6">
        <f>'جرد الخامات آخر أغسطس'!I54</f>
        <v/>
      </c>
      <c r="G249" s="5">
        <f>E249*F249</f>
        <v/>
      </c>
      <c r="H249" s="4" t="inlineStr">
        <is>
          <t>مطابقة سعر يونيه بالوصفة مع سعر الصنف بالجرد</t>
        </is>
      </c>
    </row>
    <row r="250">
      <c r="A250" s="4" t="inlineStr">
        <is>
          <t>كفته الهنا</t>
        </is>
      </c>
      <c r="B250" s="4" t="inlineStr">
        <is>
          <t>الوصفة الرئيسية</t>
        </is>
      </c>
      <c r="C250" s="4" t="inlineStr">
        <is>
          <t>طعم ليه</t>
        </is>
      </c>
      <c r="D250" s="4" t="inlineStr">
        <is>
          <t>طعم ليه</t>
        </is>
      </c>
      <c r="E250" s="17" t="n">
        <v>0.5</v>
      </c>
      <c r="F250" s="6">
        <f>'جرد الخامات آخر أغسطس'!I60</f>
        <v/>
      </c>
      <c r="G250" s="5">
        <f>E250*F250</f>
        <v/>
      </c>
      <c r="H250" s="4" t="inlineStr">
        <is>
          <t>مطابقة سعر يونيه بالوصفة مع سعر الصنف بالجرد</t>
        </is>
      </c>
    </row>
    <row r="251">
      <c r="A251" s="4" t="inlineStr">
        <is>
          <t>كفته الهنا</t>
        </is>
      </c>
      <c r="B251" s="4" t="inlineStr">
        <is>
          <t>الوصفة الرئيسية</t>
        </is>
      </c>
      <c r="C251" s="4" t="inlineStr">
        <is>
          <t>بابريكا</t>
        </is>
      </c>
      <c r="D251" s="4" t="inlineStr">
        <is>
          <t>بابريكا</t>
        </is>
      </c>
      <c r="E251" s="17" t="n">
        <v>0.5</v>
      </c>
      <c r="F251" s="6">
        <f>'جرد الخامات آخر أغسطس'!I53</f>
        <v/>
      </c>
      <c r="G251" s="5">
        <f>E251*F251</f>
        <v/>
      </c>
      <c r="H251" s="4" t="inlineStr">
        <is>
          <t>مطابقة سعر يونيه بالوصفة مع سعر الصنف بالجرد</t>
        </is>
      </c>
    </row>
    <row r="252">
      <c r="A252" s="18" t="inlineStr">
        <is>
          <t>كفته الهنا</t>
        </is>
      </c>
      <c r="B252" s="19" t="inlineStr">
        <is>
          <t>إجمالى الوصفة الرئيسية</t>
        </is>
      </c>
      <c r="E252" s="20">
        <f>SUM(E229:E251)</f>
        <v/>
      </c>
      <c r="G252" s="21">
        <f>SUM(G229:G251)</f>
        <v/>
      </c>
      <c r="H252" s="18" t="inlineStr">
        <is>
          <t>سعر الكجم = قيمة الوصفة ÷ 394.39 كجم (معامل الإنتاجية كما بالوصفة)</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0" customWidth="1" min="2" max="2"/>
    <col width="16" customWidth="1" min="3" max="3"/>
    <col width="16" customWidth="1" min="4" max="4"/>
    <col width="13" customWidth="1" min="5" max="5"/>
    <col width="13" customWidth="1" min="6" max="6"/>
    <col width="10" customWidth="1" min="7" max="7"/>
    <col width="14" customWidth="1" min="8" max="8"/>
  </cols>
  <sheetData>
    <row r="1">
      <c r="A1" s="1" t="inlineStr">
        <is>
          <t>أثر تحديث أسعار الخامات على سعر كيلو الخلطة لكل منتج (خامات مباشرة فقط)</t>
        </is>
      </c>
    </row>
    <row r="3" ht="42" customHeight="1">
      <c r="A3" s="3" t="inlineStr">
        <is>
          <t>المنتج</t>
        </is>
      </c>
      <c r="B3" s="3" t="inlineStr">
        <is>
          <t>العلامة</t>
        </is>
      </c>
      <c r="C3" s="3" t="inlineStr">
        <is>
          <t>قيمة الوصفة (يوليو)</t>
        </is>
      </c>
      <c r="D3" s="3" t="inlineStr">
        <is>
          <t>قيمة الوصفة (أغسطس)</t>
        </is>
      </c>
      <c r="E3" s="3" t="inlineStr">
        <is>
          <t>سعر الكجم (يوليو)</t>
        </is>
      </c>
      <c r="F3" s="3" t="inlineStr">
        <is>
          <t>سعر الكجم (أغسطس)</t>
        </is>
      </c>
      <c r="G3" s="3" t="inlineStr">
        <is>
          <t>التغير %</t>
        </is>
      </c>
      <c r="H3" s="3" t="inlineStr">
        <is>
          <t>معامل الإنتاجية (كجم)</t>
        </is>
      </c>
    </row>
    <row r="4">
      <c r="A4" s="4" t="inlineStr">
        <is>
          <t>سجق ابوهاشم</t>
        </is>
      </c>
      <c r="B4" s="4" t="inlineStr">
        <is>
          <t>أبو هاشم</t>
        </is>
      </c>
      <c r="C4" s="5" t="n">
        <v>8187.54</v>
      </c>
      <c r="D4" s="5">
        <f>'تفصيل الوصفات بأسعار أغسطس'!G35</f>
        <v/>
      </c>
      <c r="E4" s="6" t="n">
        <v>82.7358</v>
      </c>
      <c r="F4" s="15">
        <f>D4/H4</f>
        <v/>
      </c>
      <c r="G4" s="7">
        <f>F4/E4-1</f>
        <v/>
      </c>
      <c r="H4" s="22" t="n">
        <v>98.96003142968441</v>
      </c>
    </row>
    <row r="5">
      <c r="A5" s="4" t="inlineStr">
        <is>
          <t>كفته ابوهاشم</t>
        </is>
      </c>
      <c r="B5" s="4" t="inlineStr">
        <is>
          <t>أبو هاشم</t>
        </is>
      </c>
      <c r="C5" s="5" t="n">
        <v>6203.05</v>
      </c>
      <c r="D5" s="5">
        <f>'تفصيل الوصفات بأسعار أغسطس'!G68</f>
        <v/>
      </c>
      <c r="E5" s="6" t="n">
        <v>79.0198</v>
      </c>
      <c r="F5" s="15">
        <f>D5/H5</f>
        <v/>
      </c>
      <c r="G5" s="7">
        <f>F5/E5-1</f>
        <v/>
      </c>
      <c r="H5" s="22" t="n">
        <v>78.5</v>
      </c>
    </row>
    <row r="6">
      <c r="A6" s="4" t="inlineStr">
        <is>
          <t>برجر ابوهاشم</t>
        </is>
      </c>
      <c r="B6" s="4" t="inlineStr">
        <is>
          <t>أبو هاشم</t>
        </is>
      </c>
      <c r="C6" s="5" t="n">
        <v>4683.26</v>
      </c>
      <c r="D6" s="5">
        <f>'تفصيل الوصفات بأسعار أغسطس'!G98</f>
        <v/>
      </c>
      <c r="E6" s="6" t="n">
        <v>74.7467</v>
      </c>
      <c r="F6" s="15">
        <f>D6/H6</f>
        <v/>
      </c>
      <c r="G6" s="7">
        <f>F6/E6-1</f>
        <v/>
      </c>
      <c r="H6" s="22" t="n">
        <v>62.655</v>
      </c>
    </row>
    <row r="7">
      <c r="A7" s="4" t="inlineStr">
        <is>
          <t>برجر اسبشيال</t>
        </is>
      </c>
      <c r="B7" s="4" t="inlineStr">
        <is>
          <t>سبيشال</t>
        </is>
      </c>
      <c r="C7" s="5" t="n">
        <v>9039.57</v>
      </c>
      <c r="D7" s="5">
        <f>'تفصيل الوصفات بأسعار أغسطس'!G123</f>
        <v/>
      </c>
      <c r="E7" s="6" t="n">
        <v>22.9204</v>
      </c>
      <c r="F7" s="15">
        <f>D7/H7</f>
        <v/>
      </c>
      <c r="G7" s="7">
        <f>F7/E7-1</f>
        <v/>
      </c>
      <c r="H7" s="22" t="n">
        <v>394.39</v>
      </c>
    </row>
    <row r="8">
      <c r="A8" s="4" t="inlineStr">
        <is>
          <t>سجق اسبشيال</t>
        </is>
      </c>
      <c r="B8" s="4" t="inlineStr">
        <is>
          <t>سبيشال</t>
        </is>
      </c>
      <c r="C8" s="5" t="n">
        <v>5605.28</v>
      </c>
      <c r="D8" s="5">
        <f>'تفصيل الوصفات بأسعار أغسطس'!G149</f>
        <v/>
      </c>
      <c r="E8" s="6" t="n">
        <v>24.5137</v>
      </c>
      <c r="F8" s="15">
        <f>D8/H8</f>
        <v/>
      </c>
      <c r="G8" s="7">
        <f>F8/E8-1</f>
        <v/>
      </c>
      <c r="H8" s="22" t="n">
        <v>228.65888</v>
      </c>
    </row>
    <row r="9">
      <c r="A9" s="4" t="inlineStr">
        <is>
          <t>كفته اسبشيال</t>
        </is>
      </c>
      <c r="B9" s="4" t="inlineStr">
        <is>
          <t>سبيشال</t>
        </is>
      </c>
      <c r="C9" s="5" t="n">
        <v>10862.36</v>
      </c>
      <c r="D9" s="5">
        <f>'تفصيل الوصفات بأسعار أغسطس'!G179</f>
        <v/>
      </c>
      <c r="E9" s="6" t="n">
        <v>29.7273</v>
      </c>
      <c r="F9" s="15">
        <f>D9/H9</f>
        <v/>
      </c>
      <c r="G9" s="7">
        <f>F9/E9-1</f>
        <v/>
      </c>
      <c r="H9" s="22" t="n">
        <v>365.4</v>
      </c>
    </row>
    <row r="10">
      <c r="A10" s="4" t="inlineStr">
        <is>
          <t>سجق الهنا</t>
        </is>
      </c>
      <c r="B10" s="4" t="inlineStr">
        <is>
          <t>الهنا</t>
        </is>
      </c>
      <c r="C10" s="5" t="n">
        <v>5116.37</v>
      </c>
      <c r="D10" s="5">
        <f>'تفصيل الوصفات بأسعار أغسطس'!G206</f>
        <v/>
      </c>
      <c r="E10" s="6" t="n">
        <v>22.5133</v>
      </c>
      <c r="F10" s="15">
        <f>D10/H10</f>
        <v/>
      </c>
      <c r="G10" s="7">
        <f>F10/E10-1</f>
        <v/>
      </c>
      <c r="H10" s="22" t="n">
        <v>227.26</v>
      </c>
    </row>
    <row r="11">
      <c r="A11" s="4" t="inlineStr">
        <is>
          <t>برجر الهنا</t>
        </is>
      </c>
      <c r="B11" s="4" t="inlineStr">
        <is>
          <t>الهنا</t>
        </is>
      </c>
      <c r="C11" s="5" t="n">
        <v>10028.56</v>
      </c>
      <c r="D11" s="5">
        <f>'تفصيل الوصفات بأسعار أغسطس'!G227</f>
        <v/>
      </c>
      <c r="E11" s="6" t="n">
        <v>23.3173</v>
      </c>
      <c r="F11" s="15">
        <f>D11/H11</f>
        <v/>
      </c>
      <c r="G11" s="7">
        <f>F11/E11-1</f>
        <v/>
      </c>
      <c r="H11" s="22" t="n">
        <v>430.09</v>
      </c>
    </row>
    <row r="12">
      <c r="A12" s="4" t="inlineStr">
        <is>
          <t>كفته الهنا</t>
        </is>
      </c>
      <c r="B12" s="4" t="inlineStr">
        <is>
          <t>الهنا</t>
        </is>
      </c>
      <c r="C12" s="5" t="n">
        <v>9039.57</v>
      </c>
      <c r="D12" s="5">
        <f>'تفصيل الوصفات بأسعار أغسطس'!G252</f>
        <v/>
      </c>
      <c r="E12" s="6" t="n">
        <v>22.9204</v>
      </c>
      <c r="F12" s="15">
        <f>D12/H12</f>
        <v/>
      </c>
      <c r="G12" s="7">
        <f>F12/E12-1</f>
        <v/>
      </c>
      <c r="H12" s="22" t="n">
        <v>394.39</v>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8"/>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2" customWidth="1" min="2" max="2"/>
    <col width="12" customWidth="1" min="3" max="3"/>
    <col width="14" customWidth="1" min="4" max="4"/>
    <col width="10" customWidth="1" min="5" max="5"/>
    <col width="14" customWidth="1" min="6" max="6"/>
    <col width="70" customWidth="1" min="7" max="7"/>
  </cols>
  <sheetData>
    <row r="1">
      <c r="A1" s="1" t="inlineStr">
        <is>
          <t>تقييم مخزون المنتج التام آخر أغسطس 2026 (وصفات التصنيع بأسعار خامات أغسطس + تكلفة التعبئة)</t>
        </is>
      </c>
    </row>
    <row r="3" ht="42" customHeight="1">
      <c r="A3" s="3" t="inlineStr">
        <is>
          <t>اسم الصنف</t>
        </is>
      </c>
      <c r="B3" s="3" t="inlineStr">
        <is>
          <t>كمية الجرد 31/8</t>
        </is>
      </c>
      <c r="C3" s="3" t="inlineStr">
        <is>
          <t>سعر يوليو</t>
        </is>
      </c>
      <c r="D3" s="3" t="inlineStr">
        <is>
          <t>سعر أغسطس المحدَّث</t>
        </is>
      </c>
      <c r="E3" s="3" t="inlineStr">
        <is>
          <t>التغير %</t>
        </is>
      </c>
      <c r="F3" s="3" t="inlineStr">
        <is>
          <t>قيمة المخزون 31/8</t>
        </is>
      </c>
      <c r="G3" s="3" t="inlineStr">
        <is>
          <t>ملاحظة</t>
        </is>
      </c>
    </row>
    <row r="4">
      <c r="A4" s="4" t="inlineStr">
        <is>
          <t>مفروم ابو هاشم 350</t>
        </is>
      </c>
      <c r="B4" s="5" t="n">
        <v>92</v>
      </c>
      <c r="C4" s="6" t="n">
        <v>84.61</v>
      </c>
      <c r="D4" s="6" t="n">
        <v>84.61</v>
      </c>
      <c r="E4" s="7">
        <f>IF(OR(C4="",D4=""),"",D4/C4-1)</f>
        <v/>
      </c>
      <c r="F4" s="5">
        <f>IF(D4="","",B4*D4)</f>
        <v/>
      </c>
      <c r="G4" s="4" t="inlineStr">
        <is>
          <t>خارج نطاق الوصفات التسع — سعر يوليو مُبقًى دون تحديث</t>
        </is>
      </c>
    </row>
    <row r="5">
      <c r="A5" s="4" t="inlineStr">
        <is>
          <t>مفروم صافي ابوهاشم 500</t>
        </is>
      </c>
      <c r="B5" s="5" t="n">
        <v>30</v>
      </c>
      <c r="C5" s="6" t="n">
        <v>126</v>
      </c>
      <c r="D5" s="6" t="n">
        <v>126</v>
      </c>
      <c r="E5" s="7">
        <f>IF(OR(C5="",D5=""),"",D5/C5-1)</f>
        <v/>
      </c>
      <c r="F5" s="5">
        <f>IF(D5="","",B5*D5)</f>
        <v/>
      </c>
      <c r="G5" s="4" t="inlineStr">
        <is>
          <t>خارج نطاق الوصفات التسع — سعر يوليو مُبقًى دون تحديث</t>
        </is>
      </c>
    </row>
    <row r="6">
      <c r="A6" s="4" t="inlineStr">
        <is>
          <t>كبده اسكندراني 370</t>
        </is>
      </c>
      <c r="B6" s="5" t="n">
        <v>172</v>
      </c>
      <c r="C6" s="6" t="n">
        <v>64.09999999999999</v>
      </c>
      <c r="D6" s="6" t="n">
        <v>64.09999999999999</v>
      </c>
      <c r="E6" s="7">
        <f>IF(OR(C6="",D6=""),"",D6/C6-1)</f>
        <v/>
      </c>
      <c r="F6" s="5">
        <f>IF(D6="","",B6*D6)</f>
        <v/>
      </c>
      <c r="G6" s="4" t="inlineStr">
        <is>
          <t>خارج نطاق الوصفات التسع — سعر يوليو مُبقًى دون تحديث</t>
        </is>
      </c>
    </row>
    <row r="7">
      <c r="A7" s="4" t="inlineStr">
        <is>
          <t>سجق ابوهاشم 3ك</t>
        </is>
      </c>
      <c r="B7" s="5" t="n">
        <v>358</v>
      </c>
      <c r="C7" s="6" t="n">
        <v>257.4375</v>
      </c>
      <c r="D7" s="6">
        <f>ROUND(3*'سعر الكجم من الوصفات'!F4+9.23,4)</f>
        <v/>
      </c>
      <c r="E7" s="7">
        <f>IF(OR(C7="",D7=""),"",D7/C7-1)</f>
        <v/>
      </c>
      <c r="F7" s="5">
        <f>IF(D7="","",B7*D7)</f>
        <v/>
      </c>
      <c r="G7" s="4" t="inlineStr">
        <is>
          <t>من وصفة «سجق ابوهاشم»: 3 كجم × سعر الكجم + تعبئة 9.23 ج.م</t>
        </is>
      </c>
    </row>
    <row r="8">
      <c r="A8" s="4" t="inlineStr">
        <is>
          <t>سجق ابوهاشم 1ك</t>
        </is>
      </c>
      <c r="B8" s="5" t="n">
        <v>0</v>
      </c>
      <c r="C8" s="6" t="n">
        <v>82.7358</v>
      </c>
      <c r="D8" s="6">
        <f>ROUND(1*'سعر الكجم من الوصفات'!F4+0,4)</f>
        <v/>
      </c>
      <c r="E8" s="7">
        <f>IF(OR(C8="",D8=""),"",D8/C8-1)</f>
        <v/>
      </c>
      <c r="F8" s="5">
        <f>IF(D8="","",B8*D8)</f>
        <v/>
      </c>
      <c r="G8" s="4" t="inlineStr">
        <is>
          <t>من وصفة «سجق ابوهاشم»: 1 كجم × سعر الكجم بدون تكلفة تعبئة (غير محددة بالوصفة) — السعر الفعلى أعلى قليلًا</t>
        </is>
      </c>
    </row>
    <row r="9">
      <c r="A9" s="4" t="inlineStr">
        <is>
          <t>سجق ابوهاشم 800</t>
        </is>
      </c>
      <c r="B9" s="5" t="n">
        <v>201</v>
      </c>
      <c r="C9" s="6" t="n">
        <v>72.4586</v>
      </c>
      <c r="D9" s="6">
        <f>ROUND(0.8*'سعر الكجم من الوصفات'!F4+6.27,4)</f>
        <v/>
      </c>
      <c r="E9" s="7">
        <f>IF(OR(C9="",D9=""),"",D9/C9-1)</f>
        <v/>
      </c>
      <c r="F9" s="5">
        <f>IF(D9="","",B9*D9)</f>
        <v/>
      </c>
      <c r="G9" s="4" t="inlineStr">
        <is>
          <t>من وصفة «سجق ابوهاشم»: 0.8 كجم × سعر الكجم + تعبئة 6.27 ج.م</t>
        </is>
      </c>
    </row>
    <row r="10">
      <c r="A10" s="4" t="inlineStr">
        <is>
          <t>سجق ابوهاشم 350</t>
        </is>
      </c>
      <c r="B10" s="5" t="n">
        <v>158</v>
      </c>
      <c r="C10" s="6" t="n">
        <v>33.6276</v>
      </c>
      <c r="D10" s="6">
        <f>ROUND(0.35*'سعر الكجم من الوصفات'!F4+4.67,4)</f>
        <v/>
      </c>
      <c r="E10" s="7">
        <f>IF(OR(C10="",D10=""),"",D10/C10-1)</f>
        <v/>
      </c>
      <c r="F10" s="5">
        <f>IF(D10="","",B10*D10)</f>
        <v/>
      </c>
      <c r="G10" s="4" t="inlineStr">
        <is>
          <t>من وصفة «سجق ابوهاشم»: 0.35 كجم × سعر الكجم + تعبئة 4.67 ج.م</t>
        </is>
      </c>
    </row>
    <row r="11">
      <c r="A11" s="4" t="inlineStr">
        <is>
          <t>كفته ابوهاشم 800</t>
        </is>
      </c>
      <c r="B11" s="5" t="n">
        <v>278</v>
      </c>
      <c r="C11" s="6" t="n">
        <v>68.5658</v>
      </c>
      <c r="D11" s="6">
        <f>ROUND(0.8*'سعر الكجم من الوصفات'!F5+5.35,4)</f>
        <v/>
      </c>
      <c r="E11" s="7">
        <f>IF(OR(C11="",D11=""),"",D11/C11-1)</f>
        <v/>
      </c>
      <c r="F11" s="5">
        <f>IF(D11="","",B11*D11)</f>
        <v/>
      </c>
      <c r="G11" s="4" t="inlineStr">
        <is>
          <t>من وصفة «كفته ابوهاشم»: 0.8 كجم × سعر الكجم + تعبئة 5.35 ج.م</t>
        </is>
      </c>
    </row>
    <row r="12">
      <c r="A12" s="4" t="inlineStr">
        <is>
          <t>كفته ابوهاشم 350</t>
        </is>
      </c>
      <c r="B12" s="5" t="n">
        <v>81</v>
      </c>
      <c r="C12" s="6" t="n">
        <v>32.1569</v>
      </c>
      <c r="D12" s="6">
        <f>ROUND(0.35*'سعر الكجم من الوصفات'!F5+4.5,4)</f>
        <v/>
      </c>
      <c r="E12" s="7">
        <f>IF(OR(C12="",D12=""),"",D12/C12-1)</f>
        <v/>
      </c>
      <c r="F12" s="5">
        <f>IF(D12="","",B12*D12)</f>
        <v/>
      </c>
      <c r="G12" s="4" t="inlineStr">
        <is>
          <t>من وصفة «كفته ابوهاشم»: 0.35 كجم × سعر الكجم + تعبئة 4.50 ج.م</t>
        </is>
      </c>
    </row>
    <row r="13">
      <c r="A13" s="4" t="inlineStr">
        <is>
          <t>برجر ابوهاشم 1.5</t>
        </is>
      </c>
      <c r="B13" s="5" t="n">
        <v>147</v>
      </c>
      <c r="C13" s="6" t="n">
        <v>118.189</v>
      </c>
      <c r="D13" s="6">
        <f>ROUND(1.5*'سعر الكجم من الوصفات'!F6+6.07,4)</f>
        <v/>
      </c>
      <c r="E13" s="7">
        <f>IF(OR(C13="",D13=""),"",D13/C13-1)</f>
        <v/>
      </c>
      <c r="F13" s="5">
        <f>IF(D13="","",B13*D13)</f>
        <v/>
      </c>
      <c r="G13" s="4" t="inlineStr">
        <is>
          <t>من وصفة «برجر ابوهاشم»: 1.5 كجم × سعر الكجم + تعبئة 6.07 ج.م</t>
        </is>
      </c>
    </row>
    <row r="14">
      <c r="A14" s="4" t="inlineStr">
        <is>
          <t>برجر ابوهاشم1100</t>
        </is>
      </c>
      <c r="B14" s="5" t="n">
        <v>240</v>
      </c>
      <c r="C14" s="6" t="n">
        <v>82.2214</v>
      </c>
      <c r="D14" s="6">
        <f>ROUND(1.1*'سعر الكجم من الوصفات'!F6+0,4)</f>
        <v/>
      </c>
      <c r="E14" s="7">
        <f>IF(OR(C14="",D14=""),"",D14/C14-1)</f>
        <v/>
      </c>
      <c r="F14" s="5">
        <f>IF(D14="","",B14*D14)</f>
        <v/>
      </c>
      <c r="G14" s="4" t="inlineStr">
        <is>
          <t>من وصفة «برجر ابوهاشم»: 1.1 كجم × سعر الكجم بدون تكلفة تعبئة (غير محددة بالوصفة) — السعر الفعلى أعلى قليلًا</t>
        </is>
      </c>
    </row>
    <row r="15">
      <c r="A15" s="4" t="inlineStr">
        <is>
          <t>برجر ابو هاشم 800</t>
        </is>
      </c>
      <c r="B15" s="5" t="n">
        <v>0</v>
      </c>
      <c r="C15" s="6" t="n">
        <v>59.7974</v>
      </c>
      <c r="D15" s="6">
        <f>ROUND(0.8*'سعر الكجم من الوصفات'!F6+0,4)</f>
        <v/>
      </c>
      <c r="E15" s="7">
        <f>IF(OR(C15="",D15=""),"",D15/C15-1)</f>
        <v/>
      </c>
      <c r="F15" s="5">
        <f>IF(D15="","",B15*D15)</f>
        <v/>
      </c>
      <c r="G15" s="4" t="inlineStr">
        <is>
          <t>من وصفة «برجر ابوهاشم»: 0.8 كجم × سعر الكجم بدون تكلفة تعبئة (غير محددة بالوصفة) — السعر الفعلى أعلى قليلًا</t>
        </is>
      </c>
    </row>
    <row r="16">
      <c r="A16" s="4" t="inlineStr">
        <is>
          <t>برجر ابوهاشم 600</t>
        </is>
      </c>
      <c r="B16" s="5" t="n">
        <v>0</v>
      </c>
      <c r="C16" s="6" t="n">
        <v>50.838</v>
      </c>
      <c r="D16" s="6">
        <f>ROUND(0.6*'سعر الكجم من الوصفات'!F6+5.99,4)</f>
        <v/>
      </c>
      <c r="E16" s="7">
        <f>IF(OR(C16="",D16=""),"",D16/C16-1)</f>
        <v/>
      </c>
      <c r="F16" s="5">
        <f>IF(D16="","",B16*D16)</f>
        <v/>
      </c>
      <c r="G16" s="4" t="inlineStr">
        <is>
          <t>من وصفة «برجر ابوهاشم»: 0.6 كجم × سعر الكجم + تعبئة 5.99 ج.م</t>
        </is>
      </c>
    </row>
    <row r="17">
      <c r="A17" s="4" t="inlineStr">
        <is>
          <t>برجر ابوهاشم 400</t>
        </is>
      </c>
      <c r="B17" s="5" t="n">
        <v>0</v>
      </c>
      <c r="C17" s="6" t="n">
        <v>34.8887</v>
      </c>
      <c r="D17" s="6">
        <f>ROUND(0.4*'سعر الكجم من الوصفات'!F6+4.99,4)</f>
        <v/>
      </c>
      <c r="E17" s="7">
        <f>IF(OR(C17="",D17=""),"",D17/C17-1)</f>
        <v/>
      </c>
      <c r="F17" s="5">
        <f>IF(D17="","",B17*D17)</f>
        <v/>
      </c>
      <c r="G17" s="4" t="inlineStr">
        <is>
          <t>من وصفة «برجر ابوهاشم»: 0.4 كجم × سعر الكجم + تعبئة 4.99 ج.م</t>
        </is>
      </c>
    </row>
    <row r="18">
      <c r="A18" s="4" t="inlineStr">
        <is>
          <t>شاورما 400</t>
        </is>
      </c>
      <c r="B18" s="5" t="n">
        <v>0</v>
      </c>
      <c r="C18" s="6" t="n"/>
      <c r="D18" s="6" t="n"/>
      <c r="E18" s="7">
        <f>IF(OR(C18="",D18=""),"",D18/C18-1)</f>
        <v/>
      </c>
      <c r="F18" s="5">
        <f>IF(D18="","",B18*D18)</f>
        <v/>
      </c>
      <c r="G18" s="4" t="inlineStr">
        <is>
          <t>منتج تام غير مشمول بالوصفات (BOM) الثلاث المرفوعة — يلزم توفير الوصفة لتسعيره</t>
        </is>
      </c>
    </row>
    <row r="19">
      <c r="A19" s="4" t="inlineStr">
        <is>
          <t>بفتيك 400</t>
        </is>
      </c>
      <c r="B19" s="5" t="n">
        <v>0</v>
      </c>
      <c r="C19" s="6" t="n"/>
      <c r="D19" s="6" t="n"/>
      <c r="E19" s="7">
        <f>IF(OR(C19="",D19=""),"",D19/C19-1)</f>
        <v/>
      </c>
      <c r="F19" s="5">
        <f>IF(D19="","",B19*D19)</f>
        <v/>
      </c>
      <c r="G19" s="4" t="inlineStr">
        <is>
          <t>منتج تام غير مشمول بالوصفات (BOM) الثلاث المرفوعة — يلزم توفير الوصفة لتسعيره</t>
        </is>
      </c>
    </row>
    <row r="20">
      <c r="A20" s="8" t="inlineStr">
        <is>
          <t>قطع 400</t>
        </is>
      </c>
      <c r="B20" s="5" t="n">
        <v>4200</v>
      </c>
      <c r="C20" s="6" t="n"/>
      <c r="D20" s="6" t="n"/>
      <c r="E20" s="7">
        <f>IF(OR(C20="",D20=""),"",D20/C20-1)</f>
        <v/>
      </c>
      <c r="F20" s="5">
        <f>IF(D20="","",B20*D20)</f>
        <v/>
      </c>
      <c r="G20" s="8" t="inlineStr">
        <is>
          <t>منتج تام غير مشمول بالوصفات (BOM) الثلاث المرفوعة — يلزم توفير الوصفة لتسعيره</t>
        </is>
      </c>
    </row>
    <row r="21">
      <c r="A21" s="4" t="inlineStr">
        <is>
          <t>قطع 800</t>
        </is>
      </c>
      <c r="B21" s="5" t="n">
        <v>0</v>
      </c>
      <c r="C21" s="6" t="n"/>
      <c r="D21" s="6" t="n"/>
      <c r="E21" s="7">
        <f>IF(OR(C21="",D21=""),"",D21/C21-1)</f>
        <v/>
      </c>
      <c r="F21" s="5">
        <f>IF(D21="","",B21*D21)</f>
        <v/>
      </c>
      <c r="G21" s="4" t="inlineStr">
        <is>
          <t>منتج تام غير مشمول بالوصفات (BOM) الثلاث المرفوعة — يلزم توفير الوصفة لتسعيره</t>
        </is>
      </c>
    </row>
    <row r="22">
      <c r="A22" s="4" t="inlineStr">
        <is>
          <t>مفروم ابو هاشم 3 ك</t>
        </is>
      </c>
      <c r="B22" s="5" t="n">
        <v>0</v>
      </c>
      <c r="C22" s="6" t="n"/>
      <c r="D22" s="6" t="n"/>
      <c r="E22" s="7">
        <f>IF(OR(C22="",D22=""),"",D22/C22-1)</f>
        <v/>
      </c>
      <c r="F22" s="5">
        <f>IF(D22="","",B22*D22)</f>
        <v/>
      </c>
      <c r="G22" s="4" t="inlineStr">
        <is>
          <t>منتج تام غير مشمول بالوصفات (BOM) الثلاث المرفوعة — يلزم توفير الوصفة لتسعيره</t>
        </is>
      </c>
    </row>
    <row r="23">
      <c r="A23" s="4" t="inlineStr">
        <is>
          <t>سجق ابو هاشم 2 ك</t>
        </is>
      </c>
      <c r="B23" s="5" t="n">
        <v>0</v>
      </c>
      <c r="C23" s="6" t="n">
        <v>165.4717</v>
      </c>
      <c r="D23" s="6">
        <f>ROUND(2*'سعر الكجم من الوصفات'!F4+0,4)</f>
        <v/>
      </c>
      <c r="E23" s="7">
        <f>IF(OR(C23="",D23=""),"",D23/C23-1)</f>
        <v/>
      </c>
      <c r="F23" s="5">
        <f>IF(D23="","",B23*D23)</f>
        <v/>
      </c>
      <c r="G23" s="4" t="inlineStr">
        <is>
          <t>من وصفة «سجق ابوهاشم»: 2 كجم × سعر الكجم بدون تكلفة تعبئة (غير محددة بالوصفة) — السعر الفعلى أعلى قليلًا</t>
        </is>
      </c>
    </row>
    <row r="24">
      <c r="A24" s="4" t="inlineStr">
        <is>
          <t>كبده امريكي3 ك</t>
        </is>
      </c>
      <c r="B24" s="5" t="n">
        <v>0</v>
      </c>
      <c r="C24" s="6" t="n"/>
      <c r="D24" s="6" t="n"/>
      <c r="E24" s="7">
        <f>IF(OR(C24="",D24=""),"",D24/C24-1)</f>
        <v/>
      </c>
      <c r="F24" s="5">
        <f>IF(D24="","",B24*D24)</f>
        <v/>
      </c>
      <c r="G24" s="4" t="inlineStr">
        <is>
          <t>منتج تام غير مشمول بالوصفات (BOM) الثلاث المرفوعة — يلزم توفير الوصفة لتسعيره</t>
        </is>
      </c>
    </row>
    <row r="25">
      <c r="A25" s="4" t="inlineStr">
        <is>
          <t>مفروم صويا-بروتين 400 ش</t>
        </is>
      </c>
      <c r="B25" s="5" t="n">
        <v>0</v>
      </c>
      <c r="C25" s="6" t="n"/>
      <c r="D25" s="6" t="n"/>
      <c r="E25" s="7">
        <f>IF(OR(C25="",D25=""),"",D25/C25-1)</f>
        <v/>
      </c>
      <c r="F25" s="5">
        <f>IF(D25="","",B25*D25)</f>
        <v/>
      </c>
      <c r="G25" s="4" t="inlineStr">
        <is>
          <t>منتج تام غير مشمول بالوصفات (BOM) الثلاث المرفوعة — يلزم توفير الوصفة لتسعيره</t>
        </is>
      </c>
    </row>
    <row r="26">
      <c r="A26" s="8" t="inlineStr">
        <is>
          <t>مفروم صويا-بروتين 400 علب</t>
        </is>
      </c>
      <c r="B26" s="5" t="n">
        <v>36</v>
      </c>
      <c r="C26" s="6" t="n"/>
      <c r="D26" s="6" t="n"/>
      <c r="E26" s="7">
        <f>IF(OR(C26="",D26=""),"",D26/C26-1)</f>
        <v/>
      </c>
      <c r="F26" s="5">
        <f>IF(D26="","",B26*D26)</f>
        <v/>
      </c>
      <c r="G26" s="8" t="inlineStr">
        <is>
          <t>منتج تام غير مشمول بالوصفات (BOM) الثلاث المرفوعة — يلزم توفير الوصفة لتسعيره</t>
        </is>
      </c>
    </row>
    <row r="27">
      <c r="A27" s="4" t="inlineStr">
        <is>
          <t>برجر ابوهاشم 1200</t>
        </is>
      </c>
      <c r="B27" s="5" t="n">
        <v>0</v>
      </c>
      <c r="C27" s="6" t="n">
        <v>95.87609999999999</v>
      </c>
      <c r="D27" s="6">
        <f>ROUND(1.2*'سعر الكجم من الوصفات'!F6+6.18,4)</f>
        <v/>
      </c>
      <c r="E27" s="7">
        <f>IF(OR(C27="",D27=""),"",D27/C27-1)</f>
        <v/>
      </c>
      <c r="F27" s="5">
        <f>IF(D27="","",B27*D27)</f>
        <v/>
      </c>
      <c r="G27" s="4" t="inlineStr">
        <is>
          <t>من وصفة «برجر ابوهاشم»: 1.2 كجم × سعر الكجم + تعبئة 6.18 ج.م</t>
        </is>
      </c>
    </row>
    <row r="28">
      <c r="A28" s="4" t="inlineStr">
        <is>
          <t>كبده اك</t>
        </is>
      </c>
      <c r="B28" s="5" t="n">
        <v>0</v>
      </c>
      <c r="C28" s="6" t="n"/>
      <c r="D28" s="6" t="n"/>
      <c r="E28" s="7">
        <f>IF(OR(C28="",D28=""),"",D28/C28-1)</f>
        <v/>
      </c>
      <c r="F28" s="5">
        <f>IF(D28="","",B28*D28)</f>
        <v/>
      </c>
      <c r="G28" s="4" t="inlineStr">
        <is>
          <t>منتج تام غير مشمول بالوصفات (BOM) الثلاث المرفوعة — يلزم توفير الوصفة لتسعيره</t>
        </is>
      </c>
    </row>
    <row r="29">
      <c r="A29" s="4" t="inlineStr">
        <is>
          <t>برجر ابوهاشم 1000</t>
        </is>
      </c>
      <c r="B29" s="5" t="n">
        <v>89</v>
      </c>
      <c r="C29" s="6" t="n">
        <v>80.3467</v>
      </c>
      <c r="D29" s="6">
        <f>ROUND(1*'سعر الكجم من الوصفات'!F6+5.6,4)</f>
        <v/>
      </c>
      <c r="E29" s="7">
        <f>IF(OR(C29="",D29=""),"",D29/C29-1)</f>
        <v/>
      </c>
      <c r="F29" s="5">
        <f>IF(D29="","",B29*D29)</f>
        <v/>
      </c>
      <c r="G29" s="4" t="inlineStr">
        <is>
          <t>من وصفة «برجر ابوهاشم»: 1 كجم × سعر الكجم + تعبئة 5.60 ج.م</t>
        </is>
      </c>
    </row>
    <row r="30">
      <c r="A30" s="4" t="inlineStr">
        <is>
          <t>ممبار</t>
        </is>
      </c>
      <c r="B30" s="5" t="n">
        <v>0</v>
      </c>
      <c r="C30" s="6" t="n"/>
      <c r="D30" s="6" t="n"/>
      <c r="E30" s="7">
        <f>IF(OR(C30="",D30=""),"",D30/C30-1)</f>
        <v/>
      </c>
      <c r="F30" s="5">
        <f>IF(D30="","",B30*D30)</f>
        <v/>
      </c>
      <c r="G30" s="4" t="inlineStr">
        <is>
          <t>منتج تام غير مشمول بالوصفات (BOM) الثلاث المرفوعة — يلزم توفير الوصفة لتسعيره</t>
        </is>
      </c>
    </row>
    <row r="31">
      <c r="A31" s="4" t="inlineStr">
        <is>
          <t>عجينة سجق ابوهاشم 1ك</t>
        </is>
      </c>
      <c r="B31" s="5" t="n">
        <v>0</v>
      </c>
      <c r="C31" s="6" t="n">
        <v>82.7358</v>
      </c>
      <c r="D31" s="6">
        <f>ROUND(1*'سعر الكجم من الوصفات'!F4+0,4)</f>
        <v/>
      </c>
      <c r="E31" s="7">
        <f>IF(OR(C31="",D31=""),"",D31/C31-1)</f>
        <v/>
      </c>
      <c r="F31" s="5">
        <f>IF(D31="","",B31*D31)</f>
        <v/>
      </c>
      <c r="G31" s="4" t="inlineStr">
        <is>
          <t>من وصفة «سجق ابوهاشم»: 1 كجم × سعر الكجم بدون تكلفة تعبئة (غير محددة بالوصفة) — السعر الفعلى أعلى قليلًا</t>
        </is>
      </c>
    </row>
    <row r="32">
      <c r="A32" s="4" t="inlineStr">
        <is>
          <t>عجينة كفته ابو هاشم 5 ك</t>
        </is>
      </c>
      <c r="B32" s="5" t="n">
        <v>0</v>
      </c>
      <c r="C32" s="6" t="n">
        <v>395.099</v>
      </c>
      <c r="D32" s="6">
        <f>ROUND(5*'سعر الكجم من الوصفات'!F5+0,4)</f>
        <v/>
      </c>
      <c r="E32" s="7">
        <f>IF(OR(C32="",D32=""),"",D32/C32-1)</f>
        <v/>
      </c>
      <c r="F32" s="5">
        <f>IF(D32="","",B32*D32)</f>
        <v/>
      </c>
      <c r="G32" s="4" t="inlineStr">
        <is>
          <t>من وصفة «كفته ابوهاشم»: 5 كجم × سعر الكجم بدون تكلفة تعبئة (غير محددة بالوصفة) — السعر الفعلى أعلى قليلًا</t>
        </is>
      </c>
    </row>
    <row r="33">
      <c r="A33" s="4" t="inlineStr">
        <is>
          <t>كفتة ابو هاشم 1ك</t>
        </is>
      </c>
      <c r="B33" s="5" t="n">
        <v>0</v>
      </c>
      <c r="C33" s="6" t="n">
        <v>79.0198</v>
      </c>
      <c r="D33" s="6">
        <f>ROUND(1*'سعر الكجم من الوصفات'!F5+0,4)</f>
        <v/>
      </c>
      <c r="E33" s="7">
        <f>IF(OR(C33="",D33=""),"",D33/C33-1)</f>
        <v/>
      </c>
      <c r="F33" s="5">
        <f>IF(D33="","",B33*D33)</f>
        <v/>
      </c>
      <c r="G33" s="4" t="inlineStr">
        <is>
          <t>من وصفة «كفته ابوهاشم»: 1 كجم × سعر الكجم بدون تكلفة تعبئة (غير محددة بالوصفة) — السعر الفعلى أعلى قليلًا</t>
        </is>
      </c>
    </row>
    <row r="34">
      <c r="A34" s="4" t="inlineStr">
        <is>
          <t>كيس كبده 3 ك برازيلي</t>
        </is>
      </c>
      <c r="B34" s="5" t="n">
        <v>0</v>
      </c>
      <c r="C34" s="6" t="n"/>
      <c r="D34" s="6" t="n"/>
      <c r="E34" s="7">
        <f>IF(OR(C34="",D34=""),"",D34/C34-1)</f>
        <v/>
      </c>
      <c r="F34" s="5">
        <f>IF(D34="","",B34*D34)</f>
        <v/>
      </c>
      <c r="G34" s="4" t="inlineStr">
        <is>
          <t>منتج تام غير مشمول بالوصفات (BOM) الثلاث المرفوعة — يلزم توفير الوصفة لتسعيره</t>
        </is>
      </c>
    </row>
    <row r="35">
      <c r="A35" s="4" t="inlineStr">
        <is>
          <t>سجق ابو هاشم 1.5 ك</t>
        </is>
      </c>
      <c r="B35" s="5" t="n">
        <v>0</v>
      </c>
      <c r="C35" s="6" t="n">
        <v>124.1038</v>
      </c>
      <c r="D35" s="6">
        <f>ROUND(1.5*'سعر الكجم من الوصفات'!F4+0,4)</f>
        <v/>
      </c>
      <c r="E35" s="7">
        <f>IF(OR(C35="",D35=""),"",D35/C35-1)</f>
        <v/>
      </c>
      <c r="F35" s="5">
        <f>IF(D35="","",B35*D35)</f>
        <v/>
      </c>
      <c r="G35" s="4" t="inlineStr">
        <is>
          <t>من وصفة «سجق ابوهاشم»: 1.5 كجم × سعر الكجم بدون تكلفة تعبئة (غير محددة بالوصفة) — السعر الفعلى أعلى قليلًا</t>
        </is>
      </c>
    </row>
    <row r="36">
      <c r="A36" s="4" t="inlineStr">
        <is>
          <t>عجينة سجق ابوهاشم 3ك</t>
        </is>
      </c>
      <c r="B36" s="5" t="n">
        <v>0</v>
      </c>
      <c r="C36" s="6" t="n">
        <v>257.4375</v>
      </c>
      <c r="D36" s="6">
        <f>ROUND(3*'سعر الكجم من الوصفات'!F4+9.23,4)</f>
        <v/>
      </c>
      <c r="E36" s="7">
        <f>IF(OR(C36="",D36=""),"",D36/C36-1)</f>
        <v/>
      </c>
      <c r="F36" s="5">
        <f>IF(D36="","",B36*D36)</f>
        <v/>
      </c>
      <c r="G36" s="4" t="inlineStr">
        <is>
          <t>من وصفة «سجق ابوهاشم»: 3 كجم × سعر الكجم + تعبئة 9.23 ج.م</t>
        </is>
      </c>
    </row>
    <row r="37">
      <c r="A37" s="4" t="inlineStr">
        <is>
          <t>كبده 500</t>
        </is>
      </c>
      <c r="B37" s="5" t="n">
        <v>0</v>
      </c>
      <c r="C37" s="6" t="n"/>
      <c r="D37" s="6" t="n"/>
      <c r="E37" s="7">
        <f>IF(OR(C37="",D37=""),"",D37/C37-1)</f>
        <v/>
      </c>
      <c r="F37" s="5">
        <f>IF(D37="","",B37*D37)</f>
        <v/>
      </c>
      <c r="G37" s="4" t="inlineStr">
        <is>
          <t>منتج تام غير مشمول بالوصفات (BOM) الثلاث المرفوعة — يلزم توفير الوصفة لتسعيره</t>
        </is>
      </c>
    </row>
    <row r="38">
      <c r="A38" s="4" t="inlineStr">
        <is>
          <t>سجق الهنا 700</t>
        </is>
      </c>
      <c r="B38" s="5" t="n">
        <v>247</v>
      </c>
      <c r="C38" s="6" t="n">
        <v>21.7492</v>
      </c>
      <c r="D38" s="6">
        <f>ROUND(0.7*'سعر الكجم من الوصفات'!F10+5.99,4)</f>
        <v/>
      </c>
      <c r="E38" s="7">
        <f>IF(OR(C38="",D38=""),"",D38/C38-1)</f>
        <v/>
      </c>
      <c r="F38" s="5">
        <f>IF(D38="","",B38*D38)</f>
        <v/>
      </c>
      <c r="G38" s="4" t="inlineStr">
        <is>
          <t>من وصفة «سجق الهنا»: 0.7 كجم × سعر الكجم + تعبئة 5.99 ج.م</t>
        </is>
      </c>
    </row>
    <row r="39">
      <c r="A39" s="4" t="inlineStr">
        <is>
          <t>سجق الهنا 300</t>
        </is>
      </c>
      <c r="B39" s="5" t="n">
        <v>1009</v>
      </c>
      <c r="C39" s="6" t="n">
        <v>11.384</v>
      </c>
      <c r="D39" s="6">
        <f>ROUND(0.3*'سعر الكجم من الوصفات'!F10+4.63,4)</f>
        <v/>
      </c>
      <c r="E39" s="7">
        <f>IF(OR(C39="",D39=""),"",D39/C39-1)</f>
        <v/>
      </c>
      <c r="F39" s="5">
        <f>IF(D39="","",B39*D39)</f>
        <v/>
      </c>
      <c r="G39" s="4" t="inlineStr">
        <is>
          <t>من وصفة «سجق الهنا»: 0.3 كجم × سعر الكجم + تعبئة 4.63 ج.م</t>
        </is>
      </c>
    </row>
    <row r="40">
      <c r="A40" s="4" t="inlineStr">
        <is>
          <t>كفته الهنا 800</t>
        </is>
      </c>
      <c r="B40" s="5" t="n">
        <v>1043</v>
      </c>
      <c r="C40" s="6" t="n">
        <v>24.4163</v>
      </c>
      <c r="D40" s="6">
        <f>ROUND(0.8*'سعر الكجم من الوصفات'!F12+6.08,4)</f>
        <v/>
      </c>
      <c r="E40" s="7">
        <f>IF(OR(C40="",D40=""),"",D40/C40-1)</f>
        <v/>
      </c>
      <c r="F40" s="5">
        <f>IF(D40="","",B40*D40)</f>
        <v/>
      </c>
      <c r="G40" s="4" t="inlineStr">
        <is>
          <t>من وصفة «كفته الهنا»: 0.8 كجم × سعر الكجم + تعبئة 6.08 ج.م</t>
        </is>
      </c>
    </row>
    <row r="41">
      <c r="A41" s="4" t="inlineStr">
        <is>
          <t>كفته الهنا 350</t>
        </is>
      </c>
      <c r="B41" s="5" t="n">
        <v>1885</v>
      </c>
      <c r="C41" s="6" t="n">
        <v>13.1976</v>
      </c>
      <c r="D41" s="6">
        <f>ROUND(0.35*'سعر الكجم من الوصفات'!F12+5.18,4)</f>
        <v/>
      </c>
      <c r="E41" s="7">
        <f>IF(OR(C41="",D41=""),"",D41/C41-1)</f>
        <v/>
      </c>
      <c r="F41" s="5">
        <f>IF(D41="","",B41*D41)</f>
        <v/>
      </c>
      <c r="G41" s="4" t="inlineStr">
        <is>
          <t>من وصفة «كفته الهنا»: 0.35 كجم × سعر الكجم + تعبئة 5.18 ج.م</t>
        </is>
      </c>
    </row>
    <row r="42">
      <c r="A42" s="4" t="inlineStr">
        <is>
          <t>برجر الهنا 800</t>
        </is>
      </c>
      <c r="B42" s="5" t="n">
        <v>60</v>
      </c>
      <c r="C42" s="6" t="n">
        <v>18.6539</v>
      </c>
      <c r="D42" s="6">
        <f>ROUND(0.8*'سعر الكجم من الوصفات'!F11+0,4)</f>
        <v/>
      </c>
      <c r="E42" s="7">
        <f>IF(OR(C42="",D42=""),"",D42/C42-1)</f>
        <v/>
      </c>
      <c r="F42" s="5">
        <f>IF(D42="","",B42*D42)</f>
        <v/>
      </c>
      <c r="G42" s="4" t="inlineStr">
        <is>
          <t>من وصفة «برجر الهنا»: 0.8 كجم × سعر الكجم بدون تكلفة تعبئة (غير محددة بالوصفة) — السعر الفعلى أعلى قليلًا</t>
        </is>
      </c>
    </row>
    <row r="43">
      <c r="A43" s="4" t="inlineStr">
        <is>
          <t>برجر الهنا 900</t>
        </is>
      </c>
      <c r="B43" s="5" t="n">
        <v>680</v>
      </c>
      <c r="C43" s="6" t="n">
        <v>27.6156</v>
      </c>
      <c r="D43" s="6">
        <f>ROUND(0.9*'سعر الكجم من الوصفات'!F11+6.63,4)</f>
        <v/>
      </c>
      <c r="E43" s="7">
        <f>IF(OR(C43="",D43=""),"",D43/C43-1)</f>
        <v/>
      </c>
      <c r="F43" s="5">
        <f>IF(D43="","",B43*D43)</f>
        <v/>
      </c>
      <c r="G43" s="4" t="inlineStr">
        <is>
          <t>من وصفة «برجر الهنا»: 0.9 كجم × سعر الكجم + تعبئة 6.63 ج.م</t>
        </is>
      </c>
    </row>
    <row r="44">
      <c r="A44" s="4" t="inlineStr">
        <is>
          <t>برجر الهنا 350</t>
        </is>
      </c>
      <c r="B44" s="5" t="n">
        <v>1051</v>
      </c>
      <c r="C44" s="6" t="n">
        <v>8.161099999999999</v>
      </c>
      <c r="D44" s="6">
        <f>ROUND(0.35*'سعر الكجم من الوصفات'!F11+0,4)</f>
        <v/>
      </c>
      <c r="E44" s="7">
        <f>IF(OR(C44="",D44=""),"",D44/C44-1)</f>
        <v/>
      </c>
      <c r="F44" s="5">
        <f>IF(D44="","",B44*D44)</f>
        <v/>
      </c>
      <c r="G44" s="4" t="inlineStr">
        <is>
          <t>من وصفة «برجر الهنا»: 0.35 كجم × سعر الكجم بدون تكلفة تعبئة (غير محددة بالوصفة) — السعر الفعلى أعلى قليلًا</t>
        </is>
      </c>
    </row>
    <row r="45">
      <c r="A45" s="4" t="inlineStr">
        <is>
          <t>سجق الهنا 3 ك</t>
        </is>
      </c>
      <c r="B45" s="5" t="n">
        <v>0</v>
      </c>
      <c r="C45" s="6" t="n">
        <v>67.5398</v>
      </c>
      <c r="D45" s="6">
        <f>ROUND(3*'سعر الكجم من الوصفات'!F10+0,4)</f>
        <v/>
      </c>
      <c r="E45" s="7">
        <f>IF(OR(C45="",D45=""),"",D45/C45-1)</f>
        <v/>
      </c>
      <c r="F45" s="5">
        <f>IF(D45="","",B45*D45)</f>
        <v/>
      </c>
      <c r="G45" s="4" t="inlineStr">
        <is>
          <t>من وصفة «سجق الهنا»: 3 كجم × سعر الكجم بدون تكلفة تعبئة (غير محددة بالوصفة) — السعر الفعلى أعلى قليلًا</t>
        </is>
      </c>
    </row>
    <row r="46">
      <c r="A46" s="4" t="inlineStr">
        <is>
          <t>سجق الهنا 5 ك</t>
        </is>
      </c>
      <c r="B46" s="5" t="n">
        <v>121</v>
      </c>
      <c r="C46" s="6" t="n">
        <v>128.6264</v>
      </c>
      <c r="D46" s="6">
        <f>ROUND(5*'سعر الكجم من الوصفات'!F10+16.06,4)</f>
        <v/>
      </c>
      <c r="E46" s="7">
        <f>IF(OR(C46="",D46=""),"",D46/C46-1)</f>
        <v/>
      </c>
      <c r="F46" s="5">
        <f>IF(D46="","",B46*D46)</f>
        <v/>
      </c>
      <c r="G46" s="4" t="inlineStr">
        <is>
          <t>من وصفة «سجق الهنا»: 5 كجم × سعر الكجم + تعبئة 16.06 ج.م</t>
        </is>
      </c>
    </row>
    <row r="47">
      <c r="A47" s="4" t="inlineStr">
        <is>
          <t>بانيه 700</t>
        </is>
      </c>
      <c r="B47" s="5" t="n">
        <v>0</v>
      </c>
      <c r="C47" s="6" t="n"/>
      <c r="D47" s="6" t="n"/>
      <c r="E47" s="7">
        <f>IF(OR(C47="",D47=""),"",D47/C47-1)</f>
        <v/>
      </c>
      <c r="F47" s="5">
        <f>IF(D47="","",B47*D47)</f>
        <v/>
      </c>
      <c r="G47" s="4" t="inlineStr">
        <is>
          <t>منتج تام غير مشمول بالوصفات (BOM) الثلاث المرفوعة — يلزم توفير الوصفة لتسعيره</t>
        </is>
      </c>
    </row>
    <row r="48">
      <c r="A48" s="4" t="inlineStr">
        <is>
          <t>بانيه 800</t>
        </is>
      </c>
      <c r="B48" s="5" t="n">
        <v>483</v>
      </c>
      <c r="C48" s="6" t="n">
        <v>44.95</v>
      </c>
      <c r="D48" s="6" t="n">
        <v>44.95</v>
      </c>
      <c r="E48" s="7">
        <f>IF(OR(C48="",D48=""),"",D48/C48-1)</f>
        <v/>
      </c>
      <c r="F48" s="5">
        <f>IF(D48="","",B48*D48)</f>
        <v/>
      </c>
      <c r="G48" s="4" t="inlineStr">
        <is>
          <t>خارج نطاق الوصفات التسع — سعر يوليو مُبقًى دون تحديث</t>
        </is>
      </c>
    </row>
    <row r="49">
      <c r="A49" s="4" t="inlineStr">
        <is>
          <t>بانيه 900</t>
        </is>
      </c>
      <c r="B49" s="5" t="n">
        <v>0</v>
      </c>
      <c r="C49" s="6" t="n"/>
      <c r="D49" s="6" t="n"/>
      <c r="E49" s="7">
        <f>IF(OR(C49="",D49=""),"",D49/C49-1)</f>
        <v/>
      </c>
      <c r="F49" s="5">
        <f>IF(D49="","",B49*D49)</f>
        <v/>
      </c>
      <c r="G49" s="4" t="inlineStr">
        <is>
          <t>منتج تام غير مشمول بالوصفات (BOM) الثلاث المرفوعة — يلزم توفير الوصفة لتسعيره</t>
        </is>
      </c>
    </row>
    <row r="50">
      <c r="A50" s="4" t="inlineStr">
        <is>
          <t>عجينه سجق هنا 5ك</t>
        </is>
      </c>
      <c r="B50" s="5" t="n">
        <v>0</v>
      </c>
      <c r="C50" s="6" t="n">
        <v>128.6264</v>
      </c>
      <c r="D50" s="6">
        <f>ROUND(5*'سعر الكجم من الوصفات'!F10+16.06,4)</f>
        <v/>
      </c>
      <c r="E50" s="7">
        <f>IF(OR(C50="",D50=""),"",D50/C50-1)</f>
        <v/>
      </c>
      <c r="F50" s="5">
        <f>IF(D50="","",B50*D50)</f>
        <v/>
      </c>
      <c r="G50" s="4" t="inlineStr">
        <is>
          <t>من وصفة «سجق الهنا»: 5 كجم × سعر الكجم + تعبئة 16.06 ج.م</t>
        </is>
      </c>
    </row>
    <row r="51">
      <c r="A51" s="4" t="inlineStr">
        <is>
          <t>سجق الهنا عرض 200ج</t>
        </is>
      </c>
      <c r="B51" s="5" t="n">
        <v>0</v>
      </c>
      <c r="C51" s="6" t="n">
        <v>4.5027</v>
      </c>
      <c r="D51" s="6">
        <f>ROUND(0.2*'سعر الكجم من الوصفات'!F10+0,4)</f>
        <v/>
      </c>
      <c r="E51" s="7">
        <f>IF(OR(C51="",D51=""),"",D51/C51-1)</f>
        <v/>
      </c>
      <c r="F51" s="5">
        <f>IF(D51="","",B51*D51)</f>
        <v/>
      </c>
      <c r="G51" s="4" t="inlineStr">
        <is>
          <t>من وصفة «سجق الهنا»: 0.2 كجم × سعر الكجم بدون تكلفة تعبئة (غير محددة بالوصفة) — السعر الفعلى أعلى قليلًا</t>
        </is>
      </c>
    </row>
    <row r="52">
      <c r="A52" s="4" t="inlineStr">
        <is>
          <t>برجر الهنا عرض 300ج</t>
        </is>
      </c>
      <c r="B52" s="5" t="n">
        <v>0</v>
      </c>
      <c r="C52" s="6" t="n">
        <v>6.9952</v>
      </c>
      <c r="D52" s="6">
        <f>ROUND(0.3*'سعر الكجم من الوصفات'!F11+0,4)</f>
        <v/>
      </c>
      <c r="E52" s="7">
        <f>IF(OR(C52="",D52=""),"",D52/C52-1)</f>
        <v/>
      </c>
      <c r="F52" s="5">
        <f>IF(D52="","",B52*D52)</f>
        <v/>
      </c>
      <c r="G52" s="4" t="inlineStr">
        <is>
          <t>من وصفة «برجر الهنا»: 0.3 كجم × سعر الكجم بدون تكلفة تعبئة (غير محددة بالوصفة) — السعر الفعلى أعلى قليلًا</t>
        </is>
      </c>
    </row>
    <row r="53">
      <c r="A53" s="4" t="inlineStr">
        <is>
          <t>كفتة الهنا عرض 200ج</t>
        </is>
      </c>
      <c r="B53" s="5" t="n">
        <v>0</v>
      </c>
      <c r="C53" s="6" t="n">
        <v>4.5841</v>
      </c>
      <c r="D53" s="6">
        <f>ROUND(0.2*'سعر الكجم من الوصفات'!F12+0,4)</f>
        <v/>
      </c>
      <c r="E53" s="7">
        <f>IF(OR(C53="",D53=""),"",D53/C53-1)</f>
        <v/>
      </c>
      <c r="F53" s="5">
        <f>IF(D53="","",B53*D53)</f>
        <v/>
      </c>
      <c r="G53" s="4" t="inlineStr">
        <is>
          <t>من وصفة «كفته الهنا»: 0.2 كجم × سعر الكجم بدون تكلفة تعبئة (غير محددة بالوصفة) — السعر الفعلى أعلى قليلًا</t>
        </is>
      </c>
    </row>
    <row r="54">
      <c r="A54" s="4" t="inlineStr">
        <is>
          <t>استبربس SP 900</t>
        </is>
      </c>
      <c r="B54" s="5" t="n">
        <v>14</v>
      </c>
      <c r="C54" s="6" t="n">
        <v>136</v>
      </c>
      <c r="D54" s="6" t="n">
        <v>136</v>
      </c>
      <c r="E54" s="7">
        <f>IF(OR(C54="",D54=""),"",D54/C54-1)</f>
        <v/>
      </c>
      <c r="F54" s="5">
        <f>IF(D54="","",B54*D54)</f>
        <v/>
      </c>
      <c r="G54" s="4" t="inlineStr">
        <is>
          <t>خارج نطاق الوصفات التسع — سعر يوليو مُبقًى دون تحديث</t>
        </is>
      </c>
    </row>
    <row r="55">
      <c r="A55" s="4" t="inlineStr">
        <is>
          <t>عرض ثلاثي الهنا&lt;سجق برجر كفته &gt;</t>
        </is>
      </c>
      <c r="B55" s="5" t="n">
        <v>0</v>
      </c>
      <c r="C55" s="6" t="n"/>
      <c r="D55" s="6" t="n"/>
      <c r="E55" s="7">
        <f>IF(OR(C55="",D55=""),"",D55/C55-1)</f>
        <v/>
      </c>
      <c r="F55" s="5">
        <f>IF(D55="","",B55*D55)</f>
        <v/>
      </c>
      <c r="G55" s="4" t="inlineStr">
        <is>
          <t>منتج تام غير مشمول بالوصفات (BOM) الثلاث المرفوعة — يلزم توفير الوصفة لتسعيره</t>
        </is>
      </c>
    </row>
    <row r="56">
      <c r="A56" s="4" t="inlineStr">
        <is>
          <t>برجر اسبيشيال1ك</t>
        </is>
      </c>
      <c r="B56" s="5" t="n">
        <v>868</v>
      </c>
      <c r="C56" s="6" t="n">
        <v>29.6204</v>
      </c>
      <c r="D56" s="6">
        <f>ROUND(1*'سعر الكجم من الوصفات'!F7+6.7,4)</f>
        <v/>
      </c>
      <c r="E56" s="7">
        <f>IF(OR(C56="",D56=""),"",D56/C56-1)</f>
        <v/>
      </c>
      <c r="F56" s="5">
        <f>IF(D56="","",B56*D56)</f>
        <v/>
      </c>
      <c r="G56" s="4" t="inlineStr">
        <is>
          <t>من وصفة «برجر اسبشيال»: 1 كجم × سعر الكجم + تعبئة 6.70 ج.م</t>
        </is>
      </c>
    </row>
    <row r="57">
      <c r="A57" s="4" t="inlineStr">
        <is>
          <t>برجر اسبيشيال 400</t>
        </is>
      </c>
      <c r="B57" s="5" t="n">
        <v>626</v>
      </c>
      <c r="C57" s="6" t="n">
        <v>14.6682</v>
      </c>
      <c r="D57" s="6">
        <f>ROUND(0.4*'سعر الكجم من الوصفات'!F7+5.5,4)</f>
        <v/>
      </c>
      <c r="E57" s="7">
        <f>IF(OR(C57="",D57=""),"",D57/C57-1)</f>
        <v/>
      </c>
      <c r="F57" s="5">
        <f>IF(D57="","",B57*D57)</f>
        <v/>
      </c>
      <c r="G57" s="4" t="inlineStr">
        <is>
          <t>من وصفة «برجر اسبشيال»: 0.4 كجم × سعر الكجم + تعبئة 5.50 ج.م</t>
        </is>
      </c>
    </row>
    <row r="58">
      <c r="A58" s="4" t="inlineStr">
        <is>
          <t>كفته اسبيشيال 900</t>
        </is>
      </c>
      <c r="B58" s="5" t="n">
        <v>876</v>
      </c>
      <c r="C58" s="6" t="n">
        <v>33.9546</v>
      </c>
      <c r="D58" s="6">
        <f>ROUND(0.9*'سعر الكجم من الوصفات'!F9+7.2,4)</f>
        <v/>
      </c>
      <c r="E58" s="7">
        <f>IF(OR(C58="",D58=""),"",D58/C58-1)</f>
        <v/>
      </c>
      <c r="F58" s="5">
        <f>IF(D58="","",B58*D58)</f>
        <v/>
      </c>
      <c r="G58" s="4" t="inlineStr">
        <is>
          <t>من وصفة «كفته اسبشيال»: 0.9 كجم × سعر الكجم + تعبئة 7.20 ج.م</t>
        </is>
      </c>
    </row>
    <row r="59">
      <c r="A59" s="4" t="inlineStr">
        <is>
          <t>كفته اسبيشيال 350</t>
        </is>
      </c>
      <c r="B59" s="5" t="n">
        <v>1155</v>
      </c>
      <c r="C59" s="6" t="n">
        <v>15.9045</v>
      </c>
      <c r="D59" s="6">
        <f>ROUND(0.35*'سعر الكجم من الوصفات'!F9+5.5,4)</f>
        <v/>
      </c>
      <c r="E59" s="7">
        <f>IF(OR(C59="",D59=""),"",D59/C59-1)</f>
        <v/>
      </c>
      <c r="F59" s="5">
        <f>IF(D59="","",B59*D59)</f>
        <v/>
      </c>
      <c r="G59" s="4" t="inlineStr">
        <is>
          <t>من وصفة «كفته اسبشيال»: 0.35 كجم × سعر الكجم + تعبئة 5.50 ج.م</t>
        </is>
      </c>
    </row>
    <row r="60">
      <c r="A60" s="4" t="inlineStr">
        <is>
          <t>سجق اسبيشيال 700</t>
        </is>
      </c>
      <c r="B60" s="5" t="n">
        <v>68</v>
      </c>
      <c r="C60" s="6" t="n">
        <v>24.3595</v>
      </c>
      <c r="D60" s="6">
        <f>ROUND(0.7*'سعر الكجم من الوصفات'!F8+7.2,4)</f>
        <v/>
      </c>
      <c r="E60" s="7">
        <f>IF(OR(C60="",D60=""),"",D60/C60-1)</f>
        <v/>
      </c>
      <c r="F60" s="5">
        <f>IF(D60="","",B60*D60)</f>
        <v/>
      </c>
      <c r="G60" s="4" t="inlineStr">
        <is>
          <t>من وصفة «سجق اسبشيال»: 0.7 كجم × سعر الكجم + تعبئة 7.20 ج.م</t>
        </is>
      </c>
    </row>
    <row r="61">
      <c r="A61" s="4" t="inlineStr">
        <is>
          <t>سجق اسبيشيال300</t>
        </is>
      </c>
      <c r="B61" s="5" t="n">
        <v>22</v>
      </c>
      <c r="C61" s="6" t="n">
        <v>12.5541</v>
      </c>
      <c r="D61" s="6">
        <f>ROUND(0.3*'سعر الكجم من الوصفات'!F8+5.2,4)</f>
        <v/>
      </c>
      <c r="E61" s="7">
        <f>IF(OR(C61="",D61=""),"",D61/C61-1)</f>
        <v/>
      </c>
      <c r="F61" s="5">
        <f>IF(D61="","",B61*D61)</f>
        <v/>
      </c>
      <c r="G61" s="4" t="inlineStr">
        <is>
          <t>من وصفة «سجق اسبشيال»: 0.3 كجم × سعر الكجم + تعبئة 5.20 ج.م</t>
        </is>
      </c>
    </row>
    <row r="62">
      <c r="A62" s="4" t="inlineStr">
        <is>
          <t>بانيه اسبيشيال900</t>
        </is>
      </c>
      <c r="B62" s="5" t="n">
        <v>36</v>
      </c>
      <c r="C62" s="6" t="n">
        <v>58.35</v>
      </c>
      <c r="D62" s="6" t="n">
        <v>58.35</v>
      </c>
      <c r="E62" s="7">
        <f>IF(OR(C62="",D62=""),"",D62/C62-1)</f>
        <v/>
      </c>
      <c r="F62" s="5">
        <f>IF(D62="","",B62*D62)</f>
        <v/>
      </c>
      <c r="G62" s="4" t="inlineStr">
        <is>
          <t>خارج نطاق الوصفات التسع — سعر يوليو مُبقًى دون تحديث</t>
        </is>
      </c>
    </row>
    <row r="63">
      <c r="A63" s="4" t="inlineStr">
        <is>
          <t>بانيه اسبيشيال 800</t>
        </is>
      </c>
      <c r="B63" s="5" t="n">
        <v>0</v>
      </c>
      <c r="C63" s="6" t="n"/>
      <c r="D63" s="6" t="n"/>
      <c r="E63" s="7">
        <f>IF(OR(C63="",D63=""),"",D63/C63-1)</f>
        <v/>
      </c>
      <c r="F63" s="5">
        <f>IF(D63="","",B63*D63)</f>
        <v/>
      </c>
      <c r="G63" s="4" t="inlineStr">
        <is>
          <t>منتج تام غير مشمول بالوصفات (BOM) الثلاث المرفوعة — يلزم توفير الوصفة لتسعيره</t>
        </is>
      </c>
    </row>
    <row r="64">
      <c r="A64" s="4" t="inlineStr">
        <is>
          <t>بانيه اسبيشيال حار800</t>
        </is>
      </c>
      <c r="B64" s="5" t="n">
        <v>0</v>
      </c>
      <c r="C64" s="6" t="n"/>
      <c r="D64" s="6" t="n"/>
      <c r="E64" s="7">
        <f>IF(OR(C64="",D64=""),"",D64/C64-1)</f>
        <v/>
      </c>
      <c r="F64" s="5">
        <f>IF(D64="","",B64*D64)</f>
        <v/>
      </c>
      <c r="G64" s="4" t="inlineStr">
        <is>
          <t>منتج تام غير مشمول بالوصفات (BOM) الثلاث المرفوعة — يلزم توفير الوصفة لتسعيره</t>
        </is>
      </c>
    </row>
    <row r="65">
      <c r="A65" s="4" t="inlineStr">
        <is>
          <t>سجق اسبشيال 5ك</t>
        </is>
      </c>
      <c r="B65" s="5" t="n">
        <v>0</v>
      </c>
      <c r="C65" s="6" t="n">
        <v>136.5684</v>
      </c>
      <c r="D65" s="6">
        <f>ROUND(5*'سعر الكجم من الوصفات'!F8+14,4)</f>
        <v/>
      </c>
      <c r="E65" s="7">
        <f>IF(OR(C65="",D65=""),"",D65/C65-1)</f>
        <v/>
      </c>
      <c r="F65" s="5">
        <f>IF(D65="","",B65*D65)</f>
        <v/>
      </c>
      <c r="G65" s="4" t="inlineStr">
        <is>
          <t>من وصفة «سجق اسبشيال»: 5 كجم × سعر الكجم + تعبئة 14.00 ج.م</t>
        </is>
      </c>
    </row>
    <row r="66">
      <c r="A66" s="4" t="inlineStr">
        <is>
          <t>استبربس 800</t>
        </is>
      </c>
      <c r="B66" s="5" t="n">
        <v>0</v>
      </c>
      <c r="C66" s="6" t="n"/>
      <c r="D66" s="6" t="n"/>
      <c r="E66" s="7">
        <f>IF(OR(C66="",D66=""),"",D66/C66-1)</f>
        <v/>
      </c>
      <c r="F66" s="5">
        <f>IF(D66="","",B66*D66)</f>
        <v/>
      </c>
      <c r="G66" s="4" t="inlineStr">
        <is>
          <t>منتج تام غير مشمول بالوصفات (BOM) الثلاث المرفوعة — يلزم توفير الوصفة لتسعيره</t>
        </is>
      </c>
    </row>
    <row r="67">
      <c r="A67" s="4" t="inlineStr">
        <is>
          <t>مفروم اسبيشيال 400</t>
        </is>
      </c>
      <c r="B67" s="5" t="n">
        <v>0</v>
      </c>
      <c r="C67" s="6" t="n"/>
      <c r="D67" s="6" t="n"/>
      <c r="E67" s="7">
        <f>IF(OR(C67="",D67=""),"",D67/C67-1)</f>
        <v/>
      </c>
      <c r="F67" s="5">
        <f>IF(D67="","",B67*D67)</f>
        <v/>
      </c>
      <c r="G67" s="4" t="inlineStr">
        <is>
          <t>منتج تام غير مشمول بالوصفات (BOM) الثلاث المرفوعة — يلزم توفير الوصفة لتسعيره</t>
        </is>
      </c>
    </row>
    <row r="68">
      <c r="A68" s="4" t="inlineStr">
        <is>
          <t>عجينه بقري اسبيشيال 5 كيلو</t>
        </is>
      </c>
      <c r="B68" s="5" t="n">
        <v>14</v>
      </c>
      <c r="C68" s="6" t="n">
        <v>390</v>
      </c>
      <c r="D68" s="6" t="n">
        <v>390</v>
      </c>
      <c r="E68" s="7">
        <f>IF(OR(C68="",D68=""),"",D68/C68-1)</f>
        <v/>
      </c>
      <c r="F68" s="5">
        <f>IF(D68="","",B68*D68)</f>
        <v/>
      </c>
      <c r="G68" s="4" t="inlineStr">
        <is>
          <t>خارج نطاق الوصفات التسع — سعر يوليو مُبقًى دون تحديث</t>
        </is>
      </c>
    </row>
    <row r="69">
      <c r="A69" s="4" t="inlineStr">
        <is>
          <t>عجينه مفروم صويا</t>
        </is>
      </c>
      <c r="B69" s="5" t="n">
        <v>0</v>
      </c>
      <c r="C69" s="6" t="n"/>
      <c r="D69" s="6" t="n"/>
      <c r="E69" s="7">
        <f>IF(OR(C69="",D69=""),"",D69/C69-1)</f>
        <v/>
      </c>
      <c r="F69" s="5">
        <f>IF(D69="","",B69*D69)</f>
        <v/>
      </c>
      <c r="G69" s="4" t="inlineStr">
        <is>
          <t>منتج تام غير مشمول بالوصفات (BOM) الثلاث المرفوعة — يلزم توفير الوصفة لتسعيره</t>
        </is>
      </c>
    </row>
    <row r="70">
      <c r="A70" s="4" t="inlineStr">
        <is>
          <t>كبده اسبيشيال 400</t>
        </is>
      </c>
      <c r="B70" s="5" t="n">
        <v>0</v>
      </c>
      <c r="C70" s="6" t="n"/>
      <c r="D70" s="6" t="n"/>
      <c r="E70" s="7">
        <f>IF(OR(C70="",D70=""),"",D70/C70-1)</f>
        <v/>
      </c>
      <c r="F70" s="5">
        <f>IF(D70="","",B70*D70)</f>
        <v/>
      </c>
      <c r="G70" s="4" t="inlineStr">
        <is>
          <t>منتج تام غير مشمول بالوصفات (BOM) الثلاث المرفوعة — يلزم توفير الوصفة لتسعيره</t>
        </is>
      </c>
    </row>
    <row r="71">
      <c r="A71" s="4" t="inlineStr">
        <is>
          <t>برجر مخصوص</t>
        </is>
      </c>
      <c r="B71" s="5" t="n">
        <v>0</v>
      </c>
      <c r="C71" s="6" t="n"/>
      <c r="D71" s="6" t="n"/>
      <c r="E71" s="7">
        <f>IF(OR(C71="",D71=""),"",D71/C71-1)</f>
        <v/>
      </c>
      <c r="F71" s="5">
        <f>IF(D71="","",B71*D71)</f>
        <v/>
      </c>
      <c r="G71" s="4" t="inlineStr">
        <is>
          <t>منتج تام غير مشمول بالوصفات (BOM) الثلاث المرفوعة — يلزم توفير الوصفة لتسعيره</t>
        </is>
      </c>
    </row>
    <row r="72">
      <c r="A72" s="4" t="inlineStr">
        <is>
          <t>كفتة مخصوص</t>
        </is>
      </c>
      <c r="B72" s="5" t="n">
        <v>0</v>
      </c>
      <c r="C72" s="6" t="n"/>
      <c r="D72" s="6" t="n"/>
      <c r="E72" s="7">
        <f>IF(OR(C72="",D72=""),"",D72/C72-1)</f>
        <v/>
      </c>
      <c r="F72" s="5">
        <f>IF(D72="","",B72*D72)</f>
        <v/>
      </c>
      <c r="G72" s="4" t="inlineStr">
        <is>
          <t>منتج تام غير مشمول بالوصفات (BOM) الثلاث المرفوعة — يلزم توفير الوصفة لتسعيره</t>
        </is>
      </c>
    </row>
    <row r="73">
      <c r="A73" s="4" t="inlineStr">
        <is>
          <t>سجق مخصوص 1ك</t>
        </is>
      </c>
      <c r="B73" s="5" t="n">
        <v>0</v>
      </c>
      <c r="C73" s="6" t="n"/>
      <c r="D73" s="6" t="n"/>
      <c r="E73" s="7">
        <f>IF(OR(C73="",D73=""),"",D73/C73-1)</f>
        <v/>
      </c>
      <c r="F73" s="5">
        <f>IF(D73="","",B73*D73)</f>
        <v/>
      </c>
      <c r="G73" s="4" t="inlineStr">
        <is>
          <t>منتج تام غير مشمول بالوصفات (BOM) الثلاث المرفوعة — يلزم توفير الوصفة لتسعيره</t>
        </is>
      </c>
    </row>
    <row r="74">
      <c r="A74" s="4" t="inlineStr">
        <is>
          <t>عرض ثلاثي &lt;سجق برجر كفته 700جرام&gt;</t>
        </is>
      </c>
      <c r="B74" s="5" t="n">
        <v>0</v>
      </c>
      <c r="C74" s="6" t="n"/>
      <c r="D74" s="6" t="n"/>
      <c r="E74" s="7">
        <f>IF(OR(C74="",D74=""),"",D74/C74-1)</f>
        <v/>
      </c>
      <c r="F74" s="5">
        <f>IF(D74="","",B74*D74)</f>
        <v/>
      </c>
      <c r="G74" s="4" t="inlineStr">
        <is>
          <t>منتج تام غير مشمول بالوصفات (BOM) الثلاث المرفوعة — يلزم توفير الوصفة لتسعيره</t>
        </is>
      </c>
    </row>
    <row r="75">
      <c r="A75" s="4" t="inlineStr">
        <is>
          <t>عجينه بقري اسبيشيال 500جرام</t>
        </is>
      </c>
      <c r="B75" s="5" t="n">
        <v>0</v>
      </c>
      <c r="C75" s="6" t="n"/>
      <c r="D75" s="6" t="n"/>
      <c r="E75" s="7">
        <f>IF(OR(C75="",D75=""),"",D75/C75-1)</f>
        <v/>
      </c>
      <c r="F75" s="5">
        <f>IF(D75="","",B75*D75)</f>
        <v/>
      </c>
      <c r="G75" s="4" t="inlineStr">
        <is>
          <t>منتج تام غير مشمول بالوصفات (BOM) الثلاث المرفوعة — يلزم توفير الوصفة لتسعيره</t>
        </is>
      </c>
    </row>
    <row r="76">
      <c r="A76" s="4" t="inlineStr">
        <is>
          <t>بانيه 5كيلو حار</t>
        </is>
      </c>
      <c r="B76" s="5" t="n">
        <v>0</v>
      </c>
      <c r="C76" s="6" t="n"/>
      <c r="D76" s="6" t="n"/>
      <c r="E76" s="7">
        <f>IF(OR(C76="",D76=""),"",D76/C76-1)</f>
        <v/>
      </c>
      <c r="F76" s="5">
        <f>IF(D76="","",B76*D76)</f>
        <v/>
      </c>
      <c r="G76" s="4" t="inlineStr">
        <is>
          <t>منتج تام غير مشمول بالوصفات (BOM) الثلاث المرفوعة — يلزم توفير الوصفة لتسعيره</t>
        </is>
      </c>
    </row>
    <row r="77">
      <c r="A77" s="4" t="inlineStr">
        <is>
          <t>عجينة بقرى 250ج</t>
        </is>
      </c>
      <c r="B77" s="5" t="n">
        <v>0</v>
      </c>
      <c r="C77" s="6" t="n"/>
      <c r="D77" s="6" t="n"/>
      <c r="E77" s="7">
        <f>IF(OR(C77="",D77=""),"",D77/C77-1)</f>
        <v/>
      </c>
      <c r="F77" s="5">
        <f>IF(D77="","",B77*D77)</f>
        <v/>
      </c>
      <c r="G77" s="4" t="inlineStr">
        <is>
          <t>منتج تام غير مشمول بالوصفات (BOM) الثلاث المرفوعة — يلزم توفير الوصفة لتسعيره</t>
        </is>
      </c>
    </row>
    <row r="78">
      <c r="A78" s="4" t="inlineStr">
        <is>
          <t>مفروم صافى 5ك</t>
        </is>
      </c>
      <c r="B78" s="5" t="n">
        <v>0</v>
      </c>
      <c r="C78" s="6" t="n"/>
      <c r="D78" s="6" t="n"/>
      <c r="E78" s="7">
        <f>IF(OR(C78="",D78=""),"",D78/C78-1)</f>
        <v/>
      </c>
      <c r="F78" s="5">
        <f>IF(D78="","",B78*D78)</f>
        <v/>
      </c>
      <c r="G78" s="4" t="inlineStr">
        <is>
          <t>منتج تام غير مشمول بالوصفات (BOM) الثلاث المرفوعة — يلزم توفير الوصفة لتسعيره</t>
        </is>
      </c>
    </row>
    <row r="79">
      <c r="A79" s="4" t="inlineStr">
        <is>
          <t>موزة فرخة</t>
        </is>
      </c>
      <c r="B79" s="5" t="n">
        <v>0</v>
      </c>
      <c r="C79" s="6" t="n"/>
      <c r="D79" s="6" t="n"/>
      <c r="E79" s="7">
        <f>IF(OR(C79="",D79=""),"",D79/C79-1)</f>
        <v/>
      </c>
      <c r="F79" s="5">
        <f>IF(D79="","",B79*D79)</f>
        <v/>
      </c>
      <c r="G79" s="4" t="inlineStr">
        <is>
          <t>منتج تام غير مشمول بالوصفات (BOM) الثلاث المرفوعة — يلزم توفير الوصفة لتسعيره</t>
        </is>
      </c>
    </row>
    <row r="80">
      <c r="A80" s="4" t="inlineStr">
        <is>
          <t>بانيه بارد دوفا</t>
        </is>
      </c>
      <c r="B80" s="5" t="n">
        <v>0</v>
      </c>
      <c r="C80" s="6" t="n"/>
      <c r="D80" s="6" t="n"/>
      <c r="E80" s="7">
        <f>IF(OR(C80="",D80=""),"",D80/C80-1)</f>
        <v/>
      </c>
      <c r="F80" s="5">
        <f>IF(D80="","",B80*D80)</f>
        <v/>
      </c>
      <c r="G80" s="4" t="inlineStr">
        <is>
          <t>منتج تام غير مشمول بالوصفات (BOM) الثلاث المرفوعة — يلزم توفير الوصفة لتسعيره</t>
        </is>
      </c>
    </row>
    <row r="81">
      <c r="A81" s="4" t="inlineStr">
        <is>
          <t>خام عجينة سجق أبو هاشم</t>
        </is>
      </c>
      <c r="B81" s="5" t="n">
        <v>0</v>
      </c>
      <c r="C81" s="6" t="n"/>
      <c r="D81" s="6" t="n"/>
      <c r="E81" s="7">
        <f>IF(OR(C81="",D81=""),"",D81/C81-1)</f>
        <v/>
      </c>
      <c r="F81" s="5">
        <f>IF(D81="","",B81*D81)</f>
        <v/>
      </c>
      <c r="G81" s="4" t="inlineStr">
        <is>
          <t>منتج تام غير مشمول بالوصفات (BOM) الثلاث المرفوعة — يلزم توفير الوصفة لتسعيره</t>
        </is>
      </c>
    </row>
    <row r="82">
      <c r="A82" s="4" t="inlineStr">
        <is>
          <t>خام عجينة كفته أبو هاشم</t>
        </is>
      </c>
      <c r="B82" s="5" t="n">
        <v>0</v>
      </c>
      <c r="C82" s="6" t="n"/>
      <c r="D82" s="6" t="n"/>
      <c r="E82" s="7">
        <f>IF(OR(C82="",D82=""),"",D82/C82-1)</f>
        <v/>
      </c>
      <c r="F82" s="5">
        <f>IF(D82="","",B82*D82)</f>
        <v/>
      </c>
      <c r="G82" s="4" t="inlineStr">
        <is>
          <t>منتج تام غير مشمول بالوصفات (BOM) الثلاث المرفوعة — يلزم توفير الوصفة لتسعيره</t>
        </is>
      </c>
    </row>
    <row r="83">
      <c r="A83" s="4" t="inlineStr">
        <is>
          <t>خام عجينة برجر أبو هاشم</t>
        </is>
      </c>
      <c r="B83" s="5" t="n">
        <v>0</v>
      </c>
      <c r="C83" s="6" t="n"/>
      <c r="D83" s="6" t="n"/>
      <c r="E83" s="7">
        <f>IF(OR(C83="",D83=""),"",D83/C83-1)</f>
        <v/>
      </c>
      <c r="F83" s="5">
        <f>IF(D83="","",B83*D83)</f>
        <v/>
      </c>
      <c r="G83" s="4" t="inlineStr">
        <is>
          <t>منتج تام غير مشمول بالوصفات (BOM) الثلاث المرفوعة — يلزم توفير الوصفة لتسعيره</t>
        </is>
      </c>
    </row>
    <row r="84">
      <c r="A84" s="4" t="inlineStr">
        <is>
          <t>خام مفروم صافى 5ك</t>
        </is>
      </c>
      <c r="B84" s="5" t="n">
        <v>0</v>
      </c>
      <c r="C84" s="6" t="n"/>
      <c r="D84" s="6" t="n"/>
      <c r="E84" s="7">
        <f>IF(OR(C84="",D84=""),"",D84/C84-1)</f>
        <v/>
      </c>
      <c r="F84" s="5">
        <f>IF(D84="","",B84*D84)</f>
        <v/>
      </c>
      <c r="G84" s="4" t="inlineStr">
        <is>
          <t>منتج تام غير مشمول بالوصفات (BOM) الثلاث المرفوعة — يلزم توفير الوصفة لتسعيره</t>
        </is>
      </c>
    </row>
    <row r="85">
      <c r="A85" s="4" t="inlineStr">
        <is>
          <t>خام عجينة برجر اسبيشيال</t>
        </is>
      </c>
      <c r="B85" s="5" t="n">
        <v>0</v>
      </c>
      <c r="C85" s="6" t="n"/>
      <c r="D85" s="6" t="n"/>
      <c r="E85" s="7">
        <f>IF(OR(C85="",D85=""),"",D85/C85-1)</f>
        <v/>
      </c>
      <c r="F85" s="5">
        <f>IF(D85="","",B85*D85)</f>
        <v/>
      </c>
      <c r="G85" s="4" t="inlineStr">
        <is>
          <t>منتج تام غير مشمول بالوصفات (BOM) الثلاث المرفوعة — يلزم توفير الوصفة لتسعيره</t>
        </is>
      </c>
    </row>
    <row r="86">
      <c r="A86" s="4" t="inlineStr">
        <is>
          <t>خاج عجينة كفته اسبيشيال</t>
        </is>
      </c>
      <c r="B86" s="5" t="n">
        <v>0</v>
      </c>
      <c r="C86" s="6" t="n"/>
      <c r="D86" s="6" t="n"/>
      <c r="E86" s="7">
        <f>IF(OR(C86="",D86=""),"",D86/C86-1)</f>
        <v/>
      </c>
      <c r="F86" s="5">
        <f>IF(D86="","",B86*D86)</f>
        <v/>
      </c>
      <c r="G86" s="4" t="inlineStr">
        <is>
          <t>المنتج معروف ضمن القائمة التسعة لكن لا يمكن تحديد الوزن/المقاس من اسم الصنف</t>
        </is>
      </c>
    </row>
    <row r="87">
      <c r="A87" s="4" t="inlineStr">
        <is>
          <t>خام مفروم اسبيشيال</t>
        </is>
      </c>
      <c r="B87" s="5" t="n">
        <v>0</v>
      </c>
      <c r="C87" s="6" t="n"/>
      <c r="D87" s="6" t="n"/>
      <c r="E87" s="7">
        <f>IF(OR(C87="",D87=""),"",D87/C87-1)</f>
        <v/>
      </c>
      <c r="F87" s="5">
        <f>IF(D87="","",B87*D87)</f>
        <v/>
      </c>
      <c r="G87" s="4" t="inlineStr">
        <is>
          <t>منتج تام غير مشمول بالوصفات (BOM) الثلاث المرفوعة — يلزم توفير الوصفة لتسعيره</t>
        </is>
      </c>
    </row>
    <row r="88">
      <c r="A88" s="4" t="inlineStr">
        <is>
          <t>خام عجينه بقري اسبيشيال</t>
        </is>
      </c>
      <c r="B88" s="5" t="n">
        <v>0</v>
      </c>
      <c r="C88" s="6" t="n"/>
      <c r="D88" s="6" t="n"/>
      <c r="E88" s="7">
        <f>IF(OR(C88="",D88=""),"",D88/C88-1)</f>
        <v/>
      </c>
      <c r="F88" s="5">
        <f>IF(D88="","",B88*D88)</f>
        <v/>
      </c>
      <c r="G88" s="4" t="inlineStr">
        <is>
          <t>منتج تام غير مشمول بالوصفات (BOM) الثلاث المرفوعة — يلزم توفير الوصفة لتسعيره</t>
        </is>
      </c>
    </row>
    <row r="89">
      <c r="A89" s="4" t="inlineStr">
        <is>
          <t>خام عجينه مفروم صويا</t>
        </is>
      </c>
      <c r="B89" s="5" t="n">
        <v>0</v>
      </c>
      <c r="C89" s="6" t="n"/>
      <c r="D89" s="6" t="n"/>
      <c r="E89" s="7">
        <f>IF(OR(C89="",D89=""),"",D89/C89-1)</f>
        <v/>
      </c>
      <c r="F89" s="5">
        <f>IF(D89="","",B89*D89)</f>
        <v/>
      </c>
      <c r="G89" s="4" t="inlineStr">
        <is>
          <t>منتج تام غير مشمول بالوصفات (BOM) الثلاث المرفوعة — يلزم توفير الوصفة لتسعيره</t>
        </is>
      </c>
    </row>
    <row r="90">
      <c r="A90" s="4" t="inlineStr">
        <is>
          <t>خام عجينه سجق اسبيشيال</t>
        </is>
      </c>
      <c r="B90" s="5" t="n">
        <v>0</v>
      </c>
      <c r="C90" s="6" t="n"/>
      <c r="D90" s="6" t="n"/>
      <c r="E90" s="7">
        <f>IF(OR(C90="",D90=""),"",D90/C90-1)</f>
        <v/>
      </c>
      <c r="F90" s="5">
        <f>IF(D90="","",B90*D90)</f>
        <v/>
      </c>
      <c r="G90" s="4" t="inlineStr">
        <is>
          <t>المنتج معروف ضمن القائمة التسعة لكن لا يمكن تحديد الوزن/المقاس من اسم الصنف</t>
        </is>
      </c>
    </row>
    <row r="91">
      <c r="A91" s="4" t="inlineStr">
        <is>
          <t>خام مفروم صويا الهنا</t>
        </is>
      </c>
      <c r="B91" s="5" t="n">
        <v>0</v>
      </c>
      <c r="C91" s="6" t="n"/>
      <c r="D91" s="6" t="n"/>
      <c r="E91" s="7">
        <f>IF(OR(C91="",D91=""),"",D91/C91-1)</f>
        <v/>
      </c>
      <c r="F91" s="5">
        <f>IF(D91="","",B91*D91)</f>
        <v/>
      </c>
      <c r="G91" s="4" t="inlineStr">
        <is>
          <t>منتج تام غير مشمول بالوصفات (BOM) الثلاث المرفوعة — يلزم توفير الوصفة لتسعيره</t>
        </is>
      </c>
    </row>
    <row r="92">
      <c r="A92" s="4" t="inlineStr">
        <is>
          <t>خام عجينة برجر الهنا</t>
        </is>
      </c>
      <c r="B92" s="5" t="n">
        <v>0</v>
      </c>
      <c r="C92" s="6" t="n"/>
      <c r="D92" s="6" t="n"/>
      <c r="E92" s="7">
        <f>IF(OR(C92="",D92=""),"",D92/C92-1)</f>
        <v/>
      </c>
      <c r="F92" s="5">
        <f>IF(D92="","",B92*D92)</f>
        <v/>
      </c>
      <c r="G92" s="4" t="inlineStr">
        <is>
          <t>منتج تام غير مشمول بالوصفات (BOM) الثلاث المرفوعة — يلزم توفير الوصفة لتسعيره</t>
        </is>
      </c>
    </row>
    <row r="93">
      <c r="A93" s="4" t="inlineStr">
        <is>
          <t>خام عجينة كفته الهنا</t>
        </is>
      </c>
      <c r="B93" s="5" t="n">
        <v>0</v>
      </c>
      <c r="C93" s="6" t="n"/>
      <c r="D93" s="6" t="n"/>
      <c r="E93" s="7">
        <f>IF(OR(C93="",D93=""),"",D93/C93-1)</f>
        <v/>
      </c>
      <c r="F93" s="5">
        <f>IF(D93="","",B93*D93)</f>
        <v/>
      </c>
      <c r="G93" s="4" t="inlineStr">
        <is>
          <t>المنتج معروف ضمن القائمة التسعة لكن لا يمكن تحديد الوزن/المقاس من اسم الصنف</t>
        </is>
      </c>
    </row>
    <row r="94">
      <c r="A94" s="4" t="inlineStr">
        <is>
          <t>خام عجينة سجق الهنا</t>
        </is>
      </c>
      <c r="B94" s="5" t="n">
        <v>0</v>
      </c>
      <c r="C94" s="6" t="n"/>
      <c r="D94" s="6" t="n"/>
      <c r="E94" s="7">
        <f>IF(OR(C94="",D94=""),"",D94/C94-1)</f>
        <v/>
      </c>
      <c r="F94" s="5">
        <f>IF(D94="","",B94*D94)</f>
        <v/>
      </c>
      <c r="G94" s="4" t="inlineStr">
        <is>
          <t>المنتج معروف ضمن القائمة التسعة لكن لا يمكن تحديد الوزن/المقاس من اسم الصنف</t>
        </is>
      </c>
    </row>
    <row r="95">
      <c r="A95" s="4" t="inlineStr">
        <is>
          <t>كفته أبو هاشم 1 ك</t>
        </is>
      </c>
      <c r="B95" s="5" t="n">
        <v>3</v>
      </c>
      <c r="C95" s="6" t="n">
        <v>79.0198</v>
      </c>
      <c r="D95" s="6">
        <f>ROUND(1*'سعر الكجم من الوصفات'!F5+0,4)</f>
        <v/>
      </c>
      <c r="E95" s="7">
        <f>IF(OR(C95="",D95=""),"",D95/C95-1)</f>
        <v/>
      </c>
      <c r="F95" s="5">
        <f>IF(D95="","",B95*D95)</f>
        <v/>
      </c>
      <c r="G95" s="4" t="inlineStr">
        <is>
          <t>من وصفة «كفته ابوهاشم»: 1 كجم × سعر الكجم بدون تكلفة تعبئة (غير محددة بالوصفة) — السعر الفعلى أعلى قليلًا | نفس الصنف «كفتة ابو هاشم 1ك» بفرق إملائى</t>
        </is>
      </c>
    </row>
    <row r="96">
      <c r="A96" s="4" t="inlineStr">
        <is>
          <t>لحمة قطع كيلو أبو هاشم</t>
        </is>
      </c>
      <c r="B96" s="5" t="n">
        <v>0</v>
      </c>
      <c r="C96" s="6" t="n"/>
      <c r="D96" s="6" t="n"/>
      <c r="E96" s="7">
        <f>IF(OR(C96="",D96=""),"",D96/C96-1)</f>
        <v/>
      </c>
      <c r="F96" s="5">
        <f>IF(D96="","",B96*D96)</f>
        <v/>
      </c>
      <c r="G96" s="4" t="inlineStr">
        <is>
          <t>منتج تام غير مشمول بالوصفات (BOM) الثلاث المرفوعة — يلزم توفير الوصفة لتسعيره</t>
        </is>
      </c>
    </row>
    <row r="97">
      <c r="A97" s="4" t="inlineStr">
        <is>
          <t>كبده اسبيشيال 3 ك</t>
        </is>
      </c>
      <c r="B97" s="5" t="n">
        <v>0</v>
      </c>
      <c r="C97" s="6" t="n"/>
      <c r="D97" s="6" t="n"/>
      <c r="E97" s="7">
        <f>IF(OR(C97="",D97=""),"",D97/C97-1)</f>
        <v/>
      </c>
      <c r="F97" s="5">
        <f>IF(D97="","",B97*D97)</f>
        <v/>
      </c>
      <c r="G97" s="4" t="inlineStr">
        <is>
          <t>منتج تام غير مشمول بالوصفات (BOM) الثلاث المرفوعة — يلزم توفير الوصفة لتسعيره</t>
        </is>
      </c>
    </row>
    <row r="98">
      <c r="A98" s="4" t="inlineStr">
        <is>
          <t>بفتيك 600</t>
        </is>
      </c>
      <c r="B98" s="5" t="n">
        <v>0</v>
      </c>
      <c r="C98" s="6" t="n"/>
      <c r="D98" s="6" t="n"/>
      <c r="E98" s="7">
        <f>IF(OR(C98="",D98=""),"",D98/C98-1)</f>
        <v/>
      </c>
      <c r="F98" s="5">
        <f>IF(D98="","",B98*D98)</f>
        <v/>
      </c>
      <c r="G98" s="4" t="inlineStr">
        <is>
          <t>منتج تام غير مشمول بالوصفات (BOM) الثلاث المرفوعة — يلزم توفير الوصفة لتسعيره</t>
        </is>
      </c>
    </row>
    <row r="99">
      <c r="A99" s="4" t="inlineStr">
        <is>
          <t>عجينة كفته الهنا الـ5 ك</t>
        </is>
      </c>
      <c r="B99" s="5" t="n">
        <v>0</v>
      </c>
      <c r="C99" s="6" t="n">
        <v>128.862</v>
      </c>
      <c r="D99" s="6">
        <f>ROUND(5*'سعر الكجم من الوصفات'!F12+14.26,4)</f>
        <v/>
      </c>
      <c r="E99" s="7">
        <f>IF(OR(C99="",D99=""),"",D99/C99-1)</f>
        <v/>
      </c>
      <c r="F99" s="5">
        <f>IF(D99="","",B99*D99)</f>
        <v/>
      </c>
      <c r="G99" s="4" t="inlineStr">
        <is>
          <t>من وصفة «كفته الهنا»: 5 كجم × سعر الكجم + تعبئة 14.26 ج.م</t>
        </is>
      </c>
    </row>
    <row r="100">
      <c r="A100" s="4" t="inlineStr">
        <is>
          <t>عجينة بقري 1 ك</t>
        </is>
      </c>
      <c r="B100" s="5" t="n">
        <v>0</v>
      </c>
      <c r="C100" s="6" t="n"/>
      <c r="D100" s="6" t="n"/>
      <c r="E100" s="7">
        <f>IF(OR(C100="",D100=""),"",D100/C100-1)</f>
        <v/>
      </c>
      <c r="F100" s="5">
        <f>IF(D100="","",B100*D100)</f>
        <v/>
      </c>
      <c r="G100" s="4" t="inlineStr">
        <is>
          <t>منتج تام غير مشمول بالوصفات (BOM) الثلاث المرفوعة — يلزم توفير الوصفة لتسعيره</t>
        </is>
      </c>
    </row>
    <row r="101">
      <c r="A101" s="4" t="inlineStr">
        <is>
          <t>عجينة بقري 3 ك</t>
        </is>
      </c>
      <c r="B101" s="5" t="n">
        <v>0</v>
      </c>
      <c r="C101" s="6" t="n"/>
      <c r="D101" s="6" t="n"/>
      <c r="E101" s="7">
        <f>IF(OR(C101="",D101=""),"",D101/C101-1)</f>
        <v/>
      </c>
      <c r="F101" s="5">
        <f>IF(D101="","",B101*D101)</f>
        <v/>
      </c>
      <c r="G101" s="4" t="inlineStr">
        <is>
          <t>منتج تام غير مشمول بالوصفات (BOM) الثلاث المرفوعة — يلزم توفير الوصفة لتسعيره</t>
        </is>
      </c>
    </row>
    <row r="102">
      <c r="A102" s="4" t="inlineStr">
        <is>
          <t>استبربس GB 2</t>
        </is>
      </c>
      <c r="B102" s="5" t="n">
        <v>12</v>
      </c>
      <c r="C102" s="6" t="n">
        <v>100</v>
      </c>
      <c r="D102" s="6" t="n">
        <v>100</v>
      </c>
      <c r="E102" s="7">
        <f>IF(OR(C102="",D102=""),"",D102/C102-1)</f>
        <v/>
      </c>
      <c r="F102" s="5">
        <f>IF(D102="","",B102*D102)</f>
        <v/>
      </c>
      <c r="G102" s="4" t="inlineStr">
        <is>
          <t>خارج نطاق الوصفات التسع — سعر يوليو مُبقًى دون تحديث</t>
        </is>
      </c>
    </row>
    <row r="103">
      <c r="A103" s="8" t="inlineStr">
        <is>
          <t>بانيه 1 ك</t>
        </is>
      </c>
      <c r="B103" s="5" t="n">
        <v>1091</v>
      </c>
      <c r="C103" s="6" t="n"/>
      <c r="D103" s="6" t="n"/>
      <c r="E103" s="7">
        <f>IF(OR(C103="",D103=""),"",D103/C103-1)</f>
        <v/>
      </c>
      <c r="F103" s="5">
        <f>IF(D103="","",B103*D103)</f>
        <v/>
      </c>
      <c r="G103" s="8" t="inlineStr">
        <is>
          <t>صنف جديد بجرد أغسطس بلا وصفة ولا سعر سابق — يلزم توفير سعره</t>
        </is>
      </c>
    </row>
    <row r="104">
      <c r="A104" s="8" t="inlineStr">
        <is>
          <t>استربس 1 ك</t>
        </is>
      </c>
      <c r="B104" s="5" t="n">
        <v>1090</v>
      </c>
      <c r="C104" s="6" t="n"/>
      <c r="D104" s="6" t="n"/>
      <c r="E104" s="7">
        <f>IF(OR(C104="",D104=""),"",D104/C104-1)</f>
        <v/>
      </c>
      <c r="F104" s="5">
        <f>IF(D104="","",B104*D104)</f>
        <v/>
      </c>
      <c r="G104" s="8" t="inlineStr">
        <is>
          <t>صنف جديد بجرد أغسطس بلا وصفة ولا سعر سابق — يلزم توفير سعره</t>
        </is>
      </c>
    </row>
    <row r="106">
      <c r="A106" s="9" t="inlineStr">
        <is>
          <t>إجمالى قيمة مخزون المنتج التام آخر أغسطس 2026 (الأصناف المُسعّرة)</t>
        </is>
      </c>
      <c r="F106" s="10">
        <f>SUM(F4:F104)</f>
        <v/>
      </c>
    </row>
    <row r="108">
      <c r="A108" s="9" t="inlineStr">
        <is>
          <t>إجمالى قيمة المخزون الكلى آخر أغسطس 2026 (خامات + منتج تام)</t>
        </is>
      </c>
      <c r="F108" s="10">
        <f>F106+'جرد الخامات آخر أغسطس'!K155</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8" customWidth="1" min="2" max="2"/>
    <col width="18" customWidth="1" min="3" max="3"/>
    <col width="14" customWidth="1" min="4" max="4"/>
    <col width="12" customWidth="1" min="5" max="5"/>
  </cols>
  <sheetData>
    <row r="1">
      <c r="A1" s="1" t="inlineStr">
        <is>
          <t>المطابقة النهائية — كل فحص يجب أن يكون الفرق صفرًا</t>
        </is>
      </c>
    </row>
    <row r="3" ht="42" customHeight="1">
      <c r="A3" s="3" t="inlineStr">
        <is>
          <t>الفحص</t>
        </is>
      </c>
      <c r="B3" s="3" t="inlineStr">
        <is>
          <t>القيمة المحسوبة</t>
        </is>
      </c>
      <c r="C3" s="3" t="inlineStr">
        <is>
          <t>القيمة المرجعية</t>
        </is>
      </c>
      <c r="D3" s="3" t="inlineStr">
        <is>
          <t>الفرق</t>
        </is>
      </c>
      <c r="E3" s="3" t="inlineStr">
        <is>
          <t>النتيجة</t>
        </is>
      </c>
    </row>
    <row r="4">
      <c r="A4" s="4" t="inlineStr">
        <is>
          <t>إجمالى قيمة أول المدة = إجمالى قيمة مخزون الخامات آخر يوليو (ملف يوليو)</t>
        </is>
      </c>
      <c r="B4" s="5">
        <f>'جرد الخامات آخر أغسطس'!D155</f>
        <v/>
      </c>
      <c r="C4" s="5" t="n">
        <v>2016665.61</v>
      </c>
      <c r="D4" s="5">
        <f>B4-C4</f>
        <v/>
      </c>
      <c r="E4" s="16">
        <f>IF(ABS(D4)&lt;=1.0,"✔ مطابق","✘ فرق")</f>
        <v/>
      </c>
    </row>
    <row r="5">
      <c r="A5" s="4" t="inlineStr">
        <is>
          <t>إجمالى أسطر المشتريات = الإجمالى المطبوع بتقرير المشتريات</t>
        </is>
      </c>
      <c r="B5" s="5">
        <f>'مشتريات أغسطس التفصيلية'!H100</f>
        <v/>
      </c>
      <c r="C5" s="5">
        <f>'مشتريات أغسطس التفصيلية'!H101</f>
        <v/>
      </c>
      <c r="D5" s="5">
        <f>B5-C5</f>
        <v/>
      </c>
      <c r="E5" s="16">
        <f>IF(ABS(D5)&lt;=0.005,"✔ مطابق","✘ فرق")</f>
        <v/>
      </c>
    </row>
    <row r="6">
      <c r="A6" s="4" t="inlineStr">
        <is>
          <t>المشتريات المحمّلة على الأصناف + المستبعدة = إجمالى المشتريات</t>
        </is>
      </c>
      <c r="B6" s="5">
        <f>'جرد الخامات آخر أغسطس'!F155+'خطوات احتساب المتوسط'!F5+'مشتريات أغسطس التفصيلية'!H102</f>
        <v/>
      </c>
      <c r="C6" s="5">
        <f>'مشتريات أغسطس التفصيلية'!H100</f>
        <v/>
      </c>
      <c r="D6" s="5">
        <f>B6-C6</f>
        <v/>
      </c>
      <c r="E6" s="16">
        <f>IF(ABS(D6)&lt;=0.005,"✔ مطابق","✘ فرق")</f>
        <v/>
      </c>
    </row>
    <row r="7">
      <c r="A7" s="4" t="inlineStr">
        <is>
          <t>قيمة المشتريات بورقة الخطوات = المشتريات المحمّلة بورقة الجرد (شاملة المجمّع)</t>
        </is>
      </c>
      <c r="B7" s="5">
        <f>'خطوات احتساب المتوسط'!F57</f>
        <v/>
      </c>
      <c r="C7" s="5">
        <f>'جرد الخامات آخر أغسطس'!F155+'خطوات احتساب المتوسط'!F5</f>
        <v/>
      </c>
      <c r="D7" s="5">
        <f>B7-C7</f>
        <v/>
      </c>
      <c r="E7" s="16">
        <f>IF(ABS(D7)&lt;=0.005,"✔ مطابق","✘ فرق")</f>
        <v/>
      </c>
    </row>
    <row r="8">
      <c r="A8" s="4" t="inlineStr">
        <is>
          <t>عدد الأصناف التى يختلف متوسطها بين ورقة الجرد وورقة الخطوات</t>
        </is>
      </c>
      <c r="B8" s="5">
        <f>(ABS('جرد الخامات آخر أغسطس'!I5-'خطوات احتساب المتوسط'!J6)&gt;0.00005)+(ABS('جرد الخامات آخر أغسطس'!I7-'خطوات احتساب المتوسط'!J7)&gt;0.00005)+(ABS('جرد الخامات آخر أغسطس'!I8-'خطوات احتساب المتوسط'!J8)&gt;0.00005)+(ABS('جرد الخامات آخر أغسطس'!I9-'خطوات احتساب المتوسط'!J9)&gt;0.00005)+(ABS('جرد الخامات آخر أغسطس'!I10-'خطوات احتساب المتوسط'!J10)&gt;0.00005)+(ABS('جرد الخامات آخر أغسطس'!I11-'خطوات احتساب المتوسط'!J11)&gt;0.00005)+(ABS('جرد الخامات آخر أغسطس'!I12-'خطوات احتساب المتوسط'!J12)&gt;0.00005)+(ABS('جرد الخامات آخر أغسطس'!I13-'خطوات احتساب المتوسط'!J13)&gt;0.00005)+(ABS('جرد الخامات آخر أغسطس'!I19-'خطوات احتساب المتوسط'!J14)&gt;0.00005)+(ABS('جرد الخامات آخر أغسطس'!I20-'خطوات احتساب المتوسط'!J15)&gt;0.00005)+(ABS('جرد الخامات آخر أغسطس'!I22-'خطوات احتساب المتوسط'!J16)&gt;0.00005)+(ABS('جرد الخامات آخر أغسطس'!I23-'خطوات احتساب المتوسط'!J17)&gt;0.00005)+(ABS('جرد الخامات آخر أغسطس'!I24-'خطوات احتساب المتوسط'!J18)&gt;0.00005)+(ABS('جرد الخامات آخر أغسطس'!I25-'خطوات احتساب المتوسط'!J19)&gt;0.00005)+(ABS('جرد الخامات آخر أغسطس'!I27-'خطوات احتساب المتوسط'!J20)&gt;0.00005)+(ABS('جرد الخامات آخر أغسطس'!I28-'خطوات احتساب المتوسط'!J21)&gt;0.00005)+(ABS('جرد الخامات آخر أغسطس'!I35-'خطوات احتساب المتوسط'!J22)&gt;0.00005)+(ABS('جرد الخامات آخر أغسطس'!I36-'خطوات احتساب المتوسط'!J23)&gt;0.00005)+(ABS('جرد الخامات آخر أغسطس'!I37-'خطوات احتساب المتوسط'!J24)&gt;0.00005)+(ABS('جرد الخامات آخر أغسطس'!I38-'خطوات احتساب المتوسط'!J25)&gt;0.00005)+(ABS('جرد الخامات آخر أغسطس'!I43-'خطوات احتساب المتوسط'!J26)&gt;0.00005)+(ABS('جرد الخامات آخر أغسطس'!I44-'خطوات احتساب المتوسط'!J27)&gt;0.00005)+(ABS('جرد الخامات آخر أغسطس'!I45-'خطوات احتساب المتوسط'!J28)&gt;0.00005)+(ABS('جرد الخامات آخر أغسطس'!I46-'خطوات احتساب المتوسط'!J29)&gt;0.00005)+(ABS('جرد الخامات آخر أغسطس'!I48-'خطوات احتساب المتوسط'!J30)&gt;0.00005)+(ABS('جرد الخامات آخر أغسطس'!I50-'خطوات احتساب المتوسط'!J31)&gt;0.00005)+(ABS('جرد الخامات آخر أغسطس'!I51-'خطوات احتساب المتوسط'!J32)&gt;0.00005)+(ABS('جرد الخامات آخر أغسطس'!I53-'خطوات احتساب المتوسط'!J33)&gt;0.00005)+(ABS('جرد الخامات آخر أغسطس'!I56-'خطوات احتساب المتوسط'!J34)&gt;0.00005)+(ABS('جرد الخامات آخر أغسطس'!I57-'خطوات احتساب المتوسط'!J35)&gt;0.00005)+(ABS('جرد الخامات آخر أغسطس'!I60-'خطوات احتساب المتوسط'!J36)&gt;0.00005)+(ABS('جرد الخامات آخر أغسطس'!I61-'خطوات احتساب المتوسط'!J37)&gt;0.00005)+(ABS('جرد الخامات آخر أغسطس'!I63-'خطوات احتساب المتوسط'!J38)&gt;0.00005)+(ABS('جرد الخامات آخر أغسطس'!I64-'خطوات احتساب المتوسط'!J39)&gt;0.00005)+(ABS('جرد الخامات آخر أغسطس'!I70-'خطوات احتساب المتوسط'!J40)&gt;0.00005)+(ABS('جرد الخامات آخر أغسطس'!I75-'خطوات احتساب المتوسط'!J41)&gt;0.00005)+(ABS('جرد الخامات آخر أغسطس'!I79-'خطوات احتساب المتوسط'!J42)&gt;0.00005)+(ABS('جرد الخامات آخر أغسطس'!I84-'خطوات احتساب المتوسط'!J43)&gt;0.00005)+(ABS('جرد الخامات آخر أغسطس'!I85-'خطوات احتساب المتوسط'!J44)&gt;0.00005)+(ABS('جرد الخامات آخر أغسطس'!I86-'خطوات احتساب المتوسط'!J45)&gt;0.00005)+(ABS('جرد الخامات آخر أغسطس'!I90-'خطوات احتساب المتوسط'!J46)&gt;0.00005)+(ABS('جرد الخامات آخر أغسطس'!I101-'خطوات احتساب المتوسط'!J47)&gt;0.00005)+(ABS('جرد الخامات آخر أغسطس'!I102-'خطوات احتساب المتوسط'!J48)&gt;0.00005)+(ABS('جرد الخامات آخر أغسطس'!I103-'خطوات احتساب المتوسط'!J49)&gt;0.00005)+(ABS('جرد الخامات آخر أغسطس'!I105-'خطوات احتساب المتوسط'!J50)&gt;0.00005)+(ABS('جرد الخامات آخر أغسطس'!I119-'خطوات احتساب المتوسط'!J51)&gt;0.00005)+(ABS('جرد الخامات آخر أغسطس'!I124-'خطوات احتساب المتوسط'!J52)&gt;0.00005)+(ABS('جرد الخامات آخر أغسطس'!I131-'خطوات احتساب المتوسط'!J53)&gt;0.00005)+(ABS('جرد الخامات آخر أغسطس'!I133-'خطوات احتساب المتوسط'!J54)&gt;0.00005)+(ABS('جرد الخامات آخر أغسطس'!I145-'خطوات احتساب المتوسط'!J55)&gt;0.00005)</f>
        <v/>
      </c>
      <c r="C8" s="5" t="n">
        <v>0</v>
      </c>
      <c r="D8" s="5">
        <f>B8-C8</f>
        <v/>
      </c>
      <c r="E8" s="16">
        <f>IF(ABS(D8)&lt;=0,"✔ مطابق","✘ فرق")</f>
        <v/>
      </c>
    </row>
    <row r="9">
      <c r="A9" s="4" t="inlineStr">
        <is>
          <t>أسعار ملف جرد آخر سبتمبر = متوسط أغسطس المحسوب مستقلًا (فحص عبر الملفين بالسكربت)</t>
        </is>
      </c>
      <c r="B9" s="16" t="n">
        <v>149</v>
      </c>
      <c r="C9" s="16" t="n">
        <v>149</v>
      </c>
      <c r="D9" s="16" t="n">
        <v>0</v>
      </c>
      <c r="E9" s="4" t="inlineStr">
        <is>
          <t>✔ مطابق</t>
        </is>
      </c>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5"/>
  <sheetViews>
    <sheetView rightToLeft="1" workbookViewId="0">
      <selection pane="topRight"/>
      <selection pane="bottomLeft"/>
      <selection pane="bottomRight" activeCell="A1" sqref="A1"/>
    </sheetView>
  </sheetViews>
  <sheetFormatPr baseColWidth="8" defaultRowHeight="15"/>
  <cols>
    <col width="24" customWidth="1" min="1" max="1"/>
    <col width="55" customWidth="1" min="2" max="2"/>
    <col width="70" customWidth="1" min="3" max="3"/>
  </cols>
  <sheetData>
    <row r="1">
      <c r="A1" s="1" t="inlineStr">
        <is>
          <t>المنهجية، الافتراضات، والاستثناءات</t>
        </is>
      </c>
    </row>
    <row r="3" ht="45" customHeight="1">
      <c r="A3" s="23" t="inlineStr">
        <is>
          <t>نطاق العمل</t>
        </is>
      </c>
      <c r="B3" s="4" t="inlineStr">
        <is>
          <t>متوسط التكلفة المرجّح (Weighted Average Cost) للخامات فقط — لم تُستخدم FIFO / LIFO / التكلفة المعيارية.</t>
        </is>
      </c>
      <c r="C3" s="24" t="n"/>
    </row>
    <row r="4" ht="45" customHeight="1">
      <c r="A4" s="23" t="inlineStr">
        <is>
          <t>المعادلة</t>
        </is>
      </c>
      <c r="B4" s="4" t="inlineStr">
        <is>
          <t>متوسط أغسطس = (كمية جرد 31/7 × متوسط يوليو + قيمة مشتريات أغسطس) ÷ (كمية جرد 31/7 + كمية مشتريات أغسطس). الطريقة دورية: متوسط واحد للشهر يُطبَّق على رصيد آخر المدة؛ يُقرَّب السعر لأربعة أرقام عشرية.</t>
        </is>
      </c>
      <c r="C4" s="24" t="n"/>
    </row>
    <row r="5" ht="45" customHeight="1">
      <c r="A5" s="23" t="inlineStr">
        <is>
          <t>رصيد أول المدة</t>
        </is>
      </c>
      <c r="B5" s="4" t="inlineStr">
        <is>
          <t>كمية «جرد 31/7» وسعر «متوسط السعر (WAC) 31/7» من «تسعير جرد اخر شهر ٧ سنة ٢٠٢٦.xlsx» — استمرار لنفس السلسلة.</t>
        </is>
      </c>
      <c r="C5" s="24" t="n"/>
    </row>
    <row r="6" ht="45" customHeight="1">
      <c r="A6" s="23" t="inlineStr">
        <is>
          <t>المشتريات</t>
        </is>
      </c>
      <c r="B6" s="4" t="inlineStr">
        <is>
          <t>تقرير المشتريات 01/08/2026–31/08/2026: 95 سطر شراء بإجمالى مطابق للإجمالى المطبوع. قيمة الشراء المعتمدة هى «الإجمالى» بالفاتورة. عمود «سعر البيع الحالى» بالتقرير لا يدخل فى أى حساب.</t>
        </is>
      </c>
      <c r="C6" s="24" t="n"/>
    </row>
    <row r="7" ht="45" customHeight="1">
      <c r="A7" s="23" t="inlineStr">
        <is>
          <t>ربط أكواد الشراء</t>
        </is>
      </c>
      <c r="B7" s="4" t="inlineStr">
        <is>
          <t>الكود المستخدم فى يوليو يُربط بنفس صنف الجرد؛ الأكواد الجديدة رُبطت بالاسم ونطاق السعر مع درجة ثقة وأساس مطابقة مُسجَّل لكل سطر. عمود «الوحدة» بالتقرير تسمية نظام (يظهر «طبق» على أصناف بالكيلو) فلم يُعتمد للمطابقة.</t>
        </is>
      </c>
      <c r="C7" s="24" t="n"/>
    </row>
    <row r="8" ht="45" customHeight="1">
      <c r="A8" s="23" t="inlineStr">
        <is>
          <t>مجمّع اللحوم الهندى</t>
        </is>
      </c>
      <c r="B8" s="4" t="inlineStr">
        <is>
          <t>بنود (لحم كتف / لحم رقبه / لحم سن / لحمه ارباع) سعرها موحَّد، ومشترياتها تُقيَّد باسم «تشكيلة هندى أمامى» — وعاء تكلفة واحد ومتوسط واحد يُطبَّق على البنود الأربعة (نفس معالجة يوليو).</t>
        </is>
      </c>
      <c r="C8" s="24" t="n"/>
    </row>
    <row r="9" ht="45" customHeight="1">
      <c r="A9" s="23" t="inlineStr">
        <is>
          <t>أصناف بلا مشتريات</t>
        </is>
      </c>
      <c r="B9" s="4" t="inlineStr">
        <is>
          <t>يبقى سعر يوليو كما هو — المتوسط المرجّح لا يتغير بغياب حركة شراء.</t>
        </is>
      </c>
      <c r="C9" s="24" t="n"/>
    </row>
    <row r="10" ht="45" customHeight="1">
      <c r="A10" s="23" t="inlineStr">
        <is>
          <t>أصناف برصيد بلا سعر</t>
        </is>
      </c>
      <c r="B10" s="4" t="inlineStr">
        <is>
          <t>رصيد أول المدة بلا سعر مُثبت يُستبعد من بسط ومقام المتوسط ويُحتسب السعر من المشتريات فقط.</t>
        </is>
      </c>
      <c r="C10" s="24" t="n"/>
    </row>
    <row r="11" ht="45" customHeight="1">
      <c r="A11" s="23" t="inlineStr">
        <is>
          <t>كمية جرد 31/8</t>
        </is>
      </c>
      <c r="B11" s="4" t="inlineStr">
        <is>
          <t>مجموع أعمدة المواقع الخمسة (المصنع، النفق، النهضه، المنوفية، التغليف) بملف الجرد؛ صفوف معادلة الإجمالى المختلفة مذكورة أدناه.</t>
        </is>
      </c>
      <c r="C11" s="24" t="n"/>
    </row>
    <row r="12" ht="45" customHeight="1">
      <c r="A12" s="23" t="inlineStr">
        <is>
          <t>المنتج التام</t>
        </is>
      </c>
      <c r="B12" s="4" t="inlineStr">
        <is>
          <t>سعر كل SKU = الوزن × سعر كجم الوصفة بأسعار أغسطس + تكلفة التعبئة — نفس الوصفات ومعاملات الإنتاجية وتكاليف التعبئة المستخدمة فى يوليو دون تغيير. الأصناف خارج الوصفات التسع يُبقى سعر يوليو.</t>
        </is>
      </c>
      <c r="C12" s="24" t="n"/>
    </row>
    <row r="13" ht="45" customHeight="1">
      <c r="A13" s="23" t="inlineStr">
        <is>
          <t>ملف سبتمبر</t>
        </is>
      </c>
      <c r="B13" s="4" t="inlineStr">
        <is>
          <t>«تسعير جرد اخر شهر ٩ سنة ٢٠٢٦.xlsx» بنفس شكل ملفات الجرد؛ السعر = متوسط أغسطس والكميات فارغة للتعبئة. لا توجد مشتريات سبتمبر بالمستودع؛ عند توفرها يُعاد احتساب متوسط سبتمبر بنفس المعادلة.</t>
        </is>
      </c>
      <c r="C13" s="24" t="n"/>
    </row>
    <row r="14" ht="45" customHeight="1">
      <c r="A14" s="23" t="inlineStr">
        <is>
          <t>خارج النطاق</t>
        </is>
      </c>
      <c r="B14" s="4" t="inlineStr">
        <is>
          <t>الأسعار تمثل تكلفة الخامات المباشرة (+ التعبئة للمنتج التام) ولا تشمل الأجور ولا الأعباء الصناعية غير المباشرة.</t>
        </is>
      </c>
      <c r="C14" s="24" t="n"/>
    </row>
    <row r="16" ht="42" customHeight="1">
      <c r="A16" s="3" t="inlineStr">
        <is>
          <t>نوع الملاحظة</t>
        </is>
      </c>
      <c r="B16" s="3" t="inlineStr">
        <is>
          <t>الصنف / البند</t>
        </is>
      </c>
      <c r="C16" s="3" t="inlineStr">
        <is>
          <t>التفصيل</t>
        </is>
      </c>
    </row>
    <row r="17">
      <c r="A17" s="8" t="inlineStr">
        <is>
          <t>ربط بثقة متوسطة</t>
        </is>
      </c>
      <c r="B17" s="8" t="inlineStr">
        <is>
          <t>كود 312 «فرش برجر» ← فرش البرجر 11*11</t>
        </is>
      </c>
      <c r="C17" s="8" t="inlineStr">
        <is>
          <t>نفس ربط الكود فى يوليو: مقاس 11×11 هو الوحيد ذو رصيد؛ نفس سعر يونيه للمقاسين</t>
        </is>
      </c>
    </row>
    <row r="18">
      <c r="A18" s="8" t="inlineStr">
        <is>
          <t>ربط بثقة متوسطة</t>
        </is>
      </c>
      <c r="B18" s="8" t="inlineStr">
        <is>
          <t>كود 154 «فلفل اخضر عام عام» ← فلفل بارد</t>
        </is>
      </c>
      <c r="C18" s="8" t="inlineStr">
        <is>
          <t>نفس ربط الكود فى يوليو: الفلفل الأخضر غير الحار = «البارد»؛ سعر 12–14 ≈ 14.92 ليونيه</t>
        </is>
      </c>
    </row>
    <row r="19">
      <c r="A19" s="8" t="inlineStr">
        <is>
          <t>ربط بثقة متوسطة</t>
        </is>
      </c>
      <c r="B19" s="8" t="inlineStr">
        <is>
          <t>كود 395 «زيت عربيات 5كيلو» ← زيت سيارات</t>
        </is>
      </c>
      <c r="C19" s="8" t="inlineStr">
        <is>
          <t>«عربيات» = سيارات؛ وحدة الشراء «كيلو» بسعر 1350 للعبوة 5 كيلو بينما الجرد بالعدد — يُراجَع</t>
        </is>
      </c>
    </row>
    <row r="20">
      <c r="A20" s="8" t="inlineStr">
        <is>
          <t>ربط بثقة متوسطة</t>
        </is>
      </c>
      <c r="B20" s="8" t="inlineStr">
        <is>
          <t>كود 51 «صويا مصرى» ← صويا لحمه</t>
        </is>
      </c>
      <c r="C20" s="8" t="inlineStr">
        <is>
          <t>نفس ربط الكود فى يوليو: الصويا العامة تُحمَّل على «صويا لحمه» (سعر 32–40 ≈ 39.44) — نفس افتراض ملف يونيه</t>
        </is>
      </c>
    </row>
    <row r="21">
      <c r="A21" s="8" t="inlineStr">
        <is>
          <t>ربط بثقة متوسطة</t>
        </is>
      </c>
      <c r="B21" s="8" t="inlineStr">
        <is>
          <t>كود 14 «تشكيله هندى امامى» ← @مجمع اللحوم الهندى</t>
        </is>
      </c>
      <c r="C21" s="8" t="inlineStr">
        <is>
          <t>نفس ربط الكود فى يوليو: لحوم هندى مجمَّعة: بنود (كتف/رقبه/سن/أرباع) بسعر يونيه موحَّد 253</t>
        </is>
      </c>
    </row>
    <row r="22">
      <c r="A22" s="8" t="inlineStr">
        <is>
          <t>شراء بلا مقابل</t>
        </is>
      </c>
      <c r="B22" s="8" t="inlineStr">
        <is>
          <t>كود 453 «ببريكا مدخنه» — 90.00 ج.م</t>
        </is>
      </c>
      <c r="C22" s="8" t="inlineStr">
        <is>
          <t>بابريكا مدخنة صنف مختلف عن «بابريكا» العادية ولا يوجد له بند بالجرد — لم تُحمَّل على أى صنف</t>
        </is>
      </c>
    </row>
    <row r="23">
      <c r="A23" s="8" t="inlineStr">
        <is>
          <t>ملاحظة على ملف الجرد</t>
        </is>
      </c>
      <c r="B23" s="8" t="inlineStr">
        <is>
          <t>مفروم فراخ شعبي</t>
        </is>
      </c>
      <c r="C23" s="8" t="inlineStr">
        <is>
          <t>معادلة الإجمالى بالجرد «=B8+C8» لا تغطى كل المواقع؛ باقى المواقع صفر فالنتيجة مطابقة لمجموع المواقع</t>
        </is>
      </c>
    </row>
    <row r="24">
      <c r="A24" s="8" t="inlineStr">
        <is>
          <t>صنف بلا سعر</t>
        </is>
      </c>
      <c r="B24" s="8" t="inlineStr">
        <is>
          <t>كروت كبده شرائح 350 — كمية جرد 31/8 = 14,451.00</t>
        </is>
      </c>
      <c r="C24" s="8" t="inlineStr">
        <is>
          <t>صنف بلا سعر مُثبت (لا سعر يوليو ولا مشتريات أغسطس) — يلزم إدخال سعر لتقييمه</t>
        </is>
      </c>
    </row>
    <row r="25">
      <c r="A25" s="8" t="inlineStr">
        <is>
          <t>صنف بلا سعر</t>
        </is>
      </c>
      <c r="B25" s="8" t="inlineStr">
        <is>
          <t>مزيل لماكينة التغليف — كمية جرد 31/8 = 1.00</t>
        </is>
      </c>
      <c r="C25" s="8" t="inlineStr">
        <is>
          <t>صنف بلا سعر مُثبت (لا سعر يوليو ولا مشتريات أغسطس) — يلزم إدخال سعر لتقييمه</t>
        </is>
      </c>
    </row>
    <row r="26">
      <c r="A26" s="8" t="inlineStr">
        <is>
          <t>صنف بلا سعر</t>
        </is>
      </c>
      <c r="B26" s="8" t="inlineStr">
        <is>
          <t>كروت مفروم صويا ازرق 350 — كمية جرد 31/8 = 2,000.00</t>
        </is>
      </c>
      <c r="C26" s="8" t="inlineStr">
        <is>
          <t>صنف بلا سعر مُثبت (لا سعر يوليو ولا مشتريات أغسطس) — يلزم إدخال سعر لتقييمه</t>
        </is>
      </c>
    </row>
    <row r="27">
      <c r="A27" s="8" t="inlineStr">
        <is>
          <t>صنف بلا سعر</t>
        </is>
      </c>
      <c r="B27" s="8" t="inlineStr">
        <is>
          <t>كروت مفروم صافي 350 — كمية جرد 31/8 = 9,225.00</t>
        </is>
      </c>
      <c r="C27" s="8" t="inlineStr">
        <is>
          <t>صنف بلا سعر مُثبت (لا سعر يوليو ولا مشتريات أغسطس) — يلزم إدخال سعر لتقييمه</t>
        </is>
      </c>
    </row>
    <row r="28">
      <c r="A28" s="8" t="inlineStr">
        <is>
          <t>صنف بلا سعر</t>
        </is>
      </c>
      <c r="B28" s="8" t="inlineStr">
        <is>
          <t>كروت مفروم صويا 350 — كمية جرد 31/8 = 8,786.00</t>
        </is>
      </c>
      <c r="C28" s="8" t="inlineStr">
        <is>
          <t>صنف بلا سعر مُثبت (لا سعر يوليو ولا مشتريات أغسطس) — يلزم إدخال سعر لتقييمه</t>
        </is>
      </c>
    </row>
    <row r="29">
      <c r="A29" s="8" t="inlineStr">
        <is>
          <t>صنف بلا سعر</t>
        </is>
      </c>
      <c r="B29" s="8" t="inlineStr">
        <is>
          <t>طبق مسطح 1/2 شفاف — كمية جرد 31/8 = 14.00</t>
        </is>
      </c>
      <c r="C29" s="8" t="inlineStr">
        <is>
          <t>صنف بلا سعر مُثبت (لا سعر يوليو ولا مشتريات أغسطس) — يلزم إدخال سعر لتقييمه</t>
        </is>
      </c>
    </row>
    <row r="30">
      <c r="A30" s="8" t="inlineStr">
        <is>
          <t>صنف بلا سعر</t>
        </is>
      </c>
      <c r="B30" s="8" t="inlineStr">
        <is>
          <t>طبق مسطح 3/4شفاف — كمية جرد 31/8 = 827.00</t>
        </is>
      </c>
      <c r="C30" s="8" t="inlineStr">
        <is>
          <t>صنف بلا سعر مُثبت (لا سعر يوليو ولا مشتريات أغسطس) — يلزم إدخال سعر لتقييمه</t>
        </is>
      </c>
    </row>
    <row r="31">
      <c r="A31" s="8" t="inlineStr">
        <is>
          <t>صنف بلا سعر</t>
        </is>
      </c>
      <c r="B31" s="8" t="inlineStr">
        <is>
          <t>أكياس استربس ص SP — كمية جرد 31/8 = 379.00</t>
        </is>
      </c>
      <c r="C31" s="8" t="inlineStr">
        <is>
          <t>صنف بلا سعر مُثبت (لا سعر يوليو ولا مشتريات أغسطس) — يلزم إدخال سعر لتقييمه</t>
        </is>
      </c>
    </row>
    <row r="32">
      <c r="A32" s="8" t="inlineStr">
        <is>
          <t>صنف بلا سعر</t>
        </is>
      </c>
      <c r="B32" s="8" t="inlineStr">
        <is>
          <t>مذيب — كمية جرد 31/8 = 2.00</t>
        </is>
      </c>
      <c r="C32" s="8" t="inlineStr">
        <is>
          <t>صنف بلا سعر مُثبت (لا سعر يوليو ولا مشتريات أغسطس) — يلزم إدخال سعر لتقييمه</t>
        </is>
      </c>
    </row>
    <row r="33">
      <c r="A33" s="8" t="inlineStr">
        <is>
          <t>صنف بلا سعر</t>
        </is>
      </c>
      <c r="B33" s="8" t="inlineStr">
        <is>
          <t>برنيك برجر — كمية جرد 31/8 = 442.00</t>
        </is>
      </c>
      <c r="C33" s="8" t="inlineStr">
        <is>
          <t>صنف بلا سعر مُثبت (لا سعر يوليو ولا مشتريات أغسطس) — يلزم إدخال سعر لتقييمه</t>
        </is>
      </c>
    </row>
    <row r="34">
      <c r="A34" s="8" t="inlineStr">
        <is>
          <t>صنف بلا سعر</t>
        </is>
      </c>
      <c r="B34" s="8" t="inlineStr">
        <is>
          <t>برنيك سجق — كمية جرد 31/8 = 258.00</t>
        </is>
      </c>
      <c r="C34" s="8" t="inlineStr">
        <is>
          <t>صنف بلا سعر مُثبت (لا سعر يوليو ولا مشتريات أغسطس) — يلزم إدخال سعر لتقييمه</t>
        </is>
      </c>
    </row>
    <row r="35">
      <c r="A35" s="8" t="inlineStr">
        <is>
          <t>صنف بلا سعر</t>
        </is>
      </c>
      <c r="B35" s="8" t="inlineStr">
        <is>
          <t>أكياس استربس اسبيشيال ص — كمية جرد 31/8 = 82.00</t>
        </is>
      </c>
      <c r="C35" s="8" t="inlineStr">
        <is>
          <t>صنف بلا سعر مُثبت (لا سعر يوليو ولا مشتريات أغسطس) — يلزم إدخال سعر لتقييمه</t>
        </is>
      </c>
    </row>
    <row r="36">
      <c r="A36" s="8" t="inlineStr">
        <is>
          <t>صنف جديد بالجرد</t>
        </is>
      </c>
      <c r="B36" s="8" t="inlineStr">
        <is>
          <t>أكياس استربس اسبيشيال ص</t>
        </is>
      </c>
      <c r="C36" s="8" t="inlineStr">
        <is>
          <t>لم يكن بجرد يوليو — لا رصيد أول مدة</t>
        </is>
      </c>
    </row>
    <row r="37">
      <c r="A37" s="8" t="inlineStr">
        <is>
          <t>صنف بلا سعر</t>
        </is>
      </c>
      <c r="B37" s="8" t="inlineStr">
        <is>
          <t>فلاتر — كمية جرد 31/8 = 9.00</t>
        </is>
      </c>
      <c r="C37" s="8" t="inlineStr">
        <is>
          <t>صنف بلا سعر مُثبت (لا سعر يوليو ولا مشتريات أغسطس) — يلزم إدخال سعر لتقييمه</t>
        </is>
      </c>
    </row>
    <row r="38">
      <c r="A38" s="8" t="inlineStr">
        <is>
          <t>صنف بلا سعر</t>
        </is>
      </c>
      <c r="B38" s="8" t="inlineStr">
        <is>
          <t>استطوانة فريون — كمية جرد 31/8 = 1.00</t>
        </is>
      </c>
      <c r="C38" s="8" t="inlineStr">
        <is>
          <t>صنف بلا سعر مُثبت (لا سعر يوليو ولا مشتريات أغسطس) — يلزم إدخال سعر لتقييمه</t>
        </is>
      </c>
    </row>
    <row r="39">
      <c r="A39" s="8" t="inlineStr">
        <is>
          <t>صنف بلا سعر</t>
        </is>
      </c>
      <c r="B39" s="8" t="inlineStr">
        <is>
          <t>فلتر خاص بالثلاجة — كمية جرد 31/8 = 1.00</t>
        </is>
      </c>
      <c r="C39" s="8" t="inlineStr">
        <is>
          <t>صنف بلا سعر مُثبت (لا سعر يوليو ولا مشتريات أغسطس) — يلزم إدخال سعر لتقييمه</t>
        </is>
      </c>
    </row>
    <row r="40">
      <c r="A40" s="8" t="inlineStr">
        <is>
          <t>صنف بلا سعر</t>
        </is>
      </c>
      <c r="B40" s="8" t="inlineStr">
        <is>
          <t>حشوة زيت — كمية جرد 31/8 = 7.00</t>
        </is>
      </c>
      <c r="C40" s="8" t="inlineStr">
        <is>
          <t>صنف بلا سعر مُثبت (لا سعر يوليو ولا مشتريات أغسطس) — يلزم إدخال سعر لتقييمه</t>
        </is>
      </c>
    </row>
    <row r="41">
      <c r="A41" s="8" t="inlineStr">
        <is>
          <t>صنف بلا سعر</t>
        </is>
      </c>
      <c r="B41" s="8" t="inlineStr">
        <is>
          <t>خام عجينة برجر أبو هاشم — كمية جرد 31/8 = 16.50</t>
        </is>
      </c>
      <c r="C41" s="8" t="inlineStr">
        <is>
          <t>صنف بلا سعر مُثبت (لا سعر يوليو ولا مشتريات أغسطس) — يلزم إدخال سعر لتقييمه</t>
        </is>
      </c>
    </row>
    <row r="42">
      <c r="A42" s="8" t="inlineStr">
        <is>
          <t>ملاحظة على ملف الجرد</t>
        </is>
      </c>
      <c r="B42" s="8" t="inlineStr">
        <is>
          <t>خام عجينة برجر أبو هاشم</t>
        </is>
      </c>
      <c r="C42" s="8" t="inlineStr">
        <is>
          <t>الإجمالى مُدخل يدويًا (0) بينما مجموع المواقع 16.5 — اعتُمد مجموع المواقع</t>
        </is>
      </c>
    </row>
    <row r="43">
      <c r="A43" s="8" t="inlineStr">
        <is>
          <t>صنف بلا سعر</t>
        </is>
      </c>
      <c r="B43" s="8" t="inlineStr">
        <is>
          <t>خام عجينة كفته الهنا — كمية جرد 31/8 = 6.50</t>
        </is>
      </c>
      <c r="C43" s="8" t="inlineStr">
        <is>
          <t>صنف بلا سعر مُثبت (لا سعر يوليو ولا مشتريات أغسطس) — يلزم إدخال سعر لتقييمه</t>
        </is>
      </c>
    </row>
    <row r="44">
      <c r="A44" s="8" t="inlineStr">
        <is>
          <t>ملاحظة على ملف الجرد</t>
        </is>
      </c>
      <c r="B44" s="8" t="inlineStr">
        <is>
          <t>خام عجينة كفته الهنا</t>
        </is>
      </c>
      <c r="C44" s="8" t="inlineStr">
        <is>
          <t>الإجمالى مُدخل يدويًا (0) بينما مجموع المواقع 6.5 — اعتُمد مجموع المواقع</t>
        </is>
      </c>
    </row>
    <row r="45">
      <c r="A45" s="8" t="inlineStr">
        <is>
          <t>صنف بلا سعر</t>
        </is>
      </c>
      <c r="B45" s="8" t="inlineStr">
        <is>
          <t>فلتر هواء — كمية جرد 31/8 = 7.00</t>
        </is>
      </c>
      <c r="C45" s="8" t="inlineStr">
        <is>
          <t>صنف بلا سعر مُثبت (لا سعر يوليو ولا مشتريات أغسطس) — يلزم إدخال سعر لتقييمه</t>
        </is>
      </c>
    </row>
    <row r="46">
      <c r="A46" s="8" t="inlineStr">
        <is>
          <t>ملاحظة على ملف الجرد</t>
        </is>
      </c>
      <c r="B46" s="8" t="inlineStr">
        <is>
          <t>فلتر هواء</t>
        </is>
      </c>
      <c r="C46" s="8" t="inlineStr">
        <is>
          <t>الإجمالى مُدخل يدويًا (0) بينما مجموع المواقع 7 — اعتُمد مجموع المواقع</t>
        </is>
      </c>
    </row>
    <row r="47">
      <c r="A47" s="8" t="inlineStr">
        <is>
          <t>صنف جديد بالجرد</t>
        </is>
      </c>
      <c r="B47" s="8" t="inlineStr">
        <is>
          <t>فلتر هواء</t>
        </is>
      </c>
      <c r="C47" s="8" t="inlineStr">
        <is>
          <t>لم يكن بجرد يوليو — لا رصيد أول مدة</t>
        </is>
      </c>
    </row>
    <row r="48">
      <c r="A48" s="8" t="inlineStr">
        <is>
          <t>منتج تام</t>
        </is>
      </c>
      <c r="B48" s="8" t="inlineStr">
        <is>
          <t>قطع 400 — كمية 4,200.00</t>
        </is>
      </c>
      <c r="C48" s="8" t="inlineStr">
        <is>
          <t>منتج تام غير مشمول بالوصفات (BOM) الثلاث المرفوعة — يلزم توفير الوصفة لتسعيره</t>
        </is>
      </c>
    </row>
    <row r="49">
      <c r="A49" s="8" t="inlineStr">
        <is>
          <t>منتج تام</t>
        </is>
      </c>
      <c r="B49" s="8" t="inlineStr">
        <is>
          <t>مفروم صويا-بروتين 400 علب — كمية 36.00</t>
        </is>
      </c>
      <c r="C49" s="8" t="inlineStr">
        <is>
          <t>منتج تام غير مشمول بالوصفات (BOM) الثلاث المرفوعة — يلزم توفير الوصفة لتسعيره</t>
        </is>
      </c>
    </row>
    <row r="50">
      <c r="A50" s="8" t="inlineStr">
        <is>
          <t>منتج تام</t>
        </is>
      </c>
      <c r="B50" s="8" t="inlineStr">
        <is>
          <t>بانيه 1 ك — كمية 1,091.00</t>
        </is>
      </c>
      <c r="C50" s="8" t="inlineStr">
        <is>
          <t>صنف جديد بجرد أغسطس بلا وصفة ولا سعر سابق — يلزم توفير سعره</t>
        </is>
      </c>
    </row>
    <row r="51">
      <c r="A51" s="8" t="inlineStr">
        <is>
          <t>منتج تام</t>
        </is>
      </c>
      <c r="B51" s="8" t="inlineStr">
        <is>
          <t>استربس 1 ك — كمية 1,090.00</t>
        </is>
      </c>
      <c r="C51" s="8" t="inlineStr">
        <is>
          <t>صنف جديد بجرد أغسطس بلا وصفة ولا سعر سابق — يلزم توفير سعره</t>
        </is>
      </c>
    </row>
    <row r="52">
      <c r="A52" s="8" t="inlineStr">
        <is>
          <t>وصفة</t>
        </is>
      </c>
      <c r="B52" s="8" t="inlineStr">
        <is>
          <t>برجر اسبشيال: فلفل احمر</t>
        </is>
      </c>
      <c r="C52" s="8" t="inlineStr">
        <is>
          <t>لا يقابله صنف بالجرد — السعر ثابت كما بالوصفة (13 ج.م)</t>
        </is>
      </c>
    </row>
    <row r="53">
      <c r="A53" s="8" t="inlineStr">
        <is>
          <t>وصفة</t>
        </is>
      </c>
      <c r="B53" s="8" t="inlineStr">
        <is>
          <t>كفته اسبشيال: فلفل احمر</t>
        </is>
      </c>
      <c r="C53" s="8" t="inlineStr">
        <is>
          <t>لا يقابله صنف بالجرد — السعر ثابت كما بالوصفة (13 ج.م)</t>
        </is>
      </c>
    </row>
    <row r="54">
      <c r="A54" s="8" t="inlineStr">
        <is>
          <t>وصفة</t>
        </is>
      </c>
      <c r="B54" s="8" t="inlineStr">
        <is>
          <t>كفته الهنا: فلفل احمر</t>
        </is>
      </c>
      <c r="C54" s="8" t="inlineStr">
        <is>
          <t>لا يقابله صنف بالجرد — السعر ثابت كما بالوصفة (13 ج.م)</t>
        </is>
      </c>
    </row>
    <row r="55">
      <c r="A55" s="8" t="inlineStr">
        <is>
          <t>تصحيح عن يوليو</t>
        </is>
      </c>
      <c r="B55" s="8" t="inlineStr">
        <is>
          <t>خامة «سكر» بوصفات: كفته ابوهاشم</t>
        </is>
      </c>
      <c r="C55" s="8" t="inlineStr">
        <is>
          <t>ملف يوليو سعّرها بسعر «كربوناتو» (35 ج.م) لتساوى السعرين فى يونيه؛ فى أغسطس سُعّرت بصنف «سكر» نفسه (28.2146 ج.م)</t>
        </is>
      </c>
    </row>
  </sheetData>
  <mergeCells count="13">
    <mergeCell ref="B13:C13"/>
    <mergeCell ref="B6:C6"/>
    <mergeCell ref="B7:C7"/>
    <mergeCell ref="A1:C1"/>
    <mergeCell ref="B11:C11"/>
    <mergeCell ref="B3:C3"/>
    <mergeCell ref="B5:C5"/>
    <mergeCell ref="B10:C10"/>
    <mergeCell ref="B14:C14"/>
    <mergeCell ref="B9:C9"/>
    <mergeCell ref="B8:C8"/>
    <mergeCell ref="B4:C4"/>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2026-10-18T08:36:19Z</dcterms:created>
  <dcterms:modified xmlns:dcterms="http://purl.org/dc/terms/" xmlns:xsi="http://www.w3.org/2001/XMLSchema-instance" xsi:type="dcterms:W3CDTF">2026-10-18T08:36:20Z</dcterms:modified>
</cp:coreProperties>
</file>