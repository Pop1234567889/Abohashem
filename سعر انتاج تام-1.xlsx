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8_{EFBF30A5-D362-2449-A8E9-A13AEC65756E}" xr6:coauthVersionLast="47" xr6:coauthVersionMax="47" xr10:uidLastSave="{00000000-0000-0000-0000-000000000000}"/>
  <bookViews>
    <workbookView xWindow="14295" yWindow="0" windowWidth="14610" windowHeight="15585" activeTab="6" xr2:uid="{00000000-000D-0000-FFFF-FFFF00000000}"/>
  </bookViews>
  <sheets>
    <sheet name="الهاشم" sheetId="1" r:id="rId1"/>
    <sheet name="اسبشيل غير صالح " sheetId="2" state="hidden" r:id="rId2"/>
    <sheet name="اسبشيال 2026" sheetId="3" r:id="rId3"/>
    <sheet name="Sheet2" sheetId="4" state="hidden" r:id="rId4"/>
    <sheet name="Sheet1" sheetId="5" state="hidden" r:id="rId5"/>
    <sheet name="الهنا" sheetId="6" r:id="rId6"/>
    <sheet name="ورقة1" sheetId="7" r:id="rId7"/>
  </sheets>
  <externalReferences>
    <externalReference r:id="rId8"/>
  </externalReferences>
  <definedNames>
    <definedName name="_xlnm.Print_Area" localSheetId="4">Sheet1!$J$76:$M$98</definedName>
    <definedName name="_xlnm.Print_Area" localSheetId="3">Sheet2!$I$6:$N$24</definedName>
    <definedName name="_xlnm.Print_Area" localSheetId="1">'اسبشيل غير صالح '!$C$37:$F$55</definedName>
    <definedName name="_xlnm.Print_Area" localSheetId="0">الهاشم!$AB$2:$AC$41</definedName>
    <definedName name="_xlnm.Print_Area" localSheetId="5">الهنا!$L$6:$O$34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3" l="1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O34" i="3"/>
  <c r="O35" i="3"/>
  <c r="O40" i="3"/>
  <c r="Q40" i="3"/>
  <c r="E108" i="6"/>
  <c r="D108" i="6"/>
  <c r="C108" i="6"/>
  <c r="O39" i="3"/>
  <c r="Q39" i="3"/>
  <c r="E107" i="6"/>
  <c r="D107" i="6"/>
  <c r="C107" i="6"/>
  <c r="A107" i="6"/>
  <c r="J32" i="3"/>
  <c r="A103" i="6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C29" i="3"/>
  <c r="C30" i="3"/>
  <c r="A99" i="6"/>
  <c r="E49" i="6"/>
  <c r="I33" i="6"/>
  <c r="I8" i="6"/>
  <c r="J8" i="6"/>
  <c r="J9" i="6"/>
  <c r="I10" i="6"/>
  <c r="J10" i="6"/>
  <c r="J11" i="6"/>
  <c r="I12" i="6"/>
  <c r="J12" i="6"/>
  <c r="I13" i="6"/>
  <c r="J13" i="6"/>
  <c r="J14" i="6"/>
  <c r="J15" i="6"/>
  <c r="I16" i="6"/>
  <c r="J16" i="6"/>
  <c r="J17" i="6"/>
  <c r="J18" i="6"/>
  <c r="J19" i="6"/>
  <c r="J20" i="6"/>
  <c r="I21" i="6"/>
  <c r="J21" i="6"/>
  <c r="J22" i="6"/>
  <c r="J23" i="6"/>
  <c r="J24" i="6"/>
  <c r="J25" i="6"/>
  <c r="J26" i="6"/>
  <c r="J27" i="6"/>
  <c r="H27" i="6"/>
  <c r="H28" i="6"/>
  <c r="H33" i="6"/>
  <c r="J33" i="6"/>
  <c r="E93" i="6"/>
  <c r="D93" i="6"/>
  <c r="C93" i="6"/>
  <c r="D49" i="6"/>
  <c r="I32" i="6"/>
  <c r="H32" i="6"/>
  <c r="J32" i="6"/>
  <c r="E92" i="6"/>
  <c r="D92" i="6"/>
  <c r="C92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B29" i="6"/>
  <c r="B30" i="6"/>
  <c r="B34" i="6"/>
  <c r="J49" i="6"/>
  <c r="C34" i="6"/>
  <c r="D34" i="6"/>
  <c r="E89" i="6"/>
  <c r="D89" i="6"/>
  <c r="C89" i="6"/>
  <c r="B33" i="6"/>
  <c r="C49" i="6"/>
  <c r="C33" i="6"/>
  <c r="D33" i="6"/>
  <c r="E88" i="6"/>
  <c r="D88" i="6"/>
  <c r="C88" i="6"/>
  <c r="B32" i="6"/>
  <c r="B40" i="6"/>
  <c r="B49" i="6"/>
  <c r="C32" i="6"/>
  <c r="D32" i="6"/>
  <c r="E87" i="6"/>
  <c r="D87" i="6"/>
  <c r="C87" i="6"/>
  <c r="I49" i="6"/>
  <c r="N41" i="6"/>
  <c r="M7" i="6"/>
  <c r="N7" i="6"/>
  <c r="O7" i="6"/>
  <c r="M8" i="6"/>
  <c r="N8" i="6"/>
  <c r="O8" i="6"/>
  <c r="O9" i="6"/>
  <c r="N10" i="6"/>
  <c r="O10" i="6"/>
  <c r="O11" i="6"/>
  <c r="M12" i="6"/>
  <c r="N12" i="6"/>
  <c r="O12" i="6"/>
  <c r="O13" i="6"/>
  <c r="M14" i="6"/>
  <c r="O14" i="6"/>
  <c r="O15" i="6"/>
  <c r="M16" i="6"/>
  <c r="O16" i="6"/>
  <c r="M17" i="6"/>
  <c r="O17" i="6"/>
  <c r="O18" i="6"/>
  <c r="O19" i="6"/>
  <c r="O20" i="6"/>
  <c r="M21" i="6"/>
  <c r="O21" i="6"/>
  <c r="M22" i="6"/>
  <c r="O22" i="6"/>
  <c r="M23" i="6"/>
  <c r="O23" i="6"/>
  <c r="M24" i="6"/>
  <c r="O24" i="6"/>
  <c r="M25" i="6"/>
  <c r="O25" i="6"/>
  <c r="M26" i="6"/>
  <c r="O26" i="6"/>
  <c r="M27" i="6"/>
  <c r="O27" i="6"/>
  <c r="O28" i="6"/>
  <c r="O29" i="6"/>
  <c r="M30" i="6"/>
  <c r="O30" i="6"/>
  <c r="M31" i="6"/>
  <c r="O31" i="6"/>
  <c r="O32" i="6"/>
  <c r="O33" i="6"/>
  <c r="M33" i="6"/>
  <c r="M34" i="6"/>
  <c r="M41" i="6"/>
  <c r="O41" i="6"/>
  <c r="E84" i="6"/>
  <c r="D84" i="6"/>
  <c r="C84" i="6"/>
  <c r="H49" i="6"/>
  <c r="N40" i="6"/>
  <c r="P35" i="6"/>
  <c r="M40" i="6"/>
  <c r="O40" i="6"/>
  <c r="E83" i="6"/>
  <c r="D83" i="6"/>
  <c r="C83" i="6"/>
  <c r="G49" i="6"/>
  <c r="N39" i="6"/>
  <c r="M39" i="6"/>
  <c r="O39" i="6"/>
  <c r="E82" i="6"/>
  <c r="D82" i="6"/>
  <c r="C82" i="6"/>
  <c r="F49" i="6"/>
  <c r="N38" i="6"/>
  <c r="M38" i="6"/>
  <c r="O38" i="6"/>
  <c r="E81" i="6"/>
  <c r="D81" i="6"/>
  <c r="C81" i="6"/>
  <c r="E80" i="6"/>
  <c r="D80" i="6"/>
  <c r="C80" i="6"/>
  <c r="J68" i="6"/>
  <c r="I68" i="6"/>
  <c r="H68" i="6"/>
  <c r="G73" i="6"/>
  <c r="G75" i="6"/>
  <c r="G76" i="6"/>
  <c r="H70" i="6"/>
  <c r="H71" i="6"/>
  <c r="H72" i="6"/>
  <c r="H73" i="6"/>
  <c r="J70" i="6"/>
  <c r="J69" i="6"/>
  <c r="L68" i="6"/>
  <c r="M68" i="6"/>
  <c r="J67" i="6"/>
  <c r="L66" i="6"/>
  <c r="M66" i="6"/>
  <c r="J66" i="6"/>
  <c r="I66" i="6"/>
  <c r="H66" i="6"/>
  <c r="J65" i="6"/>
  <c r="L64" i="6"/>
  <c r="M64" i="6"/>
  <c r="J64" i="6"/>
  <c r="I64" i="6"/>
  <c r="H64" i="6"/>
  <c r="J63" i="6"/>
  <c r="L62" i="6"/>
  <c r="M62" i="6"/>
  <c r="J62" i="6"/>
  <c r="I62" i="6"/>
  <c r="J61" i="6"/>
  <c r="L60" i="6"/>
  <c r="M60" i="6"/>
  <c r="J60" i="6"/>
  <c r="I60" i="6"/>
  <c r="H60" i="6"/>
  <c r="G51" i="6"/>
  <c r="F51" i="6"/>
  <c r="E51" i="6"/>
  <c r="D51" i="6"/>
  <c r="C51" i="6"/>
  <c r="B51" i="6"/>
  <c r="X49" i="6"/>
  <c r="X48" i="6"/>
  <c r="X47" i="6"/>
  <c r="O46" i="6"/>
  <c r="O47" i="6"/>
  <c r="N46" i="6"/>
  <c r="N47" i="6"/>
  <c r="X32" i="6"/>
  <c r="X33" i="6"/>
  <c r="X34" i="6"/>
  <c r="X35" i="6"/>
  <c r="X36" i="6"/>
  <c r="X37" i="6"/>
  <c r="X38" i="6"/>
  <c r="X39" i="6"/>
  <c r="X41" i="6"/>
  <c r="V41" i="6"/>
  <c r="X42" i="6"/>
  <c r="H38" i="6"/>
  <c r="I38" i="6"/>
  <c r="H37" i="6"/>
  <c r="I37" i="6"/>
  <c r="B35" i="6"/>
  <c r="D35" i="6"/>
  <c r="E35" i="6"/>
  <c r="E36" i="6"/>
  <c r="E37" i="6"/>
  <c r="H36" i="6"/>
  <c r="J36" i="6"/>
  <c r="H35" i="6"/>
  <c r="J35" i="6"/>
  <c r="H34" i="6"/>
  <c r="J34" i="6"/>
  <c r="X8" i="6"/>
  <c r="X9" i="6"/>
  <c r="X10" i="6"/>
  <c r="X11" i="6"/>
  <c r="X12" i="6"/>
  <c r="X13" i="6"/>
  <c r="X14" i="6"/>
  <c r="X15" i="6"/>
  <c r="X16" i="6"/>
  <c r="X17" i="6"/>
  <c r="X18" i="6"/>
  <c r="X19" i="6"/>
  <c r="W20" i="6"/>
  <c r="X20" i="6"/>
  <c r="X21" i="6"/>
  <c r="X22" i="6"/>
  <c r="X23" i="6"/>
  <c r="X30" i="6"/>
  <c r="V30" i="6"/>
  <c r="D30" i="6"/>
  <c r="E6" i="6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K97" i="5"/>
  <c r="K98" i="5"/>
  <c r="D60" i="5"/>
  <c r="D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P42" i="3"/>
  <c r="Q42" i="3"/>
  <c r="O41" i="3"/>
  <c r="Q41" i="3"/>
  <c r="L39" i="3"/>
  <c r="L38" i="3"/>
  <c r="L6" i="3"/>
  <c r="L7" i="3"/>
  <c r="K8" i="3"/>
  <c r="L8" i="3"/>
  <c r="L9" i="3"/>
  <c r="L10" i="3"/>
  <c r="L11" i="3"/>
  <c r="L12" i="3"/>
  <c r="L13" i="3"/>
  <c r="K14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J30" i="3"/>
  <c r="J31" i="3"/>
  <c r="J33" i="3"/>
  <c r="J37" i="3"/>
  <c r="L37" i="3"/>
  <c r="J36" i="3"/>
  <c r="L36" i="3"/>
  <c r="J35" i="3"/>
  <c r="L35" i="3"/>
  <c r="C33" i="3"/>
  <c r="E33" i="3"/>
  <c r="C32" i="3"/>
  <c r="E32" i="3"/>
  <c r="E30" i="3"/>
  <c r="C60" i="2"/>
  <c r="D60" i="2"/>
  <c r="E60" i="2"/>
  <c r="F60" i="2"/>
  <c r="G60" i="2"/>
  <c r="C59" i="2"/>
  <c r="D59" i="2"/>
  <c r="E59" i="2"/>
  <c r="F59" i="2"/>
  <c r="G59" i="2"/>
  <c r="C58" i="2"/>
  <c r="D58" i="2"/>
  <c r="E58" i="2"/>
  <c r="F58" i="2"/>
  <c r="G58" i="2"/>
  <c r="C57" i="2"/>
  <c r="D57" i="2"/>
  <c r="E57" i="2"/>
  <c r="F57" i="2"/>
  <c r="G57" i="2"/>
  <c r="P48" i="2"/>
  <c r="L48" i="2"/>
  <c r="M48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9" i="2"/>
  <c r="M30" i="2"/>
  <c r="K30" i="2"/>
  <c r="K31" i="2"/>
  <c r="D48" i="2"/>
  <c r="F48" i="2"/>
  <c r="N48" i="2"/>
  <c r="O48" i="2"/>
  <c r="H48" i="2"/>
  <c r="I48" i="2"/>
  <c r="J48" i="2"/>
  <c r="K48" i="2"/>
  <c r="P47" i="2"/>
  <c r="L47" i="2"/>
  <c r="M47" i="2"/>
  <c r="D47" i="2"/>
  <c r="F47" i="2"/>
  <c r="N47" i="2"/>
  <c r="O47" i="2"/>
  <c r="H47" i="2"/>
  <c r="I47" i="2"/>
  <c r="J47" i="2"/>
  <c r="K47" i="2"/>
  <c r="P46" i="2"/>
  <c r="P45" i="2"/>
  <c r="P44" i="2"/>
  <c r="L44" i="2"/>
  <c r="M44" i="2"/>
  <c r="F6" i="2"/>
  <c r="F7" i="2"/>
  <c r="F8" i="2"/>
  <c r="F9" i="2"/>
  <c r="E10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E27" i="2"/>
  <c r="F27" i="2"/>
  <c r="F28" i="2"/>
  <c r="F29" i="2"/>
  <c r="F30" i="2"/>
  <c r="E31" i="2"/>
  <c r="F31" i="2"/>
  <c r="F32" i="2"/>
  <c r="F33" i="2"/>
  <c r="D33" i="2"/>
  <c r="D34" i="2"/>
  <c r="D44" i="2"/>
  <c r="F44" i="2"/>
  <c r="N44" i="2"/>
  <c r="O44" i="2"/>
  <c r="H44" i="2"/>
  <c r="I44" i="2"/>
  <c r="J44" i="2"/>
  <c r="K44" i="2"/>
  <c r="P43" i="2"/>
  <c r="L43" i="2"/>
  <c r="M43" i="2"/>
  <c r="D43" i="2"/>
  <c r="F43" i="2"/>
  <c r="N43" i="2"/>
  <c r="O43" i="2"/>
  <c r="H43" i="2"/>
  <c r="I43" i="2"/>
  <c r="J43" i="2"/>
  <c r="K43" i="2"/>
  <c r="L40" i="2"/>
  <c r="M40" i="2"/>
  <c r="F40" i="2"/>
  <c r="N40" i="2"/>
  <c r="O40" i="2"/>
  <c r="H40" i="2"/>
  <c r="I40" i="2"/>
  <c r="J40" i="2"/>
  <c r="K40" i="2"/>
  <c r="L39" i="2"/>
  <c r="M39" i="2"/>
  <c r="F39" i="2"/>
  <c r="N39" i="2"/>
  <c r="O39" i="2"/>
  <c r="H39" i="2"/>
  <c r="I39" i="2"/>
  <c r="J39" i="2"/>
  <c r="K39" i="2"/>
  <c r="D36" i="2"/>
  <c r="Z31" i="2"/>
  <c r="AC29" i="2"/>
  <c r="T29" i="2"/>
  <c r="B63" i="1"/>
  <c r="E62" i="1"/>
  <c r="E56" i="1"/>
  <c r="D56" i="1"/>
  <c r="C56" i="1"/>
  <c r="J49" i="1"/>
  <c r="J55" i="1"/>
  <c r="I55" i="1"/>
  <c r="H55" i="1"/>
  <c r="G55" i="1"/>
  <c r="F55" i="1"/>
  <c r="P52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R42" i="1"/>
  <c r="R43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C41" i="1"/>
  <c r="AC42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K40" i="1"/>
  <c r="K41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C40" i="1"/>
  <c r="C41" i="1"/>
  <c r="Z27" i="1"/>
  <c r="Z28" i="1"/>
  <c r="Z29" i="1"/>
  <c r="Z30" i="1"/>
  <c r="Z31" i="1"/>
  <c r="Z32" i="1"/>
  <c r="Z33" i="1"/>
  <c r="Z34" i="1"/>
  <c r="Z35" i="1"/>
  <c r="Z36" i="1"/>
  <c r="Z37" i="1"/>
  <c r="Z38" i="1"/>
  <c r="X38" i="1"/>
  <c r="W39" i="1"/>
  <c r="Y38" i="1"/>
  <c r="M3" i="1"/>
  <c r="M4" i="1"/>
  <c r="M5" i="1"/>
  <c r="M6" i="1"/>
  <c r="L7" i="1"/>
  <c r="M7" i="1"/>
  <c r="M8" i="1"/>
  <c r="M9" i="1"/>
  <c r="M10" i="1"/>
  <c r="M11" i="1"/>
  <c r="M12" i="1"/>
  <c r="M13" i="1"/>
  <c r="M14" i="1"/>
  <c r="L15" i="1"/>
  <c r="K15" i="1"/>
  <c r="M15" i="1"/>
  <c r="M16" i="1"/>
  <c r="K16" i="1"/>
  <c r="K18" i="1"/>
  <c r="K25" i="1"/>
  <c r="L25" i="1"/>
  <c r="M25" i="1"/>
  <c r="T3" i="1"/>
  <c r="S4" i="1"/>
  <c r="T4" i="1"/>
  <c r="T5" i="1"/>
  <c r="T6" i="1"/>
  <c r="T7" i="1"/>
  <c r="T8" i="1"/>
  <c r="T9" i="1"/>
  <c r="T10" i="1"/>
  <c r="T11" i="1"/>
  <c r="T12" i="1"/>
  <c r="T13" i="1"/>
  <c r="T14" i="1"/>
  <c r="T15" i="1"/>
  <c r="S16" i="1"/>
  <c r="T16" i="1"/>
  <c r="T17" i="1"/>
  <c r="R17" i="1"/>
  <c r="R19" i="1"/>
  <c r="R24" i="1"/>
  <c r="T24" i="1"/>
  <c r="K24" i="1"/>
  <c r="M24" i="1"/>
  <c r="R23" i="1"/>
  <c r="S23" i="1"/>
  <c r="T23" i="1"/>
  <c r="K23" i="1"/>
  <c r="M2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D17" i="1"/>
  <c r="AC17" i="1"/>
  <c r="AE17" i="1"/>
  <c r="AE18" i="1"/>
  <c r="AC18" i="1"/>
  <c r="AC19" i="1"/>
  <c r="AC22" i="1"/>
  <c r="AE22" i="1"/>
  <c r="R22" i="1"/>
  <c r="S22" i="1"/>
  <c r="T22" i="1"/>
  <c r="K22" i="1"/>
  <c r="L22" i="1"/>
  <c r="M22" i="1"/>
  <c r="AC21" i="1"/>
  <c r="AE21" i="1"/>
  <c r="R21" i="1"/>
  <c r="S21" i="1"/>
  <c r="T21" i="1"/>
  <c r="K21" i="1"/>
  <c r="M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D16" i="1"/>
  <c r="C16" i="1"/>
  <c r="E16" i="1"/>
  <c r="E17" i="1"/>
  <c r="C17" i="1"/>
  <c r="C18" i="1"/>
  <c r="C21" i="1"/>
  <c r="D21" i="1"/>
  <c r="E21" i="1"/>
  <c r="K20" i="1"/>
  <c r="L20" i="1"/>
  <c r="M20" i="1"/>
  <c r="C20" i="1"/>
  <c r="D20" i="1"/>
  <c r="E20" i="1"/>
  <c r="Y3" i="1"/>
  <c r="Y4" i="1"/>
  <c r="Y5" i="1"/>
  <c r="Y6" i="1"/>
  <c r="Y7" i="1"/>
  <c r="W8" i="1"/>
  <c r="Y8" i="1"/>
  <c r="Y9" i="1"/>
  <c r="Y10" i="1"/>
  <c r="W11" i="1"/>
  <c r="X11" i="1"/>
  <c r="Y11" i="1"/>
  <c r="Y12" i="1"/>
  <c r="Y13" i="1"/>
  <c r="Y14" i="1"/>
  <c r="Y15" i="1"/>
  <c r="X16" i="1"/>
  <c r="Y16" i="1"/>
  <c r="Y17" i="1"/>
  <c r="W17" i="1"/>
  <c r="W19" i="1"/>
  <c r="O12" i="1"/>
  <c r="O5" i="1"/>
  <c r="O4" i="1"/>
  <c r="O6" i="1"/>
  <c r="O7" i="1"/>
</calcChain>
</file>

<file path=xl/sharedStrings.xml><?xml version="1.0" encoding="utf-8"?>
<sst xmlns="http://schemas.openxmlformats.org/spreadsheetml/2006/main" count="917" uniqueCount="269">
  <si>
    <t xml:space="preserve">تكلفه برجر </t>
  </si>
  <si>
    <t>ابوهاشم</t>
  </si>
  <si>
    <t>تكلفه سجق ابوهاشم</t>
  </si>
  <si>
    <t>كفته شوى</t>
  </si>
  <si>
    <t>النوع</t>
  </si>
  <si>
    <t>الكميه</t>
  </si>
  <si>
    <t>السعر</t>
  </si>
  <si>
    <t>الاجمالي</t>
  </si>
  <si>
    <t xml:space="preserve">الكميه </t>
  </si>
  <si>
    <t xml:space="preserve">السعر </t>
  </si>
  <si>
    <t>لحمه</t>
  </si>
  <si>
    <t>بوش/دهن</t>
  </si>
  <si>
    <t xml:space="preserve">بصل </t>
  </si>
  <si>
    <t>بوش</t>
  </si>
  <si>
    <t>فلفل اخضر</t>
  </si>
  <si>
    <t>دوبريه</t>
  </si>
  <si>
    <t>دهن</t>
  </si>
  <si>
    <t>بصل</t>
  </si>
  <si>
    <t>صويا</t>
  </si>
  <si>
    <t>فلفل</t>
  </si>
  <si>
    <t>برغل</t>
  </si>
  <si>
    <t>صميد</t>
  </si>
  <si>
    <t>توام</t>
  </si>
  <si>
    <t xml:space="preserve">مايه </t>
  </si>
  <si>
    <t>ثوم</t>
  </si>
  <si>
    <t>بطاطس</t>
  </si>
  <si>
    <t>نشا</t>
  </si>
  <si>
    <t>مايه</t>
  </si>
  <si>
    <t>توابل</t>
  </si>
  <si>
    <t>مفروم</t>
  </si>
  <si>
    <t xml:space="preserve">جلد </t>
  </si>
  <si>
    <t>مياه</t>
  </si>
  <si>
    <t>دبوبريه</t>
  </si>
  <si>
    <t>توابيل</t>
  </si>
  <si>
    <t xml:space="preserve">توابيل </t>
  </si>
  <si>
    <t>سعر الكيلو</t>
  </si>
  <si>
    <t>الوزن</t>
  </si>
  <si>
    <t>التكلفه</t>
  </si>
  <si>
    <t>تكاليف اخري</t>
  </si>
  <si>
    <t>هنكات للكيلو</t>
  </si>
  <si>
    <t>350جرام</t>
  </si>
  <si>
    <t xml:space="preserve">400جرام </t>
  </si>
  <si>
    <t>800جرام</t>
  </si>
  <si>
    <t>600جرام</t>
  </si>
  <si>
    <t>برجر 1ك</t>
  </si>
  <si>
    <t>خلطه توابل كفته ابوهاشم</t>
  </si>
  <si>
    <t>1200جرام</t>
  </si>
  <si>
    <t>3كيلو</t>
  </si>
  <si>
    <t>فوسفات</t>
  </si>
  <si>
    <t xml:space="preserve">5كيلو </t>
  </si>
  <si>
    <t>مونوصوديم</t>
  </si>
  <si>
    <t>.</t>
  </si>
  <si>
    <t>طعم كفته</t>
  </si>
  <si>
    <t>طعم شواء</t>
  </si>
  <si>
    <t>ملح</t>
  </si>
  <si>
    <t>طعم بيف</t>
  </si>
  <si>
    <t>طعم برجر</t>
  </si>
  <si>
    <t>جلتومات</t>
  </si>
  <si>
    <t>خلنجان</t>
  </si>
  <si>
    <t>طعم دخان</t>
  </si>
  <si>
    <t>طعم بسطرمة</t>
  </si>
  <si>
    <t>جلوتومات</t>
  </si>
  <si>
    <t>فلفل اسود</t>
  </si>
  <si>
    <t>طعم سجق</t>
  </si>
  <si>
    <t>اسود</t>
  </si>
  <si>
    <t>كزبرة</t>
  </si>
  <si>
    <t>قرفه</t>
  </si>
  <si>
    <t>كبابه</t>
  </si>
  <si>
    <t>كبابة</t>
  </si>
  <si>
    <t>قرنفل</t>
  </si>
  <si>
    <t>بابريكا</t>
  </si>
  <si>
    <t>جوزه الطيب</t>
  </si>
  <si>
    <t>طعم ليه</t>
  </si>
  <si>
    <t>حلبه</t>
  </si>
  <si>
    <t>كمون</t>
  </si>
  <si>
    <t>كزبره</t>
  </si>
  <si>
    <t>قرفة</t>
  </si>
  <si>
    <t>زعتر</t>
  </si>
  <si>
    <t>سكر</t>
  </si>
  <si>
    <t>شطه</t>
  </si>
  <si>
    <t>شواء</t>
  </si>
  <si>
    <t>اجمالي</t>
  </si>
  <si>
    <t>ينسون</t>
  </si>
  <si>
    <t xml:space="preserve">سعر الكبلو  </t>
  </si>
  <si>
    <t>حبهان</t>
  </si>
  <si>
    <t>الاجمال</t>
  </si>
  <si>
    <t>تغليف</t>
  </si>
  <si>
    <t>سجق ص</t>
  </si>
  <si>
    <t>سجق ك</t>
  </si>
  <si>
    <t>سجق 3ك</t>
  </si>
  <si>
    <t>كفته ص</t>
  </si>
  <si>
    <t>كفته ك</t>
  </si>
  <si>
    <t>برجر ص</t>
  </si>
  <si>
    <t xml:space="preserve">برجر600 </t>
  </si>
  <si>
    <t>برجر 1.5</t>
  </si>
  <si>
    <t xml:space="preserve">طبق </t>
  </si>
  <si>
    <t>كيس</t>
  </si>
  <si>
    <t xml:space="preserve">كرتون </t>
  </si>
  <si>
    <t xml:space="preserve">ورق برجر </t>
  </si>
  <si>
    <t>افيز</t>
  </si>
  <si>
    <t xml:space="preserve">فرش برجر </t>
  </si>
  <si>
    <t xml:space="preserve">فرش كفته </t>
  </si>
  <si>
    <t>الاجمالى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</si>
  <si>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</si>
  <si>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صح</t>
  </si>
  <si>
    <t xml:space="preserve">سجق </t>
  </si>
  <si>
    <t>برجر</t>
  </si>
  <si>
    <t xml:space="preserve">فلفل احمر </t>
  </si>
  <si>
    <t>فلفل اخضر حار</t>
  </si>
  <si>
    <t xml:space="preserve">برغل </t>
  </si>
  <si>
    <t xml:space="preserve">برغل
</t>
  </si>
  <si>
    <t>مياه\</t>
  </si>
  <si>
    <t>شعرية</t>
  </si>
  <si>
    <t>سميد</t>
  </si>
  <si>
    <t>جلد</t>
  </si>
  <si>
    <t xml:space="preserve">ملح </t>
  </si>
  <si>
    <t>لون 601</t>
  </si>
  <si>
    <t>لون احمر</t>
  </si>
  <si>
    <t>كسبرة</t>
  </si>
  <si>
    <t>لورا</t>
  </si>
  <si>
    <t>شطة</t>
  </si>
  <si>
    <t xml:space="preserve">شطه </t>
  </si>
  <si>
    <t>جبهان</t>
  </si>
  <si>
    <t xml:space="preserve">بيف </t>
  </si>
  <si>
    <t>جنزبيل</t>
  </si>
  <si>
    <t xml:space="preserve">لون </t>
  </si>
  <si>
    <t>ببريكا</t>
  </si>
  <si>
    <t xml:space="preserve">سعر الكيلو </t>
  </si>
  <si>
    <t>لوري</t>
  </si>
  <si>
    <t xml:space="preserve">هانك </t>
  </si>
  <si>
    <t>الصنف</t>
  </si>
  <si>
    <t>كفته الهنا ص</t>
  </si>
  <si>
    <t>كفته الهنا ك</t>
  </si>
  <si>
    <t>برجر الهنا ص</t>
  </si>
  <si>
    <t>برجر الهنا ك</t>
  </si>
  <si>
    <t>سجق الهنا ص</t>
  </si>
  <si>
    <t>سجق الهنا ك</t>
  </si>
  <si>
    <t>سجق الهنا 5 ك</t>
  </si>
  <si>
    <t>عجينة سجق 5 ك</t>
  </si>
  <si>
    <t>عجينة كفته 5 ك</t>
  </si>
  <si>
    <t xml:space="preserve">أكياس </t>
  </si>
  <si>
    <t xml:space="preserve">فوم </t>
  </si>
  <si>
    <t>كراتين</t>
  </si>
  <si>
    <t>لزق</t>
  </si>
  <si>
    <t xml:space="preserve">افيز </t>
  </si>
  <si>
    <t>فرش كفته</t>
  </si>
  <si>
    <t>ورق برجر</t>
  </si>
  <si>
    <t>كفته الهنا 350</t>
  </si>
  <si>
    <t>كفته الهنا 800</t>
  </si>
  <si>
    <t>سجق الهنا 300</t>
  </si>
  <si>
    <t>سجق الهنا 700</t>
  </si>
  <si>
    <t>برجر الهنا 380</t>
  </si>
  <si>
    <t>برجر الهنا 900</t>
  </si>
  <si>
    <t>خلطة</t>
  </si>
  <si>
    <t>الخلطة</t>
  </si>
  <si>
    <t>ماء</t>
  </si>
  <si>
    <t xml:space="preserve">شعرية
</t>
  </si>
  <si>
    <t xml:space="preserve">نشا </t>
  </si>
  <si>
    <t>طعم سجق بودر</t>
  </si>
  <si>
    <t>تكلفة  عجينة بقرى 5 ك</t>
  </si>
  <si>
    <t>ايزوليت</t>
  </si>
  <si>
    <t>ان وجدت</t>
  </si>
  <si>
    <t>لون</t>
  </si>
  <si>
    <t>انتاج البانيه</t>
  </si>
  <si>
    <t>ب</t>
  </si>
  <si>
    <t xml:space="preserve">الكمية </t>
  </si>
  <si>
    <t>ام اكس</t>
  </si>
  <si>
    <t xml:space="preserve">بقسماط كرسبى </t>
  </si>
  <si>
    <t>مرقة دجاج</t>
  </si>
  <si>
    <t>دقيق</t>
  </si>
  <si>
    <t>فلفل ابيض</t>
  </si>
  <si>
    <t>مرقة</t>
  </si>
  <si>
    <t>صويا زياد</t>
  </si>
  <si>
    <t>خلطة التوابل</t>
  </si>
  <si>
    <t>بقسماط كريسبى</t>
  </si>
  <si>
    <t>كامينا ابيض</t>
  </si>
  <si>
    <t xml:space="preserve">مونوصوديوم </t>
  </si>
  <si>
    <t xml:space="preserve">جنزبيل </t>
  </si>
  <si>
    <t>مرقه</t>
  </si>
  <si>
    <t>طعم فرؤاخ</t>
  </si>
  <si>
    <t xml:space="preserve">ثوم بودر </t>
  </si>
  <si>
    <t>سعر الخلطة</t>
  </si>
  <si>
    <t>الباقى</t>
  </si>
  <si>
    <t>بكرة لزق</t>
  </si>
  <si>
    <t>كراتين الهنا1</t>
  </si>
  <si>
    <t>أكياس بانيه</t>
  </si>
  <si>
    <t>برجر 400</t>
  </si>
  <si>
    <t>برجر 1</t>
  </si>
  <si>
    <t>كفته الهنا 900</t>
  </si>
  <si>
    <t xml:space="preserve">قايمة نهائي بعد خصم وبونص </t>
  </si>
  <si>
    <t>قايمة بعد الخصم</t>
  </si>
  <si>
    <t xml:space="preserve">سعر قطعى </t>
  </si>
  <si>
    <t>تكلفة</t>
  </si>
  <si>
    <t>خام</t>
  </si>
  <si>
    <t>برجر ك</t>
  </si>
  <si>
    <t>كفتهه ك</t>
  </si>
  <si>
    <t>سجق اسباشيل</t>
  </si>
  <si>
    <t>من تاريخ 13/5</t>
  </si>
  <si>
    <t xml:space="preserve">سجق اسبشيال ص </t>
  </si>
  <si>
    <t>كفته اسبشيال ص</t>
  </si>
  <si>
    <t>كفته اسبشياتل ك</t>
  </si>
  <si>
    <t>برجر اسبشيال ص</t>
  </si>
  <si>
    <t>برجر اسبشيال ك</t>
  </si>
  <si>
    <t xml:space="preserve">طعم لية </t>
  </si>
  <si>
    <t>جوزة الطيب</t>
  </si>
  <si>
    <t xml:space="preserve">الاجمالى </t>
  </si>
  <si>
    <t xml:space="preserve">عجينة بقرى </t>
  </si>
  <si>
    <t>الهنا</t>
  </si>
  <si>
    <t>اسباشيل</t>
  </si>
  <si>
    <t>كفته</t>
  </si>
  <si>
    <t>فلفل رومى</t>
  </si>
  <si>
    <t>فلفل حار</t>
  </si>
  <si>
    <t>ايزوليت1</t>
  </si>
  <si>
    <t>لون كارمن</t>
  </si>
  <si>
    <t xml:space="preserve">سجق اسبشيال ك </t>
  </si>
  <si>
    <t>سعر قايمة قديم</t>
  </si>
  <si>
    <t>خصم 20%</t>
  </si>
  <si>
    <t>صافى سعر بيع</t>
  </si>
  <si>
    <t>هامش ربح</t>
  </si>
  <si>
    <t>نسبة هامش الربح</t>
  </si>
  <si>
    <t xml:space="preserve">خصم 18 </t>
  </si>
  <si>
    <t xml:space="preserve">هامش الربح </t>
  </si>
  <si>
    <t xml:space="preserve">خامات </t>
  </si>
  <si>
    <t xml:space="preserve">سعر </t>
  </si>
  <si>
    <t>صويا مجروش</t>
  </si>
  <si>
    <t>MX</t>
  </si>
  <si>
    <t>بقسماط ابيض</t>
  </si>
  <si>
    <t xml:space="preserve">بقسماط الكرسبى </t>
  </si>
  <si>
    <t>بصل فريش مقشر</t>
  </si>
  <si>
    <t>نشا ذرة</t>
  </si>
  <si>
    <t xml:space="preserve">لون تيتانيوم </t>
  </si>
  <si>
    <t>مكسب طعم فراخ</t>
  </si>
  <si>
    <t xml:space="preserve">زنجبيل </t>
  </si>
  <si>
    <t xml:space="preserve">كرفس </t>
  </si>
  <si>
    <t>ثوم بودر</t>
  </si>
  <si>
    <t>بصل بودر</t>
  </si>
  <si>
    <t xml:space="preserve">فوسفات </t>
  </si>
  <si>
    <t>سجق الهاشم</t>
  </si>
  <si>
    <t>كفته الهنا</t>
  </si>
  <si>
    <t>صويا ايزوليت</t>
  </si>
  <si>
    <t>فلانك</t>
  </si>
  <si>
    <t>تكلفه كفته ابوهاشم تعديل 7-1-2026</t>
  </si>
  <si>
    <t>برجر 2</t>
  </si>
  <si>
    <t xml:space="preserve">اسبشيال </t>
  </si>
  <si>
    <t>كفته اسبشيال 900</t>
  </si>
  <si>
    <t xml:space="preserve">برجر اسبشيال </t>
  </si>
  <si>
    <t>سجق</t>
  </si>
  <si>
    <t>برجر اسبشيال 400</t>
  </si>
  <si>
    <t>برجر اسبشيال 1 ك</t>
  </si>
  <si>
    <t xml:space="preserve">طعم سجق بودر </t>
  </si>
  <si>
    <t>سجق اسبشيال 300</t>
  </si>
  <si>
    <t>سجق اسبشيال 700</t>
  </si>
  <si>
    <t>سجق 5 ك</t>
  </si>
  <si>
    <t>كفته اسبشيال 350</t>
  </si>
  <si>
    <t>هانك</t>
  </si>
  <si>
    <t>فلفل احمر</t>
  </si>
  <si>
    <t xml:space="preserve">طعم كفته </t>
  </si>
  <si>
    <t>ابو هاشم</t>
  </si>
  <si>
    <t>برجر 400 جرام</t>
  </si>
  <si>
    <t>برجر 800 جرام</t>
  </si>
  <si>
    <t>برجر 600 جرام</t>
  </si>
  <si>
    <t>تكلفه كفته ابوهاشم لاغى</t>
  </si>
  <si>
    <t>تكاليف التغليف</t>
  </si>
  <si>
    <t>لاغى لاتعمل</t>
  </si>
  <si>
    <t>سعر الكيلو الخلطة</t>
  </si>
  <si>
    <t>مفروم فراخ شعبى</t>
  </si>
  <si>
    <t xml:space="preserve">مفروم فراخ شعبى </t>
  </si>
  <si>
    <t>مفروم فراخ فاخر</t>
  </si>
  <si>
    <t>مفروم  فراخ فاخر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</si>
</sst>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_(* #,##0.00_);_(* \(#,##0.00\);_(* &quot;-&quot;??_);_(@_)"/>
  </numFmts>
  <fonts count="37" x14ac:knownFonts="1">
    <font>
      <sz val="11"/>
      <name val="Calibri"/>
    </font>
    <font>
      <b/>
      <sz val="18"/>
      <name val="Calibri"/>
    </font>
    <font>
      <b/>
      <sz val="18"/>
      <color rgb="FF000000"/>
      <name val="Calibri"/>
    </font>
    <font>
      <b/>
      <sz val="18"/>
      <color rgb="FFFF0000"/>
      <name val="Calibri"/>
      <charset val="178"/>
    </font>
    <font>
      <b/>
      <sz val="18"/>
      <name val="Calibri"/>
      <charset val="178"/>
    </font>
    <font>
      <b/>
      <sz val="18"/>
      <color rgb="FF000000"/>
      <name val="Calibri"/>
      <charset val="178"/>
    </font>
    <font>
      <b/>
      <i/>
      <sz val="18"/>
      <color rgb="FF000000"/>
      <name val="Calibri"/>
    </font>
    <font>
      <sz val="11"/>
      <color rgb="FF000000"/>
      <name val="Calibri"/>
    </font>
    <font>
      <b/>
      <sz val="18"/>
      <color rgb="FFFF0000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6"/>
      <color rgb="FF000000"/>
      <name val="Calibri"/>
    </font>
    <font>
      <b/>
      <sz val="24"/>
      <color rgb="FF000000"/>
      <name val="Calibri"/>
    </font>
    <font>
      <b/>
      <sz val="12"/>
      <color rgb="FF000000"/>
      <name val="Calibri"/>
    </font>
    <font>
      <b/>
      <sz val="16"/>
      <name val="Calibri"/>
    </font>
    <font>
      <b/>
      <sz val="16"/>
      <color rgb="FFFF0000"/>
      <name val="Calibri"/>
    </font>
    <font>
      <sz val="16"/>
      <color rgb="FF000000"/>
      <name val="Calibri"/>
    </font>
    <font>
      <sz val="12"/>
      <color rgb="FF000000"/>
      <name val="Calibri"/>
    </font>
    <font>
      <sz val="20"/>
      <color rgb="FF000000"/>
      <name val="Calibri"/>
    </font>
    <font>
      <b/>
      <sz val="20"/>
      <color rgb="FFFF0000"/>
      <name val="Calibri"/>
    </font>
    <font>
      <b/>
      <sz val="24"/>
      <color rgb="FFFF0000"/>
      <name val="Calibri"/>
    </font>
    <font>
      <b/>
      <sz val="24"/>
      <name val="Calibri"/>
    </font>
    <font>
      <sz val="11"/>
      <name val="Calibri"/>
    </font>
    <font>
      <sz val="16"/>
      <name val="Calibri"/>
    </font>
    <font>
      <b/>
      <sz val="28"/>
      <name val="Calibri"/>
    </font>
    <font>
      <sz val="26"/>
      <color rgb="FF000000"/>
      <name val="Calibri"/>
    </font>
    <font>
      <b/>
      <sz val="26"/>
      <color rgb="FF000000"/>
      <name val="Calibri"/>
    </font>
    <font>
      <b/>
      <sz val="22"/>
      <color rgb="FF000000"/>
      <name val="Calibri"/>
    </font>
    <font>
      <b/>
      <sz val="44"/>
      <name val="Calibri"/>
    </font>
    <font>
      <b/>
      <sz val="44"/>
      <color rgb="FF000000"/>
      <name val="Calibri"/>
    </font>
    <font>
      <sz val="11"/>
      <name val="Calibri"/>
    </font>
    <font>
      <b/>
      <i/>
      <sz val="44"/>
      <color rgb="FF000000"/>
      <name val="Calibri"/>
    </font>
    <font>
      <b/>
      <sz val="44"/>
      <color rgb="FF000000"/>
      <name val="Calibri"/>
      <charset val="178"/>
    </font>
    <font>
      <b/>
      <sz val="24"/>
      <color rgb="FF000000"/>
      <name val="Calibri"/>
      <charset val="178"/>
    </font>
    <font>
      <sz val="44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166" fontId="36" fillId="0" borderId="0">
      <protection locked="0"/>
    </xf>
  </cellStyleXfs>
  <cellXfs count="155">
    <xf numFmtId="0" fontId="0" fillId="0" borderId="0" xfId="0">
      <alignment vertical="center"/>
    </xf>
    <xf numFmtId="0" fontId="1" fillId="0" borderId="0" xfId="0" applyFont="1">
      <alignment vertical="center"/>
    </xf>
    <xf numFmtId="164" fontId="2" fillId="0" borderId="0" xfId="0" applyNumberFormat="1" applyFont="1" applyAlignment="1"/>
    <xf numFmtId="165" fontId="2" fillId="0" borderId="0" xfId="0" applyNumberFormat="1" applyFont="1" applyAlignment="1"/>
    <xf numFmtId="2" fontId="2" fillId="0" borderId="0" xfId="0" applyNumberFormat="1" applyFont="1" applyAlignment="1"/>
    <xf numFmtId="0" fontId="2" fillId="0" borderId="0" xfId="0" applyFont="1" applyAlignment="1"/>
    <xf numFmtId="0" fontId="3" fillId="0" borderId="1" xfId="0" applyFont="1" applyBorder="1" applyAlignment="1"/>
    <xf numFmtId="164" fontId="3" fillId="0" borderId="1" xfId="0" applyNumberFormat="1" applyFont="1" applyBorder="1" applyAlignment="1"/>
    <xf numFmtId="165" fontId="3" fillId="0" borderId="1" xfId="0" applyNumberFormat="1" applyFont="1" applyBorder="1" applyAlignment="1"/>
    <xf numFmtId="2" fontId="3" fillId="0" borderId="1" xfId="0" applyNumberFormat="1" applyFont="1" applyBorder="1" applyAlignment="1"/>
    <xf numFmtId="0" fontId="4" fillId="0" borderId="1" xfId="0" applyFont="1" applyBorder="1" applyAlignment="1"/>
    <xf numFmtId="164" fontId="4" fillId="0" borderId="1" xfId="0" applyNumberFormat="1" applyFont="1" applyBorder="1" applyAlignment="1"/>
    <xf numFmtId="0" fontId="5" fillId="0" borderId="1" xfId="0" applyFont="1" applyBorder="1" applyAlignment="1"/>
    <xf numFmtId="0" fontId="2" fillId="0" borderId="1" xfId="0" applyFont="1" applyBorder="1" applyAlignment="1"/>
    <xf numFmtId="165" fontId="2" fillId="0" borderId="1" xfId="0" applyNumberFormat="1" applyFont="1" applyBorder="1" applyAlignment="1"/>
    <xf numFmtId="2" fontId="5" fillId="0" borderId="1" xfId="0" applyNumberFormat="1" applyFont="1" applyBorder="1" applyAlignment="1"/>
    <xf numFmtId="2" fontId="4" fillId="0" borderId="1" xfId="0" applyNumberFormat="1" applyFont="1" applyBorder="1" applyAlignment="1"/>
    <xf numFmtId="2" fontId="2" fillId="0" borderId="1" xfId="0" applyNumberFormat="1" applyFont="1" applyBorder="1" applyAlignment="1"/>
    <xf numFmtId="165" fontId="5" fillId="0" borderId="1" xfId="0" applyNumberFormat="1" applyFont="1" applyBorder="1" applyAlignment="1"/>
    <xf numFmtId="164" fontId="5" fillId="0" borderId="1" xfId="0" applyNumberFormat="1" applyFont="1" applyBorder="1" applyAlignment="1"/>
    <xf numFmtId="2" fontId="2" fillId="0" borderId="2" xfId="0" applyNumberFormat="1" applyFont="1" applyBorder="1" applyAlignment="1"/>
    <xf numFmtId="2" fontId="2" fillId="0" borderId="3" xfId="0" applyNumberFormat="1" applyFont="1" applyBorder="1" applyAlignment="1"/>
    <xf numFmtId="164" fontId="2" fillId="0" borderId="1" xfId="0" applyNumberFormat="1" applyFont="1" applyBorder="1" applyAlignment="1"/>
    <xf numFmtId="0" fontId="6" fillId="0" borderId="1" xfId="0" applyFont="1" applyBorder="1" applyAlignment="1"/>
    <xf numFmtId="165" fontId="6" fillId="0" borderId="1" xfId="0" applyNumberFormat="1" applyFont="1" applyBorder="1" applyAlignment="1"/>
    <xf numFmtId="2" fontId="6" fillId="0" borderId="1" xfId="0" applyNumberFormat="1" applyFont="1" applyBorder="1" applyAlignment="1"/>
    <xf numFmtId="0" fontId="2" fillId="0" borderId="4" xfId="0" applyFont="1" applyBorder="1" applyAlignment="1"/>
    <xf numFmtId="164" fontId="5" fillId="0" borderId="4" xfId="0" applyNumberFormat="1" applyFont="1" applyBorder="1" applyAlignment="1"/>
    <xf numFmtId="0" fontId="5" fillId="0" borderId="4" xfId="0" applyFont="1" applyBorder="1" applyAlignment="1"/>
    <xf numFmtId="0" fontId="5" fillId="2" borderId="0" xfId="0" applyFont="1" applyFill="1" applyAlignment="1"/>
    <xf numFmtId="165" fontId="5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/>
    <xf numFmtId="0" fontId="5" fillId="3" borderId="5" xfId="0" applyFont="1" applyFill="1" applyBorder="1" applyAlignment="1"/>
    <xf numFmtId="0" fontId="2" fillId="3" borderId="0" xfId="0" applyFont="1" applyFill="1" applyAlignment="1"/>
    <xf numFmtId="2" fontId="2" fillId="3" borderId="0" xfId="0" applyNumberFormat="1" applyFont="1" applyFill="1" applyAlignment="1"/>
    <xf numFmtId="0" fontId="2" fillId="0" borderId="6" xfId="0" applyFont="1" applyBorder="1" applyAlignment="1"/>
    <xf numFmtId="164" fontId="2" fillId="0" borderId="6" xfId="0" applyNumberFormat="1" applyFont="1" applyBorder="1" applyAlignment="1"/>
    <xf numFmtId="0" fontId="7" fillId="3" borderId="0" xfId="0" applyFont="1" applyFill="1" applyAlignment="1"/>
    <xf numFmtId="2" fontId="8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0" fontId="9" fillId="0" borderId="0" xfId="0" applyFont="1" applyAlignment="1"/>
    <xf numFmtId="2" fontId="2" fillId="0" borderId="0" xfId="0" applyNumberFormat="1" applyFont="1" applyAlignment="1">
      <alignment horizontal="center" vertical="center" wrapText="1"/>
    </xf>
    <xf numFmtId="0" fontId="10" fillId="0" borderId="0" xfId="0" applyFont="1" applyAlignment="1"/>
    <xf numFmtId="164" fontId="11" fillId="0" borderId="0" xfId="0" applyNumberFormat="1" applyFont="1" applyAlignment="1"/>
    <xf numFmtId="0" fontId="12" fillId="0" borderId="7" xfId="0" applyFont="1" applyBorder="1" applyAlignment="1"/>
    <xf numFmtId="0" fontId="9" fillId="0" borderId="8" xfId="0" applyFont="1" applyBorder="1" applyAlignment="1"/>
    <xf numFmtId="0" fontId="12" fillId="3" borderId="5" xfId="0" applyFont="1" applyFill="1" applyBorder="1" applyAlignment="1"/>
    <xf numFmtId="0" fontId="10" fillId="3" borderId="0" xfId="0" applyFont="1" applyFill="1" applyAlignment="1"/>
    <xf numFmtId="0" fontId="2" fillId="3" borderId="2" xfId="0" applyFont="1" applyFill="1" applyBorder="1" applyAlignment="1">
      <alignment horizontal="center"/>
    </xf>
    <xf numFmtId="0" fontId="7" fillId="0" borderId="9" xfId="0" applyFont="1" applyBorder="1" applyAlignment="1"/>
    <xf numFmtId="0" fontId="7" fillId="0" borderId="6" xfId="0" applyFont="1" applyBorder="1" applyAlignment="1"/>
    <xf numFmtId="164" fontId="2" fillId="0" borderId="0" xfId="0" applyNumberFormat="1" applyFont="1" applyAlignment="1">
      <alignment horizontal="center"/>
    </xf>
    <xf numFmtId="0" fontId="7" fillId="0" borderId="10" xfId="0" applyFont="1" applyBorder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6" xfId="0" applyFont="1" applyBorder="1" applyAlignment="1"/>
    <xf numFmtId="0" fontId="12" fillId="0" borderId="0" xfId="0" applyFont="1" applyAlignment="1">
      <alignment horizontal="center"/>
    </xf>
    <xf numFmtId="0" fontId="12" fillId="0" borderId="6" xfId="0" applyFont="1" applyBorder="1" applyAlignment="1"/>
    <xf numFmtId="0" fontId="9" fillId="0" borderId="6" xfId="0" applyFont="1" applyBorder="1" applyAlignment="1"/>
    <xf numFmtId="0" fontId="15" fillId="0" borderId="0" xfId="0" applyFont="1">
      <alignment vertical="center"/>
    </xf>
    <xf numFmtId="2" fontId="1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2" fontId="12" fillId="0" borderId="1" xfId="0" applyNumberFormat="1" applyFont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0" fontId="12" fillId="0" borderId="5" xfId="0" applyFont="1" applyBorder="1" applyAlignment="1"/>
    <xf numFmtId="0" fontId="12" fillId="0" borderId="5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165" fontId="12" fillId="0" borderId="1" xfId="0" applyNumberFormat="1" applyFont="1" applyBorder="1" applyAlignment="1">
      <alignment horizontal="center"/>
    </xf>
    <xf numFmtId="0" fontId="12" fillId="0" borderId="11" xfId="0" applyFont="1" applyBorder="1" applyAlignment="1"/>
    <xf numFmtId="0" fontId="12" fillId="0" borderId="1" xfId="0" applyFont="1" applyBorder="1" applyAlignment="1"/>
    <xf numFmtId="0" fontId="7" fillId="0" borderId="1" xfId="0" applyFont="1" applyBorder="1" applyAlignment="1"/>
    <xf numFmtId="0" fontId="17" fillId="0" borderId="0" xfId="0" applyFont="1" applyAlignment="1"/>
    <xf numFmtId="2" fontId="16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/>
    <xf numFmtId="2" fontId="20" fillId="0" borderId="6" xfId="0" applyNumberFormat="1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1" fillId="0" borderId="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2" fontId="12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/>
    </xf>
    <xf numFmtId="2" fontId="2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2" fontId="13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8" fillId="4" borderId="6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/>
    </xf>
    <xf numFmtId="0" fontId="12" fillId="4" borderId="6" xfId="0" applyFont="1" applyFill="1" applyBorder="1" applyAlignment="1"/>
    <xf numFmtId="2" fontId="2" fillId="4" borderId="6" xfId="0" applyNumberFormat="1" applyFont="1" applyFill="1" applyBorder="1" applyAlignment="1">
      <alignment horizontal="center" vertical="center"/>
    </xf>
    <xf numFmtId="0" fontId="22" fillId="0" borderId="0" xfId="0" applyFont="1" applyAlignment="1"/>
    <xf numFmtId="0" fontId="23" fillId="0" borderId="0" xfId="0" applyFont="1" applyAlignment="1"/>
    <xf numFmtId="0" fontId="24" fillId="0" borderId="0" xfId="0" applyFont="1" applyAlignment="1"/>
    <xf numFmtId="2" fontId="21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/>
    </xf>
    <xf numFmtId="2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13" fillId="4" borderId="0" xfId="0" applyFont="1" applyFill="1" applyAlignment="1"/>
    <xf numFmtId="2" fontId="13" fillId="4" borderId="0" xfId="0" applyNumberFormat="1" applyFont="1" applyFill="1" applyAlignment="1">
      <alignment horizontal="center" vertical="center"/>
    </xf>
    <xf numFmtId="2" fontId="2" fillId="0" borderId="1" xfId="0" applyNumberFormat="1" applyFont="1" applyBorder="1" applyAlignment="1">
      <alignment horizontal="center"/>
    </xf>
    <xf numFmtId="0" fontId="26" fillId="0" borderId="0" xfId="0" applyFont="1" applyAlignment="1"/>
    <xf numFmtId="0" fontId="12" fillId="0" borderId="0" xfId="0" applyFont="1" applyAlignment="1">
      <alignment horizontal="center" vertical="center"/>
    </xf>
    <xf numFmtId="2" fontId="7" fillId="0" borderId="0" xfId="0" applyNumberFormat="1" applyFont="1" applyAlignment="1"/>
    <xf numFmtId="0" fontId="27" fillId="0" borderId="0" xfId="0" applyFont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12" fillId="3" borderId="6" xfId="0" applyFont="1" applyFill="1" applyBorder="1" applyAlignment="1"/>
    <xf numFmtId="0" fontId="12" fillId="3" borderId="6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8" fillId="0" borderId="6" xfId="0" applyFont="1" applyBorder="1" applyAlignment="1"/>
    <xf numFmtId="0" fontId="28" fillId="0" borderId="6" xfId="0" applyFont="1" applyBorder="1" applyAlignment="1">
      <alignment horizontal="center" vertical="center"/>
    </xf>
    <xf numFmtId="0" fontId="10" fillId="0" borderId="6" xfId="0" applyFont="1" applyBorder="1" applyAlignment="1"/>
    <xf numFmtId="165" fontId="2" fillId="0" borderId="1" xfId="0" applyNumberFormat="1" applyFont="1" applyBorder="1" applyAlignment="1">
      <alignment horizontal="center"/>
    </xf>
    <xf numFmtId="0" fontId="7" fillId="0" borderId="11" xfId="0" applyFont="1" applyBorder="1" applyAlignment="1"/>
    <xf numFmtId="0" fontId="29" fillId="0" borderId="0" xfId="0" applyFont="1">
      <alignment vertical="center"/>
    </xf>
    <xf numFmtId="0" fontId="30" fillId="0" borderId="1" xfId="0" applyFont="1" applyBorder="1" applyAlignment="1"/>
    <xf numFmtId="0" fontId="29" fillId="0" borderId="1" xfId="0" applyFont="1" applyBorder="1">
      <alignment vertical="center"/>
    </xf>
    <xf numFmtId="0" fontId="30" fillId="0" borderId="6" xfId="0" applyFont="1" applyBorder="1" applyAlignment="1"/>
    <xf numFmtId="0" fontId="31" fillId="0" borderId="0" xfId="0" applyFont="1" applyBorder="1">
      <alignment vertical="center"/>
    </xf>
    <xf numFmtId="0" fontId="32" fillId="0" borderId="1" xfId="0" applyFont="1" applyBorder="1" applyAlignment="1"/>
    <xf numFmtId="165" fontId="32" fillId="0" borderId="1" xfId="0" applyNumberFormat="1" applyFont="1" applyBorder="1" applyAlignment="1"/>
    <xf numFmtId="165" fontId="33" fillId="0" borderId="1" xfId="0" applyNumberFormat="1" applyFont="1" applyBorder="1" applyAlignment="1"/>
    <xf numFmtId="2" fontId="32" fillId="0" borderId="1" xfId="0" applyNumberFormat="1" applyFont="1" applyBorder="1" applyAlignment="1"/>
    <xf numFmtId="2" fontId="33" fillId="0" borderId="1" xfId="0" applyNumberFormat="1" applyFont="1" applyBorder="1" applyAlignment="1"/>
    <xf numFmtId="0" fontId="33" fillId="0" borderId="1" xfId="0" applyFont="1" applyBorder="1" applyAlignment="1"/>
    <xf numFmtId="0" fontId="13" fillId="0" borderId="1" xfId="0" applyFont="1" applyBorder="1" applyAlignment="1"/>
    <xf numFmtId="0" fontId="34" fillId="0" borderId="1" xfId="0" applyFont="1" applyBorder="1" applyAlignment="1"/>
    <xf numFmtId="0" fontId="22" fillId="0" borderId="1" xfId="0" applyFont="1" applyBorder="1">
      <alignment vertical="center"/>
    </xf>
    <xf numFmtId="0" fontId="35" fillId="0" borderId="1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9" fillId="0" borderId="6" xfId="0" applyFont="1" applyBorder="1" applyAlignment="1">
      <alignment horizontal="center"/>
    </xf>
    <xf numFmtId="166" fontId="18" fillId="0" borderId="12" xfId="1" applyFont="1" applyBorder="1" applyAlignment="1" applyProtection="1">
      <alignment horizontal="center"/>
    </xf>
    <xf numFmtId="166" fontId="18" fillId="0" borderId="9" xfId="1" applyFont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0" fillId="0" borderId="1" xfId="0" applyFont="1" applyBorder="1" applyAlignment="1">
      <alignment horizontal="center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 /><Relationship Id="rId13" Type="http://www.wps.cn/officeDocument/2020/cellImage" Target="NUL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/Desktop/&#1588;&#1585;&#1603;&#1607;%2520&#1575;&#1576;&#1608;%2520&#1607;&#1575;&#1588;&#1605;%2520&#1588;&#1594;&#1604;/&#1605;&#1588;&#1578;&#1585;&#1610;&#1575;&#1578;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اغسطس 2024"/>
      <sheetName val="شهر 9-2024"/>
      <sheetName val="10-2024"/>
      <sheetName val="11-2024"/>
      <sheetName val="12-2024"/>
      <sheetName val="1-1-2025"/>
      <sheetName val="بانيه"/>
      <sheetName val="2-2025"/>
      <sheetName val="3-2025"/>
      <sheetName val="4-2025"/>
      <sheetName val="5-2025"/>
      <sheetName val="ورقة1"/>
      <sheetName val="6-2025"/>
    </sheetNames>
    <sheetDataSet>
      <sheetData sheetId="0">
        <row r="6">
          <cell r="A6">
            <v>743.31103678929765</v>
          </cell>
        </row>
      </sheetData>
      <sheetData sheetId="1">
        <row r="6">
          <cell r="A6">
            <v>743.31</v>
          </cell>
        </row>
      </sheetData>
      <sheetData sheetId="2">
        <row r="6">
          <cell r="A6">
            <v>746.42162790697671</v>
          </cell>
        </row>
      </sheetData>
      <sheetData sheetId="3">
        <row r="6">
          <cell r="A6">
            <v>748.01111111111106</v>
          </cell>
        </row>
      </sheetData>
      <sheetData sheetId="4">
        <row r="7">
          <cell r="A7">
            <v>790.50648148148139</v>
          </cell>
        </row>
      </sheetData>
      <sheetData sheetId="5">
        <row r="8">
          <cell r="A8">
            <v>825.33039382176923</v>
          </cell>
        </row>
      </sheetData>
      <sheetData sheetId="6"/>
      <sheetData sheetId="7">
        <row r="7">
          <cell r="A7">
            <v>279.32</v>
          </cell>
        </row>
      </sheetData>
      <sheetData sheetId="8">
        <row r="7">
          <cell r="A7">
            <v>279.32</v>
          </cell>
        </row>
      </sheetData>
      <sheetData sheetId="9">
        <row r="8">
          <cell r="A8">
            <v>985.16844966690587</v>
          </cell>
        </row>
        <row r="51">
          <cell r="A51">
            <v>250</v>
          </cell>
        </row>
        <row r="52">
          <cell r="A52">
            <v>270</v>
          </cell>
        </row>
      </sheetData>
      <sheetData sheetId="10">
        <row r="8">
          <cell r="A8">
            <v>1089.4922157005099</v>
          </cell>
        </row>
        <row r="19">
          <cell r="A19">
            <v>373.22042283836458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63"/>
  <sheetViews>
    <sheetView rightToLeft="1" topLeftCell="E1" zoomScale="30" workbookViewId="0">
      <selection activeCell="AB5" sqref="AB5"/>
    </sheetView>
  </sheetViews>
  <sheetFormatPr defaultColWidth="9.953125" defaultRowHeight="23.25" x14ac:dyDescent="0.3"/>
  <cols>
    <col min="1" max="1" width="9.953125" style="1" bestFit="1" customWidth="1"/>
    <col min="2" max="2" width="15.87109375" style="1" customWidth="1"/>
    <col min="3" max="3" width="18.4296875" style="1" bestFit="1" customWidth="1"/>
    <col min="4" max="4" width="16.0078125" style="1" customWidth="1"/>
    <col min="5" max="5" width="13.31640625" style="2" bestFit="1" customWidth="1"/>
    <col min="6" max="6" width="9.953125" style="1" bestFit="1" customWidth="1"/>
    <col min="7" max="7" width="10.35546875" style="1" customWidth="1"/>
    <col min="8" max="9" width="9.953125" style="1" bestFit="1" customWidth="1"/>
    <col min="10" max="10" width="20.3125" style="1" customWidth="1"/>
    <col min="11" max="12" width="18.4296875" style="1" bestFit="1" customWidth="1"/>
    <col min="13" max="13" width="16.6796875" style="3" bestFit="1" customWidth="1"/>
    <col min="14" max="14" width="9.953125" style="1" bestFit="1" customWidth="1"/>
    <col min="15" max="15" width="18.4296875" style="1" bestFit="1" customWidth="1"/>
    <col min="16" max="16" width="10.0859375" style="1" bestFit="1" customWidth="1"/>
    <col min="17" max="17" width="15.46875" style="1" bestFit="1" customWidth="1"/>
    <col min="18" max="18" width="22.05859375" style="1" bestFit="1" customWidth="1"/>
    <col min="19" max="19" width="18.4296875" style="1" bestFit="1" customWidth="1"/>
    <col min="20" max="20" width="12.5078125" style="4" bestFit="1" customWidth="1"/>
    <col min="21" max="22" width="9.953125" style="1" bestFit="1" customWidth="1"/>
    <col min="23" max="23" width="18.4296875" style="1" bestFit="1" customWidth="1"/>
    <col min="24" max="24" width="10.0859375" style="1" bestFit="1" customWidth="1"/>
    <col min="25" max="25" width="16.6796875" style="1" bestFit="1" customWidth="1"/>
    <col min="26" max="26" width="13.31640625" style="1" bestFit="1" customWidth="1"/>
    <col min="27" max="27" width="9.953125" style="1" bestFit="1" customWidth="1"/>
    <col min="28" max="28" width="25.01953125" style="1" bestFit="1" customWidth="1"/>
    <col min="29" max="29" width="18.4296875" style="1" bestFit="1" customWidth="1"/>
    <col min="30" max="30" width="22.8671875" style="1" customWidth="1"/>
    <col min="31" max="32" width="18.4296875" style="1" bestFit="1" customWidth="1"/>
    <col min="33" max="41" width="9.953125" style="1" bestFit="1" customWidth="1"/>
    <col min="42" max="42" width="9.953125" style="1" hidden="1" bestFit="1" customWidth="1"/>
    <col min="43" max="43" width="9.953125" style="1" bestFit="1" customWidth="1"/>
    <col min="44" max="16384" width="9.953125" style="1"/>
  </cols>
  <sheetData>
    <row r="1" spans="2:31" x14ac:dyDescent="0.3">
      <c r="B1" s="142" t="s">
        <v>261</v>
      </c>
      <c r="C1" s="142"/>
      <c r="D1" s="1" t="s">
        <v>263</v>
      </c>
      <c r="J1" s="5" t="s">
        <v>0</v>
      </c>
      <c r="K1" s="5" t="s">
        <v>1</v>
      </c>
      <c r="Q1" s="142" t="s">
        <v>2</v>
      </c>
      <c r="R1" s="142"/>
      <c r="V1" s="142" t="s">
        <v>3</v>
      </c>
      <c r="W1" s="142"/>
    </row>
    <row r="2" spans="2:31" x14ac:dyDescent="0.3">
      <c r="B2" s="6" t="s">
        <v>4</v>
      </c>
      <c r="C2" s="6" t="s">
        <v>5</v>
      </c>
      <c r="D2" s="6" t="s">
        <v>6</v>
      </c>
      <c r="E2" s="7" t="s">
        <v>7</v>
      </c>
      <c r="J2" s="6" t="s">
        <v>4</v>
      </c>
      <c r="K2" s="6" t="s">
        <v>5</v>
      </c>
      <c r="L2" s="6" t="s">
        <v>6</v>
      </c>
      <c r="M2" s="8" t="s">
        <v>7</v>
      </c>
      <c r="Q2" s="6" t="s">
        <v>4</v>
      </c>
      <c r="R2" s="6" t="s">
        <v>8</v>
      </c>
      <c r="S2" s="6" t="s">
        <v>9</v>
      </c>
      <c r="T2" s="9" t="s">
        <v>7</v>
      </c>
      <c r="V2" s="6" t="s">
        <v>4</v>
      </c>
      <c r="W2" s="6" t="s">
        <v>8</v>
      </c>
      <c r="X2" s="6" t="s">
        <v>9</v>
      </c>
      <c r="Y2" s="6" t="s">
        <v>7</v>
      </c>
      <c r="AB2" s="142" t="s">
        <v>241</v>
      </c>
      <c r="AC2" s="142"/>
    </row>
    <row r="3" spans="2:31" x14ac:dyDescent="0.3">
      <c r="B3" s="10" t="s">
        <v>240</v>
      </c>
      <c r="C3" s="10">
        <v>20</v>
      </c>
      <c r="D3" s="10">
        <v>132</v>
      </c>
      <c r="E3" s="11">
        <f t="shared" ref="E3:E16" si="0">D3*C3</f>
        <v>2640</v>
      </c>
      <c r="J3" s="12" t="s">
        <v>10</v>
      </c>
      <c r="K3" s="13">
        <v>12</v>
      </c>
      <c r="L3" s="13">
        <v>233</v>
      </c>
      <c r="M3" s="14">
        <f t="shared" ref="M3:M15" si="1">L3*K3</f>
        <v>2796</v>
      </c>
      <c r="Q3" s="13" t="s">
        <v>267</v>
      </c>
      <c r="R3" s="12">
        <v>20</v>
      </c>
      <c r="S3" s="15">
        <v>57</v>
      </c>
      <c r="T3" s="15">
        <f t="shared" ref="T3:T16" si="2">R3*S3</f>
        <v>1140</v>
      </c>
      <c r="V3" s="13" t="s">
        <v>10</v>
      </c>
      <c r="W3" s="12">
        <v>8.6669999999999998</v>
      </c>
      <c r="X3" s="12">
        <v>190</v>
      </c>
      <c r="Y3" s="12">
        <f t="shared" ref="Y3:Y16" si="3">W3*X3</f>
        <v>1646.73</v>
      </c>
      <c r="AB3" s="6" t="s">
        <v>4</v>
      </c>
      <c r="AC3" s="6" t="s">
        <v>5</v>
      </c>
      <c r="AD3" s="6" t="s">
        <v>6</v>
      </c>
      <c r="AE3" s="6" t="s">
        <v>7</v>
      </c>
    </row>
    <row r="4" spans="2:31" x14ac:dyDescent="0.3">
      <c r="B4" s="10" t="s">
        <v>268</v>
      </c>
      <c r="C4" s="10">
        <v>5</v>
      </c>
      <c r="D4" s="16">
        <v>54</v>
      </c>
      <c r="E4" s="11">
        <f t="shared" si="0"/>
        <v>270</v>
      </c>
      <c r="J4" s="12" t="s">
        <v>11</v>
      </c>
      <c r="K4" s="13">
        <v>5</v>
      </c>
      <c r="L4" s="17">
        <v>35</v>
      </c>
      <c r="M4" s="14">
        <f t="shared" si="1"/>
        <v>175</v>
      </c>
      <c r="O4" s="1">
        <f>5*245</f>
        <v>1225</v>
      </c>
      <c r="Q4" s="13" t="s">
        <v>12</v>
      </c>
      <c r="R4" s="12">
        <v>10</v>
      </c>
      <c r="S4" s="15">
        <f>+L7</f>
        <v>12</v>
      </c>
      <c r="T4" s="15">
        <f t="shared" si="2"/>
        <v>120</v>
      </c>
      <c r="V4" s="13" t="s">
        <v>13</v>
      </c>
      <c r="W4" s="12">
        <v>3.33</v>
      </c>
      <c r="X4" s="15">
        <v>97</v>
      </c>
      <c r="Y4" s="12">
        <f t="shared" si="3"/>
        <v>323.01</v>
      </c>
      <c r="AB4" s="10" t="s">
        <v>240</v>
      </c>
      <c r="AC4" s="10">
        <v>20</v>
      </c>
      <c r="AD4" s="10">
        <v>223</v>
      </c>
      <c r="AE4" s="10">
        <f>AD4*AC4</f>
        <v>4460</v>
      </c>
    </row>
    <row r="5" spans="2:31" x14ac:dyDescent="0.3">
      <c r="B5" s="12" t="s">
        <v>14</v>
      </c>
      <c r="C5" s="12">
        <v>2</v>
      </c>
      <c r="D5" s="15">
        <v>16</v>
      </c>
      <c r="E5" s="11">
        <f t="shared" si="0"/>
        <v>32</v>
      </c>
      <c r="J5" s="12" t="s">
        <v>15</v>
      </c>
      <c r="K5" s="13">
        <v>6</v>
      </c>
      <c r="L5" s="17">
        <v>135</v>
      </c>
      <c r="M5" s="14">
        <f t="shared" si="1"/>
        <v>810</v>
      </c>
      <c r="O5" s="1">
        <f>223*7</f>
        <v>1561</v>
      </c>
      <c r="Q5" s="13" t="s">
        <v>16</v>
      </c>
      <c r="R5" s="12">
        <v>10</v>
      </c>
      <c r="S5" s="15">
        <v>35</v>
      </c>
      <c r="T5" s="15">
        <f t="shared" si="2"/>
        <v>350</v>
      </c>
      <c r="V5" s="13" t="s">
        <v>17</v>
      </c>
      <c r="W5" s="12">
        <v>0.25</v>
      </c>
      <c r="X5" s="12">
        <v>12</v>
      </c>
      <c r="Y5" s="12">
        <f t="shared" si="3"/>
        <v>3</v>
      </c>
      <c r="AB5" s="10" t="s">
        <v>268</v>
      </c>
      <c r="AC5" s="10">
        <v>5</v>
      </c>
      <c r="AD5" s="16">
        <v>58</v>
      </c>
      <c r="AE5" s="10">
        <f>AD5*AC5</f>
        <v>290</v>
      </c>
    </row>
    <row r="6" spans="2:31" x14ac:dyDescent="0.3">
      <c r="B6" s="12" t="s">
        <v>16</v>
      </c>
      <c r="C6" s="12">
        <v>10</v>
      </c>
      <c r="D6" s="15">
        <v>51</v>
      </c>
      <c r="E6" s="11">
        <f t="shared" si="0"/>
        <v>510</v>
      </c>
      <c r="J6" s="12" t="s">
        <v>18</v>
      </c>
      <c r="K6" s="13">
        <v>6</v>
      </c>
      <c r="L6" s="17">
        <v>39</v>
      </c>
      <c r="M6" s="14">
        <f t="shared" si="1"/>
        <v>234</v>
      </c>
      <c r="O6" s="1">
        <f>O5+O4</f>
        <v>2786</v>
      </c>
      <c r="Q6" s="13" t="s">
        <v>240</v>
      </c>
      <c r="R6" s="12">
        <v>20</v>
      </c>
      <c r="S6" s="12">
        <v>223</v>
      </c>
      <c r="T6" s="15">
        <f t="shared" si="2"/>
        <v>4460</v>
      </c>
      <c r="V6" s="13" t="s">
        <v>19</v>
      </c>
      <c r="W6" s="12">
        <v>0.25</v>
      </c>
      <c r="X6" s="12">
        <v>8</v>
      </c>
      <c r="Y6" s="12">
        <f t="shared" si="3"/>
        <v>2</v>
      </c>
      <c r="AB6" s="12" t="s">
        <v>14</v>
      </c>
      <c r="AC6" s="12">
        <v>2.5</v>
      </c>
      <c r="AD6" s="15">
        <v>25</v>
      </c>
      <c r="AE6" s="10">
        <f>AD6*AC6</f>
        <v>62.5</v>
      </c>
    </row>
    <row r="7" spans="2:31" x14ac:dyDescent="0.3">
      <c r="B7" s="12" t="s">
        <v>18</v>
      </c>
      <c r="C7" s="12">
        <v>10</v>
      </c>
      <c r="D7" s="15">
        <v>31</v>
      </c>
      <c r="E7" s="11">
        <f t="shared" si="0"/>
        <v>310</v>
      </c>
      <c r="J7" s="12" t="s">
        <v>17</v>
      </c>
      <c r="K7" s="13">
        <v>4</v>
      </c>
      <c r="L7" s="17">
        <f>+D10</f>
        <v>12</v>
      </c>
      <c r="M7" s="14">
        <f t="shared" si="1"/>
        <v>48</v>
      </c>
      <c r="O7" s="1">
        <f>O6/12</f>
        <v>232.16666666666666</v>
      </c>
      <c r="Q7" s="13" t="s">
        <v>19</v>
      </c>
      <c r="R7" s="13">
        <v>0</v>
      </c>
      <c r="S7" s="13">
        <v>5</v>
      </c>
      <c r="T7" s="17">
        <f t="shared" si="2"/>
        <v>0</v>
      </c>
      <c r="V7" s="13" t="s">
        <v>18</v>
      </c>
      <c r="W7" s="13">
        <v>0.2</v>
      </c>
      <c r="X7" s="13">
        <v>33.5</v>
      </c>
      <c r="Y7" s="13">
        <f t="shared" si="3"/>
        <v>6.7</v>
      </c>
      <c r="AB7" s="12" t="s">
        <v>16</v>
      </c>
      <c r="AC7" s="12">
        <v>9</v>
      </c>
      <c r="AD7" s="15">
        <v>35</v>
      </c>
      <c r="AE7" s="10">
        <f>AD7*AC7</f>
        <v>315</v>
      </c>
    </row>
    <row r="8" spans="2:31" x14ac:dyDescent="0.3">
      <c r="B8" s="12" t="s">
        <v>211</v>
      </c>
      <c r="C8" s="12">
        <v>0.1</v>
      </c>
      <c r="D8" s="15">
        <v>16</v>
      </c>
      <c r="E8" s="11">
        <f t="shared" si="0"/>
        <v>1.6</v>
      </c>
      <c r="J8" s="12" t="s">
        <v>21</v>
      </c>
      <c r="K8" s="13">
        <v>1</v>
      </c>
      <c r="L8" s="17">
        <v>15</v>
      </c>
      <c r="M8" s="14">
        <f t="shared" si="1"/>
        <v>15</v>
      </c>
      <c r="Q8" s="13" t="s">
        <v>22</v>
      </c>
      <c r="R8" s="12">
        <v>2</v>
      </c>
      <c r="S8" s="15">
        <v>29</v>
      </c>
      <c r="T8" s="15">
        <f t="shared" si="2"/>
        <v>58</v>
      </c>
      <c r="V8" s="13" t="s">
        <v>23</v>
      </c>
      <c r="W8" s="12">
        <f>0.44+0.125</f>
        <v>0.56499999999999995</v>
      </c>
      <c r="X8" s="12"/>
      <c r="Y8" s="12">
        <f t="shared" si="3"/>
        <v>0</v>
      </c>
      <c r="AB8" s="12" t="s">
        <v>18</v>
      </c>
      <c r="AC8" s="12">
        <v>7.5</v>
      </c>
      <c r="AD8" s="15">
        <v>39</v>
      </c>
      <c r="AE8" s="10">
        <f>AD8*AC8</f>
        <v>292.5</v>
      </c>
    </row>
    <row r="9" spans="2:31" x14ac:dyDescent="0.3">
      <c r="B9" s="12" t="s">
        <v>20</v>
      </c>
      <c r="C9" s="12">
        <v>5</v>
      </c>
      <c r="D9" s="15">
        <v>19</v>
      </c>
      <c r="E9" s="11">
        <f t="shared" si="0"/>
        <v>95</v>
      </c>
      <c r="J9" s="12" t="s">
        <v>24</v>
      </c>
      <c r="K9" s="13">
        <v>0.5</v>
      </c>
      <c r="L9" s="17">
        <v>29</v>
      </c>
      <c r="M9" s="14">
        <f t="shared" si="1"/>
        <v>14.5</v>
      </c>
      <c r="Q9" s="13" t="s">
        <v>18</v>
      </c>
      <c r="R9" s="12">
        <v>10</v>
      </c>
      <c r="S9" s="15">
        <v>39</v>
      </c>
      <c r="T9" s="15">
        <f t="shared" si="2"/>
        <v>390</v>
      </c>
      <c r="V9" s="13" t="s">
        <v>20</v>
      </c>
      <c r="W9" s="12">
        <v>0.125</v>
      </c>
      <c r="X9" s="12">
        <v>20</v>
      </c>
      <c r="Y9" s="12">
        <f t="shared" si="3"/>
        <v>2.5</v>
      </c>
      <c r="AB9" s="12" t="s">
        <v>211</v>
      </c>
      <c r="AC9" s="12">
        <v>0.2</v>
      </c>
      <c r="AD9" s="15">
        <v>25</v>
      </c>
      <c r="AE9" s="10">
        <f>AD9*AC9</f>
        <v>5</v>
      </c>
    </row>
    <row r="10" spans="2:31" x14ac:dyDescent="0.3">
      <c r="B10" s="12" t="s">
        <v>17</v>
      </c>
      <c r="C10" s="12">
        <v>7.5</v>
      </c>
      <c r="D10" s="15">
        <v>12</v>
      </c>
      <c r="E10" s="11">
        <f t="shared" si="0"/>
        <v>90</v>
      </c>
      <c r="J10" s="12" t="s">
        <v>26</v>
      </c>
      <c r="K10" s="13">
        <v>2</v>
      </c>
      <c r="L10" s="17">
        <v>28.5</v>
      </c>
      <c r="M10" s="14">
        <f t="shared" si="1"/>
        <v>57</v>
      </c>
      <c r="Q10" s="13" t="s">
        <v>25</v>
      </c>
      <c r="R10" s="12"/>
      <c r="S10" s="12"/>
      <c r="T10" s="15">
        <f t="shared" si="2"/>
        <v>0</v>
      </c>
      <c r="V10" s="13" t="s">
        <v>26</v>
      </c>
      <c r="W10" s="12">
        <v>0.1</v>
      </c>
      <c r="X10" s="12">
        <v>27</v>
      </c>
      <c r="Y10" s="12">
        <f t="shared" si="3"/>
        <v>2.7</v>
      </c>
      <c r="AB10" s="12" t="s">
        <v>20</v>
      </c>
      <c r="AC10" s="12">
        <v>0</v>
      </c>
      <c r="AD10" s="15">
        <v>20</v>
      </c>
      <c r="AE10" s="10">
        <f>AD10*AC10</f>
        <v>0</v>
      </c>
    </row>
    <row r="11" spans="2:31" x14ac:dyDescent="0.3">
      <c r="B11" s="12" t="s">
        <v>239</v>
      </c>
      <c r="C11" s="12">
        <v>1</v>
      </c>
      <c r="D11" s="12">
        <v>130</v>
      </c>
      <c r="E11" s="11">
        <f t="shared" si="0"/>
        <v>130</v>
      </c>
      <c r="J11" s="12" t="s">
        <v>20</v>
      </c>
      <c r="K11" s="13">
        <v>4</v>
      </c>
      <c r="L11" s="17">
        <v>20</v>
      </c>
      <c r="M11" s="14">
        <f t="shared" si="1"/>
        <v>80</v>
      </c>
      <c r="Q11" s="13" t="s">
        <v>20</v>
      </c>
      <c r="R11" s="12">
        <v>4</v>
      </c>
      <c r="S11" s="15">
        <v>20</v>
      </c>
      <c r="T11" s="15">
        <f t="shared" si="2"/>
        <v>80</v>
      </c>
      <c r="V11" s="13" t="s">
        <v>28</v>
      </c>
      <c r="W11" s="12">
        <f>+X38</f>
        <v>0.13800000000000001</v>
      </c>
      <c r="X11" s="15">
        <f>+W39</f>
        <v>114.45260869565216</v>
      </c>
      <c r="Y11" s="12">
        <f t="shared" si="3"/>
        <v>15.794459999999999</v>
      </c>
      <c r="AB11" s="12" t="s">
        <v>17</v>
      </c>
      <c r="AC11" s="12">
        <v>6</v>
      </c>
      <c r="AD11" s="15">
        <v>12</v>
      </c>
      <c r="AE11" s="10">
        <f>AD11*AC11</f>
        <v>72</v>
      </c>
    </row>
    <row r="12" spans="2:31" x14ac:dyDescent="0.3">
      <c r="B12" s="12" t="s">
        <v>27</v>
      </c>
      <c r="C12" s="12">
        <v>22</v>
      </c>
      <c r="D12" s="12">
        <v>0</v>
      </c>
      <c r="E12" s="11">
        <f t="shared" si="0"/>
        <v>0</v>
      </c>
      <c r="I12" s="1" t="s">
        <v>161</v>
      </c>
      <c r="J12" s="12" t="s">
        <v>160</v>
      </c>
      <c r="K12" s="13">
        <v>0.25</v>
      </c>
      <c r="L12" s="17">
        <v>190</v>
      </c>
      <c r="M12" s="14">
        <f t="shared" si="1"/>
        <v>47.5</v>
      </c>
      <c r="O12" s="1">
        <f>R13/R17*3</f>
        <v>0.66079295154185025</v>
      </c>
      <c r="Q12" s="13" t="s">
        <v>30</v>
      </c>
      <c r="R12" s="12">
        <v>10</v>
      </c>
      <c r="S12" s="15">
        <v>35</v>
      </c>
      <c r="T12" s="15">
        <f t="shared" si="2"/>
        <v>350</v>
      </c>
      <c r="V12" s="13"/>
      <c r="W12" s="12"/>
      <c r="X12" s="12"/>
      <c r="Y12" s="12">
        <f t="shared" si="3"/>
        <v>0</v>
      </c>
      <c r="AB12" s="12" t="s">
        <v>239</v>
      </c>
      <c r="AC12" s="12">
        <v>1.2</v>
      </c>
      <c r="AD12" s="15">
        <v>190</v>
      </c>
      <c r="AE12" s="10">
        <f>AD12*AC12</f>
        <v>228</v>
      </c>
    </row>
    <row r="13" spans="2:31" x14ac:dyDescent="0.3">
      <c r="B13" s="12" t="s">
        <v>26</v>
      </c>
      <c r="C13" s="12">
        <v>4</v>
      </c>
      <c r="D13" s="15">
        <v>24.5</v>
      </c>
      <c r="E13" s="11">
        <f t="shared" si="0"/>
        <v>98</v>
      </c>
      <c r="J13" s="12" t="s">
        <v>267</v>
      </c>
      <c r="K13" s="13">
        <v>6</v>
      </c>
      <c r="L13" s="17">
        <v>57</v>
      </c>
      <c r="M13" s="14">
        <f t="shared" si="1"/>
        <v>342</v>
      </c>
      <c r="Q13" s="13" t="s">
        <v>23</v>
      </c>
      <c r="R13" s="12">
        <v>28</v>
      </c>
      <c r="S13" s="12">
        <v>0</v>
      </c>
      <c r="T13" s="15">
        <f t="shared" si="2"/>
        <v>0</v>
      </c>
      <c r="V13" s="13"/>
      <c r="W13" s="12"/>
      <c r="X13" s="12"/>
      <c r="Y13" s="12">
        <f t="shared" si="3"/>
        <v>0</v>
      </c>
      <c r="AB13" s="12" t="s">
        <v>27</v>
      </c>
      <c r="AC13" s="12">
        <v>15</v>
      </c>
      <c r="AD13" s="12">
        <v>1</v>
      </c>
      <c r="AE13" s="10">
        <f>AD13*AC13</f>
        <v>15</v>
      </c>
    </row>
    <row r="14" spans="2:31" x14ac:dyDescent="0.3">
      <c r="B14" s="12" t="s">
        <v>21</v>
      </c>
      <c r="C14" s="12">
        <v>3</v>
      </c>
      <c r="D14" s="15">
        <v>14.5</v>
      </c>
      <c r="E14" s="11">
        <f t="shared" si="0"/>
        <v>43.5</v>
      </c>
      <c r="J14" s="12" t="s">
        <v>31</v>
      </c>
      <c r="K14" s="13">
        <v>14</v>
      </c>
      <c r="L14" s="13">
        <v>1</v>
      </c>
      <c r="M14" s="14">
        <f t="shared" si="1"/>
        <v>14</v>
      </c>
      <c r="Q14" s="13" t="s">
        <v>15</v>
      </c>
      <c r="R14" s="12">
        <v>10</v>
      </c>
      <c r="S14" s="12">
        <v>135</v>
      </c>
      <c r="T14" s="15">
        <f t="shared" si="2"/>
        <v>1350</v>
      </c>
      <c r="V14" s="13"/>
      <c r="W14" s="12"/>
      <c r="X14" s="12"/>
      <c r="Y14" s="12">
        <f t="shared" si="3"/>
        <v>0</v>
      </c>
      <c r="AB14" s="12" t="s">
        <v>26</v>
      </c>
      <c r="AC14" s="12">
        <v>2.5</v>
      </c>
      <c r="AD14" s="15">
        <v>28.5</v>
      </c>
      <c r="AE14" s="10">
        <f>AD14*AC14</f>
        <v>71.25</v>
      </c>
    </row>
    <row r="15" spans="2:31" x14ac:dyDescent="0.3">
      <c r="B15" s="12" t="s">
        <v>32</v>
      </c>
      <c r="C15" s="12">
        <v>5</v>
      </c>
      <c r="D15" s="15">
        <v>80</v>
      </c>
      <c r="E15" s="11">
        <f t="shared" si="0"/>
        <v>400</v>
      </c>
      <c r="J15" s="12" t="s">
        <v>33</v>
      </c>
      <c r="K15" s="13">
        <f>K40</f>
        <v>1.905</v>
      </c>
      <c r="L15" s="13">
        <f>K41</f>
        <v>141.4540682414698</v>
      </c>
      <c r="M15" s="14">
        <f t="shared" si="1"/>
        <v>269.46999999999997</v>
      </c>
      <c r="Q15" s="13" t="s">
        <v>26</v>
      </c>
      <c r="R15" s="12">
        <v>0</v>
      </c>
      <c r="S15" s="12">
        <v>28.5</v>
      </c>
      <c r="T15" s="15">
        <f t="shared" si="2"/>
        <v>0</v>
      </c>
      <c r="V15" s="13"/>
      <c r="W15" s="12"/>
      <c r="X15" s="12"/>
      <c r="Y15" s="12">
        <f t="shared" si="3"/>
        <v>0</v>
      </c>
      <c r="AB15" s="12" t="s">
        <v>21</v>
      </c>
      <c r="AC15" s="12">
        <v>2</v>
      </c>
      <c r="AD15" s="15">
        <v>15.5</v>
      </c>
      <c r="AE15" s="10">
        <f>AD15*AC15</f>
        <v>31</v>
      </c>
    </row>
    <row r="16" spans="2:31" x14ac:dyDescent="0.3">
      <c r="B16" s="12" t="s">
        <v>33</v>
      </c>
      <c r="C16" s="12">
        <f>+C40</f>
        <v>3.3049999999999997</v>
      </c>
      <c r="D16" s="15">
        <f>+C41</f>
        <v>107.2692889561271</v>
      </c>
      <c r="E16" s="11">
        <f t="shared" si="0"/>
        <v>354.52500000000003</v>
      </c>
      <c r="J16" s="12" t="s">
        <v>7</v>
      </c>
      <c r="K16" s="12">
        <f>SUM(K3:K15)</f>
        <v>62.655000000000001</v>
      </c>
      <c r="L16" s="12"/>
      <c r="M16" s="18">
        <f>SUM(M3:M15)</f>
        <v>4902.47</v>
      </c>
      <c r="Q16" s="13" t="s">
        <v>34</v>
      </c>
      <c r="R16" s="12">
        <v>3.12</v>
      </c>
      <c r="S16" s="12">
        <f>R43</f>
        <v>204.01223241590213</v>
      </c>
      <c r="T16" s="15">
        <f t="shared" si="2"/>
        <v>636.51816513761469</v>
      </c>
      <c r="V16" s="13"/>
      <c r="W16" s="12"/>
      <c r="X16" s="12">
        <f>W43</f>
        <v>0</v>
      </c>
      <c r="Y16" s="12">
        <f t="shared" si="3"/>
        <v>0</v>
      </c>
      <c r="AB16" s="12" t="s">
        <v>32</v>
      </c>
      <c r="AC16" s="12">
        <v>5</v>
      </c>
      <c r="AD16" s="15">
        <v>135</v>
      </c>
      <c r="AE16" s="10">
        <f>AD16*AC16</f>
        <v>675</v>
      </c>
    </row>
    <row r="17" spans="2:31" x14ac:dyDescent="0.3">
      <c r="B17" s="13" t="s">
        <v>7</v>
      </c>
      <c r="C17" s="13">
        <f>SUM(C3:C16)</f>
        <v>97.905000000000001</v>
      </c>
      <c r="D17" s="13"/>
      <c r="E17" s="11">
        <f>SUM(E3:E16)</f>
        <v>4974.625</v>
      </c>
      <c r="J17" s="13"/>
      <c r="K17" s="13"/>
      <c r="L17" s="13"/>
      <c r="M17" s="14"/>
      <c r="Q17" s="13" t="s">
        <v>7</v>
      </c>
      <c r="R17" s="19">
        <f>SUM(R3:R16)</f>
        <v>127.12</v>
      </c>
      <c r="S17" s="13"/>
      <c r="T17" s="15">
        <f>SUM(T3:T16)</f>
        <v>8934.5181651376151</v>
      </c>
      <c r="V17" s="13" t="s">
        <v>7</v>
      </c>
      <c r="W17" s="12">
        <f>SUM(W3:W16)</f>
        <v>13.624999999999998</v>
      </c>
      <c r="X17" s="13"/>
      <c r="Y17" s="12">
        <f>SUM(Y3:Y16)</f>
        <v>2002.4344600000002</v>
      </c>
      <c r="AB17" s="12" t="s">
        <v>33</v>
      </c>
      <c r="AC17" s="12">
        <f>AC41</f>
        <v>2.5999999999999996</v>
      </c>
      <c r="AD17" s="15">
        <f>+AC42</f>
        <v>124.71346153846156</v>
      </c>
      <c r="AE17" s="10">
        <f>AD17*AC17</f>
        <v>324.255</v>
      </c>
    </row>
    <row r="18" spans="2:31" x14ac:dyDescent="0.3">
      <c r="B18" s="13" t="s">
        <v>35</v>
      </c>
      <c r="C18" s="20">
        <f>E17/C17</f>
        <v>50.810734896072724</v>
      </c>
      <c r="D18" s="21"/>
      <c r="E18" s="22"/>
      <c r="J18" s="12" t="s">
        <v>35</v>
      </c>
      <c r="K18" s="141">
        <f>M16/K16</f>
        <v>78.245471231346258</v>
      </c>
      <c r="L18" s="141"/>
      <c r="M18" s="14"/>
      <c r="Q18" s="13" t="s">
        <v>39</v>
      </c>
      <c r="R18" s="13">
        <v>20</v>
      </c>
      <c r="S18" s="13"/>
      <c r="T18" s="17"/>
      <c r="V18" s="13" t="s">
        <v>39</v>
      </c>
      <c r="W18" s="13">
        <v>0</v>
      </c>
      <c r="X18" s="13"/>
      <c r="Y18" s="13"/>
      <c r="AB18" s="13" t="s">
        <v>7</v>
      </c>
      <c r="AC18" s="13">
        <f>SUM(AC4:AC17)</f>
        <v>78.5</v>
      </c>
      <c r="AD18" s="13"/>
      <c r="AE18" s="10">
        <f>SUM(AE4:AE17)</f>
        <v>6841.5050000000001</v>
      </c>
    </row>
    <row r="19" spans="2:31" x14ac:dyDescent="0.3">
      <c r="B19" s="13" t="s">
        <v>36</v>
      </c>
      <c r="C19" s="13" t="s">
        <v>37</v>
      </c>
      <c r="D19" s="13" t="s">
        <v>262</v>
      </c>
      <c r="E19" s="22" t="s">
        <v>7</v>
      </c>
      <c r="J19" s="23" t="s">
        <v>36</v>
      </c>
      <c r="K19" s="23" t="s">
        <v>37</v>
      </c>
      <c r="L19" s="23" t="s">
        <v>262</v>
      </c>
      <c r="M19" s="24" t="s">
        <v>7</v>
      </c>
      <c r="Q19" s="13" t="s">
        <v>35</v>
      </c>
      <c r="R19" s="139">
        <f>T17/R17+R18</f>
        <v>90.284126535066193</v>
      </c>
      <c r="S19" s="140"/>
      <c r="T19" s="17"/>
      <c r="V19" s="13" t="s">
        <v>35</v>
      </c>
      <c r="W19" s="139">
        <f>Y17/W17+W18</f>
        <v>146.96766678899087</v>
      </c>
      <c r="X19" s="140"/>
      <c r="Y19" s="13"/>
      <c r="AB19" s="13" t="s">
        <v>264</v>
      </c>
      <c r="AC19" s="20">
        <f>AE18/AC18</f>
        <v>87.152929936305739</v>
      </c>
      <c r="AD19" s="21"/>
      <c r="AE19" s="13"/>
    </row>
    <row r="20" spans="2:31" x14ac:dyDescent="0.3">
      <c r="B20" s="13" t="s">
        <v>40</v>
      </c>
      <c r="C20" s="13">
        <f>C18*0.35</f>
        <v>17.783757213625453</v>
      </c>
      <c r="D20" s="13">
        <f>F55</f>
        <v>4.6400000000000006</v>
      </c>
      <c r="E20" s="19">
        <f>C20+D20</f>
        <v>22.423757213625453</v>
      </c>
      <c r="J20" s="13" t="s">
        <v>41</v>
      </c>
      <c r="K20" s="13">
        <f>K18*0.4</f>
        <v>31.298188492538504</v>
      </c>
      <c r="L20" s="13">
        <f>H55</f>
        <v>4.99</v>
      </c>
      <c r="M20" s="18">
        <f>K20+L20</f>
        <v>36.288188492538502</v>
      </c>
      <c r="Q20" s="23" t="s">
        <v>36</v>
      </c>
      <c r="R20" s="23" t="s">
        <v>37</v>
      </c>
      <c r="S20" s="23" t="s">
        <v>262</v>
      </c>
      <c r="T20" s="25" t="s">
        <v>7</v>
      </c>
      <c r="AB20" s="13" t="s">
        <v>36</v>
      </c>
      <c r="AC20" s="13" t="s">
        <v>37</v>
      </c>
      <c r="AD20" s="13" t="s">
        <v>262</v>
      </c>
      <c r="AE20" s="13" t="s">
        <v>7</v>
      </c>
    </row>
    <row r="21" spans="2:31" x14ac:dyDescent="0.3">
      <c r="B21" s="26" t="s">
        <v>42</v>
      </c>
      <c r="C21" s="26">
        <f>C18*0.8</f>
        <v>40.648587916858183</v>
      </c>
      <c r="D21" s="26">
        <f>G55</f>
        <v>6.3599999999999994</v>
      </c>
      <c r="E21" s="27">
        <f>C21+D21</f>
        <v>47.008587916858183</v>
      </c>
      <c r="J21" s="13" t="s">
        <v>42</v>
      </c>
      <c r="K21" s="13">
        <f>K18*0.8</f>
        <v>62.596376985077008</v>
      </c>
      <c r="L21" s="13">
        <v>0</v>
      </c>
      <c r="M21" s="18">
        <f>K21+L21</f>
        <v>62.596376985077008</v>
      </c>
      <c r="Q21" s="13" t="s">
        <v>40</v>
      </c>
      <c r="R21" s="13">
        <f>R19*0.35</f>
        <v>31.599444287273165</v>
      </c>
      <c r="S21" s="13">
        <f>C56</f>
        <v>4.67</v>
      </c>
      <c r="T21" s="15">
        <f>R21+S21</f>
        <v>36.269444287273167</v>
      </c>
      <c r="AB21" s="13" t="s">
        <v>40</v>
      </c>
      <c r="AC21" s="13">
        <f>AC19*0.35</f>
        <v>30.503525477707008</v>
      </c>
      <c r="AD21" s="13">
        <v>4.5</v>
      </c>
      <c r="AE21" s="12">
        <f>AC21+AD21</f>
        <v>35.003525477707008</v>
      </c>
    </row>
    <row r="22" spans="2:31" x14ac:dyDescent="0.3">
      <c r="J22" s="23" t="s">
        <v>43</v>
      </c>
      <c r="K22" s="13">
        <f>K18*0.55</f>
        <v>43.035009177240447</v>
      </c>
      <c r="L22" s="13">
        <f>I55</f>
        <v>5.99</v>
      </c>
      <c r="M22" s="18">
        <f>K22+L22</f>
        <v>49.025009177240449</v>
      </c>
      <c r="Q22" s="13" t="s">
        <v>42</v>
      </c>
      <c r="R22" s="13">
        <f>R19*0.8</f>
        <v>72.227301228052951</v>
      </c>
      <c r="S22" s="13">
        <f>D56</f>
        <v>6.27</v>
      </c>
      <c r="T22" s="15">
        <f>R22+S22</f>
        <v>78.497301228052947</v>
      </c>
      <c r="AB22" s="26" t="s">
        <v>42</v>
      </c>
      <c r="AC22" s="26">
        <f>AC19*0.8</f>
        <v>69.7223439490446</v>
      </c>
      <c r="AD22" s="26">
        <v>5.35</v>
      </c>
      <c r="AE22" s="28">
        <f>AC22+AD22</f>
        <v>75.072343949044594</v>
      </c>
    </row>
    <row r="23" spans="2:31" x14ac:dyDescent="0.3">
      <c r="J23" s="23" t="s">
        <v>44</v>
      </c>
      <c r="K23" s="13">
        <f>K18*1</f>
        <v>78.245471231346258</v>
      </c>
      <c r="L23" s="13">
        <v>5.6</v>
      </c>
      <c r="M23" s="18">
        <f>K23+L23</f>
        <v>83.845471231346252</v>
      </c>
      <c r="Q23" s="13" t="s">
        <v>47</v>
      </c>
      <c r="R23" s="13">
        <f>R19*3</f>
        <v>270.85237960519856</v>
      </c>
      <c r="S23" s="13">
        <f>E56</f>
        <v>9.2300000000000022</v>
      </c>
      <c r="T23" s="15">
        <f>R23+S23</f>
        <v>280.08237960519858</v>
      </c>
    </row>
    <row r="24" spans="2:31" x14ac:dyDescent="0.3">
      <c r="B24" s="29" t="s">
        <v>45</v>
      </c>
      <c r="J24" s="13" t="s">
        <v>46</v>
      </c>
      <c r="K24" s="13">
        <f>K18*1.2</f>
        <v>93.894565477615501</v>
      </c>
      <c r="L24" s="13">
        <v>6.18</v>
      </c>
      <c r="M24" s="18">
        <f>K24+L24</f>
        <v>100.07456547761549</v>
      </c>
      <c r="Q24" s="13" t="s">
        <v>49</v>
      </c>
      <c r="R24" s="13">
        <f>R19*5</f>
        <v>451.42063267533098</v>
      </c>
      <c r="S24" s="13">
        <v>2.5</v>
      </c>
      <c r="T24" s="15">
        <f>R24+S24</f>
        <v>453.92063267533098</v>
      </c>
    </row>
    <row r="25" spans="2:31" x14ac:dyDescent="0.3">
      <c r="B25" s="12" t="s">
        <v>48</v>
      </c>
      <c r="C25" s="1">
        <v>0.4</v>
      </c>
      <c r="D25" s="4">
        <v>100</v>
      </c>
      <c r="E25" s="2">
        <f t="shared" ref="E25:E39" si="4">C25*D25</f>
        <v>40</v>
      </c>
      <c r="J25" s="13">
        <v>1.5</v>
      </c>
      <c r="K25" s="13">
        <f>K18*1.5</f>
        <v>117.36820684701939</v>
      </c>
      <c r="L25" s="13">
        <f>J55</f>
        <v>6.068888888888889</v>
      </c>
      <c r="M25" s="18">
        <f>K25+L25</f>
        <v>123.43709573590829</v>
      </c>
      <c r="AB25" s="29" t="s">
        <v>45</v>
      </c>
    </row>
    <row r="26" spans="2:31" x14ac:dyDescent="0.3">
      <c r="B26" s="12" t="s">
        <v>50</v>
      </c>
      <c r="C26" s="1">
        <v>0.3</v>
      </c>
      <c r="D26" s="4">
        <v>60</v>
      </c>
      <c r="E26" s="2">
        <f t="shared" si="4"/>
        <v>18</v>
      </c>
      <c r="L26" s="1" t="s">
        <v>51</v>
      </c>
      <c r="R26" s="5" t="s">
        <v>237</v>
      </c>
      <c r="AB26" s="12" t="s">
        <v>48</v>
      </c>
      <c r="AC26" s="1">
        <v>0.4</v>
      </c>
      <c r="AD26" s="4">
        <v>160</v>
      </c>
      <c r="AE26" s="1">
        <f t="shared" ref="AE26:AE40" si="5">AC26*AD26</f>
        <v>64</v>
      </c>
    </row>
    <row r="27" spans="2:31" x14ac:dyDescent="0.3">
      <c r="B27" s="12" t="s">
        <v>52</v>
      </c>
      <c r="C27" s="1">
        <v>0.15</v>
      </c>
      <c r="D27" s="1">
        <v>150</v>
      </c>
      <c r="E27" s="2">
        <f t="shared" si="4"/>
        <v>22.5</v>
      </c>
      <c r="J27" s="12" t="s">
        <v>48</v>
      </c>
      <c r="K27" s="1">
        <v>0.25</v>
      </c>
      <c r="L27" s="4">
        <v>160</v>
      </c>
      <c r="M27" s="30">
        <f t="shared" ref="M27:M39" si="6">K27*L27</f>
        <v>40</v>
      </c>
      <c r="Q27" s="12" t="s">
        <v>48</v>
      </c>
      <c r="R27" s="1">
        <v>0.3</v>
      </c>
      <c r="S27" s="4">
        <v>160</v>
      </c>
      <c r="T27" s="4">
        <f t="shared" ref="T27:T41" si="7">S27*R27</f>
        <v>48</v>
      </c>
      <c r="W27" s="1" t="s">
        <v>54</v>
      </c>
      <c r="X27" s="1">
        <v>0.06</v>
      </c>
      <c r="Y27" s="1">
        <v>2.02</v>
      </c>
      <c r="Z27" s="1">
        <f>+Y27*X27</f>
        <v>0.1212</v>
      </c>
      <c r="AB27" s="12" t="s">
        <v>50</v>
      </c>
      <c r="AC27" s="1">
        <v>0.3</v>
      </c>
      <c r="AD27" s="4">
        <v>100</v>
      </c>
      <c r="AE27" s="1">
        <f t="shared" si="5"/>
        <v>30</v>
      </c>
    </row>
    <row r="28" spans="2:31" x14ac:dyDescent="0.3">
      <c r="B28" s="12" t="s">
        <v>53</v>
      </c>
      <c r="C28" s="1">
        <v>0.12</v>
      </c>
      <c r="D28" s="1">
        <v>270</v>
      </c>
      <c r="E28" s="2">
        <f t="shared" si="4"/>
        <v>32.4</v>
      </c>
      <c r="J28" s="12" t="s">
        <v>50</v>
      </c>
      <c r="K28" s="1">
        <v>0.2</v>
      </c>
      <c r="L28" s="4">
        <v>100</v>
      </c>
      <c r="M28" s="30">
        <f t="shared" si="6"/>
        <v>20</v>
      </c>
      <c r="Q28" s="12" t="s">
        <v>57</v>
      </c>
      <c r="R28" s="1">
        <v>0.32</v>
      </c>
      <c r="S28" s="4">
        <v>100</v>
      </c>
      <c r="T28" s="4">
        <f t="shared" si="7"/>
        <v>32</v>
      </c>
      <c r="W28" s="1" t="s">
        <v>48</v>
      </c>
      <c r="X28" s="1">
        <v>0.02</v>
      </c>
      <c r="Y28" s="1">
        <v>115</v>
      </c>
      <c r="Z28" s="1">
        <f t="shared" ref="Z28:Z37" si="8">+Y28*X28</f>
        <v>2.3000000000000003</v>
      </c>
      <c r="AB28" s="12" t="s">
        <v>52</v>
      </c>
      <c r="AC28" s="1">
        <v>0</v>
      </c>
      <c r="AD28" s="1">
        <v>250</v>
      </c>
      <c r="AE28" s="1">
        <f t="shared" si="5"/>
        <v>0</v>
      </c>
    </row>
    <row r="29" spans="2:31" x14ac:dyDescent="0.3">
      <c r="B29" s="12" t="s">
        <v>55</v>
      </c>
      <c r="C29" s="1">
        <v>0.05</v>
      </c>
      <c r="D29" s="1">
        <v>270</v>
      </c>
      <c r="E29" s="2">
        <f t="shared" si="4"/>
        <v>13.5</v>
      </c>
      <c r="J29" s="12" t="s">
        <v>56</v>
      </c>
      <c r="K29" s="1">
        <v>0.1</v>
      </c>
      <c r="L29" s="1">
        <v>310</v>
      </c>
      <c r="M29" s="30">
        <f t="shared" si="6"/>
        <v>31</v>
      </c>
      <c r="Q29" s="12" t="s">
        <v>60</v>
      </c>
      <c r="R29" s="1">
        <v>0.04</v>
      </c>
      <c r="S29" s="1">
        <v>730</v>
      </c>
      <c r="T29" s="4">
        <f t="shared" si="7"/>
        <v>29.2</v>
      </c>
      <c r="W29" s="1" t="s">
        <v>61</v>
      </c>
      <c r="X29" s="1">
        <v>1.4999999999999999E-2</v>
      </c>
      <c r="Y29" s="1">
        <v>84.04</v>
      </c>
      <c r="Z29" s="1">
        <f t="shared" si="8"/>
        <v>1.2605999999999999</v>
      </c>
      <c r="AB29" s="12" t="s">
        <v>53</v>
      </c>
      <c r="AC29" s="1">
        <v>0.1</v>
      </c>
      <c r="AD29" s="1">
        <v>295</v>
      </c>
      <c r="AE29" s="1">
        <f t="shared" si="5"/>
        <v>29.5</v>
      </c>
    </row>
    <row r="30" spans="2:31" x14ac:dyDescent="0.3">
      <c r="B30" s="12" t="s">
        <v>58</v>
      </c>
      <c r="D30" s="1">
        <v>230</v>
      </c>
      <c r="E30" s="2">
        <f t="shared" si="4"/>
        <v>0</v>
      </c>
      <c r="J30" s="12" t="s">
        <v>59</v>
      </c>
      <c r="K30" s="1">
        <v>0</v>
      </c>
      <c r="L30" s="1">
        <v>290</v>
      </c>
      <c r="M30" s="30">
        <f t="shared" si="6"/>
        <v>0</v>
      </c>
      <c r="Q30" s="12" t="s">
        <v>63</v>
      </c>
      <c r="R30" s="1">
        <v>0.06</v>
      </c>
      <c r="S30" s="1">
        <v>385</v>
      </c>
      <c r="T30" s="4">
        <f t="shared" si="7"/>
        <v>23.099999999999998</v>
      </c>
      <c r="W30" s="1" t="s">
        <v>64</v>
      </c>
      <c r="X30" s="1">
        <v>1.6E-2</v>
      </c>
      <c r="Y30" s="1">
        <v>361</v>
      </c>
      <c r="Z30" s="1">
        <f t="shared" si="8"/>
        <v>5.7759999999999998</v>
      </c>
      <c r="AB30" s="12" t="s">
        <v>55</v>
      </c>
      <c r="AC30" s="1">
        <v>0.1</v>
      </c>
      <c r="AD30" s="1">
        <v>310</v>
      </c>
      <c r="AE30" s="1">
        <f t="shared" si="5"/>
        <v>31</v>
      </c>
    </row>
    <row r="31" spans="2:31" x14ac:dyDescent="0.3">
      <c r="B31" s="12" t="s">
        <v>62</v>
      </c>
      <c r="C31" s="1">
        <v>0.5</v>
      </c>
      <c r="D31" s="1">
        <v>325</v>
      </c>
      <c r="E31" s="2">
        <f t="shared" si="4"/>
        <v>162.5</v>
      </c>
      <c r="J31" s="12" t="s">
        <v>55</v>
      </c>
      <c r="K31" s="1">
        <v>0.15</v>
      </c>
      <c r="L31" s="1">
        <v>310</v>
      </c>
      <c r="M31" s="30">
        <f t="shared" si="6"/>
        <v>46.5</v>
      </c>
      <c r="Q31" s="12" t="s">
        <v>62</v>
      </c>
      <c r="R31" s="1">
        <v>0.08</v>
      </c>
      <c r="S31" s="1">
        <v>400</v>
      </c>
      <c r="T31" s="4">
        <f t="shared" si="7"/>
        <v>32</v>
      </c>
      <c r="W31" s="1" t="s">
        <v>67</v>
      </c>
      <c r="X31" s="1">
        <v>3.0000000000000001E-3</v>
      </c>
      <c r="Y31" s="1">
        <v>450</v>
      </c>
      <c r="Z31" s="1">
        <f t="shared" si="8"/>
        <v>1.35</v>
      </c>
      <c r="AB31" s="12" t="s">
        <v>58</v>
      </c>
      <c r="AC31" s="1">
        <v>0</v>
      </c>
      <c r="AE31" s="1">
        <f t="shared" si="5"/>
        <v>0</v>
      </c>
    </row>
    <row r="32" spans="2:31" x14ac:dyDescent="0.3">
      <c r="B32" s="12" t="s">
        <v>65</v>
      </c>
      <c r="C32" s="1">
        <v>7.0000000000000007E-2</v>
      </c>
      <c r="D32" s="1">
        <v>65</v>
      </c>
      <c r="E32" s="2">
        <f t="shared" si="4"/>
        <v>4.5500000000000007</v>
      </c>
      <c r="J32" s="12" t="s">
        <v>66</v>
      </c>
      <c r="K32" s="1">
        <v>0.05</v>
      </c>
      <c r="L32" s="1">
        <v>130</v>
      </c>
      <c r="M32" s="30">
        <f t="shared" si="6"/>
        <v>6.5</v>
      </c>
      <c r="Q32" s="12" t="s">
        <v>65</v>
      </c>
      <c r="R32" s="1">
        <v>0</v>
      </c>
      <c r="S32" s="1">
        <v>75</v>
      </c>
      <c r="T32" s="4">
        <f t="shared" si="7"/>
        <v>0</v>
      </c>
      <c r="W32" s="1" t="s">
        <v>69</v>
      </c>
      <c r="X32" s="1">
        <v>3.0000000000000001E-3</v>
      </c>
      <c r="Y32" s="1">
        <v>532.22</v>
      </c>
      <c r="Z32" s="1">
        <f t="shared" si="8"/>
        <v>1.5966600000000002</v>
      </c>
      <c r="AB32" s="12" t="s">
        <v>62</v>
      </c>
      <c r="AC32" s="1">
        <v>0.3</v>
      </c>
      <c r="AD32" s="1">
        <v>400</v>
      </c>
      <c r="AE32" s="1">
        <f t="shared" si="5"/>
        <v>120</v>
      </c>
    </row>
    <row r="33" spans="2:31" x14ac:dyDescent="0.3">
      <c r="B33" s="12" t="s">
        <v>68</v>
      </c>
      <c r="C33" s="1">
        <v>0.06</v>
      </c>
      <c r="D33" s="1">
        <v>450</v>
      </c>
      <c r="E33" s="2">
        <f t="shared" si="4"/>
        <v>27</v>
      </c>
      <c r="J33" s="12" t="s">
        <v>62</v>
      </c>
      <c r="K33" s="1">
        <v>0.25</v>
      </c>
      <c r="L33" s="1">
        <v>400</v>
      </c>
      <c r="M33" s="30">
        <f t="shared" si="6"/>
        <v>100</v>
      </c>
      <c r="Q33" s="12" t="s">
        <v>70</v>
      </c>
      <c r="R33" s="1">
        <v>0.15</v>
      </c>
      <c r="S33" s="1">
        <v>140</v>
      </c>
      <c r="T33" s="4">
        <f t="shared" si="7"/>
        <v>21</v>
      </c>
      <c r="W33" s="1" t="s">
        <v>71</v>
      </c>
      <c r="X33" s="1">
        <v>4.0000000000000001E-3</v>
      </c>
      <c r="Y33" s="1">
        <v>280</v>
      </c>
      <c r="Z33" s="1">
        <f t="shared" si="8"/>
        <v>1.1200000000000001</v>
      </c>
      <c r="AB33" s="12" t="s">
        <v>65</v>
      </c>
      <c r="AC33" s="1">
        <v>0.05</v>
      </c>
      <c r="AD33" s="1">
        <v>70</v>
      </c>
      <c r="AE33" s="1">
        <f t="shared" si="5"/>
        <v>3.5</v>
      </c>
    </row>
    <row r="34" spans="2:31" x14ac:dyDescent="0.3">
      <c r="B34" s="12" t="s">
        <v>69</v>
      </c>
      <c r="C34" s="1">
        <v>1.4999999999999999E-2</v>
      </c>
      <c r="D34" s="1">
        <v>480</v>
      </c>
      <c r="E34" s="2">
        <f t="shared" si="4"/>
        <v>7.1999999999999993</v>
      </c>
      <c r="J34" s="12" t="s">
        <v>65</v>
      </c>
      <c r="K34" s="1">
        <v>7.0000000000000007E-2</v>
      </c>
      <c r="L34" s="1">
        <v>70</v>
      </c>
      <c r="M34" s="30">
        <f t="shared" si="6"/>
        <v>4.9000000000000004</v>
      </c>
      <c r="Q34" s="12" t="s">
        <v>73</v>
      </c>
      <c r="R34" s="1">
        <v>0</v>
      </c>
      <c r="S34" s="1">
        <v>65</v>
      </c>
      <c r="T34" s="4">
        <f t="shared" si="7"/>
        <v>0</v>
      </c>
      <c r="W34" s="1" t="s">
        <v>66</v>
      </c>
      <c r="X34" s="1">
        <v>3.0000000000000001E-3</v>
      </c>
      <c r="Y34" s="1">
        <v>160</v>
      </c>
      <c r="Z34" s="1">
        <f t="shared" si="8"/>
        <v>0.48</v>
      </c>
      <c r="AB34" s="12" t="s">
        <v>68</v>
      </c>
      <c r="AC34" s="1">
        <v>0.04</v>
      </c>
      <c r="AD34" s="1">
        <v>450</v>
      </c>
      <c r="AE34" s="1">
        <f t="shared" si="5"/>
        <v>18</v>
      </c>
    </row>
    <row r="35" spans="2:31" x14ac:dyDescent="0.3">
      <c r="B35" s="12" t="s">
        <v>72</v>
      </c>
      <c r="C35" s="1">
        <v>7.0000000000000007E-2</v>
      </c>
      <c r="D35" s="1">
        <v>250</v>
      </c>
      <c r="E35" s="2">
        <f t="shared" si="4"/>
        <v>17.5</v>
      </c>
      <c r="J35" s="12" t="s">
        <v>68</v>
      </c>
      <c r="K35" s="1">
        <v>0</v>
      </c>
      <c r="L35" s="1">
        <v>450</v>
      </c>
      <c r="M35" s="30">
        <f t="shared" si="6"/>
        <v>0</v>
      </c>
      <c r="Q35" s="12" t="s">
        <v>69</v>
      </c>
      <c r="R35" s="1">
        <v>0.04</v>
      </c>
      <c r="S35" s="1">
        <v>800</v>
      </c>
      <c r="T35" s="4">
        <f t="shared" si="7"/>
        <v>32</v>
      </c>
      <c r="W35" s="1" t="s">
        <v>75</v>
      </c>
      <c r="X35" s="1">
        <v>5.0000000000000001E-3</v>
      </c>
      <c r="Y35" s="1">
        <v>80</v>
      </c>
      <c r="Z35" s="1">
        <f t="shared" si="8"/>
        <v>0.4</v>
      </c>
      <c r="AB35" s="12" t="s">
        <v>69</v>
      </c>
      <c r="AC35" s="1">
        <v>0.01</v>
      </c>
      <c r="AD35" s="1">
        <v>650</v>
      </c>
      <c r="AE35" s="1">
        <f t="shared" si="5"/>
        <v>6.5</v>
      </c>
    </row>
    <row r="36" spans="2:31" x14ac:dyDescent="0.3">
      <c r="B36" s="12" t="s">
        <v>78</v>
      </c>
      <c r="C36" s="1">
        <v>3.5000000000000003E-2</v>
      </c>
      <c r="D36" s="1">
        <v>35</v>
      </c>
      <c r="E36" s="2">
        <f t="shared" si="4"/>
        <v>1.2250000000000001</v>
      </c>
      <c r="J36" s="12" t="s">
        <v>69</v>
      </c>
      <c r="K36" s="1">
        <v>2.5000000000000001E-2</v>
      </c>
      <c r="L36" s="1">
        <v>720</v>
      </c>
      <c r="M36" s="30">
        <f t="shared" si="6"/>
        <v>18</v>
      </c>
      <c r="Q36" s="12" t="s">
        <v>66</v>
      </c>
      <c r="R36" s="1">
        <v>0.1</v>
      </c>
      <c r="S36" s="1">
        <v>130</v>
      </c>
      <c r="T36" s="4">
        <f t="shared" si="7"/>
        <v>13</v>
      </c>
      <c r="W36" s="1" t="s">
        <v>78</v>
      </c>
      <c r="X36" s="1">
        <v>4.0000000000000001E-3</v>
      </c>
      <c r="Y36" s="1">
        <v>35</v>
      </c>
      <c r="Z36" s="1">
        <f t="shared" si="8"/>
        <v>0.14000000000000001</v>
      </c>
      <c r="AB36" s="12" t="s">
        <v>72</v>
      </c>
      <c r="AC36" s="1">
        <v>0.05</v>
      </c>
      <c r="AD36" s="1">
        <v>295</v>
      </c>
      <c r="AE36" s="1">
        <f t="shared" si="5"/>
        <v>14.75</v>
      </c>
    </row>
    <row r="37" spans="2:31" x14ac:dyDescent="0.3">
      <c r="B37" s="31" t="s">
        <v>76</v>
      </c>
      <c r="C37" s="1">
        <v>3.5000000000000003E-2</v>
      </c>
      <c r="D37" s="1">
        <v>130</v>
      </c>
      <c r="E37" s="2">
        <f t="shared" si="4"/>
        <v>4.5500000000000007</v>
      </c>
      <c r="J37" s="12" t="s">
        <v>77</v>
      </c>
      <c r="K37" s="1">
        <v>0</v>
      </c>
      <c r="L37" s="1">
        <v>120</v>
      </c>
      <c r="M37" s="30">
        <f t="shared" si="6"/>
        <v>0</v>
      </c>
      <c r="Q37" s="32" t="s">
        <v>79</v>
      </c>
      <c r="R37" s="1">
        <v>0.1</v>
      </c>
      <c r="S37" s="1">
        <v>65</v>
      </c>
      <c r="T37" s="4">
        <f t="shared" si="7"/>
        <v>6.5</v>
      </c>
      <c r="W37" s="1" t="s">
        <v>80</v>
      </c>
      <c r="X37" s="1">
        <v>5.0000000000000001E-3</v>
      </c>
      <c r="Y37" s="1">
        <v>250</v>
      </c>
      <c r="Z37" s="1">
        <f t="shared" si="8"/>
        <v>1.25</v>
      </c>
      <c r="AB37" s="12" t="s">
        <v>78</v>
      </c>
      <c r="AC37" s="1">
        <v>2.5000000000000001E-2</v>
      </c>
      <c r="AD37" s="1">
        <v>35</v>
      </c>
      <c r="AE37" s="1">
        <f t="shared" si="5"/>
        <v>0.875</v>
      </c>
    </row>
    <row r="38" spans="2:31" x14ac:dyDescent="0.3">
      <c r="B38" s="31" t="s">
        <v>79</v>
      </c>
      <c r="C38" s="1">
        <v>0</v>
      </c>
      <c r="D38" s="1">
        <v>60</v>
      </c>
      <c r="E38" s="2">
        <f t="shared" si="4"/>
        <v>0</v>
      </c>
      <c r="J38" s="32" t="s">
        <v>79</v>
      </c>
      <c r="K38" s="1">
        <v>0.01</v>
      </c>
      <c r="L38" s="1">
        <v>65</v>
      </c>
      <c r="M38" s="30">
        <f t="shared" si="6"/>
        <v>0.65</v>
      </c>
      <c r="Q38" s="32" t="s">
        <v>54</v>
      </c>
      <c r="R38" s="1">
        <v>1.8</v>
      </c>
      <c r="S38" s="1">
        <v>2.4</v>
      </c>
      <c r="T38" s="4">
        <f t="shared" si="7"/>
        <v>4.32</v>
      </c>
      <c r="X38" s="1">
        <f>SUM(X27:X37)</f>
        <v>0.13800000000000001</v>
      </c>
      <c r="Y38" s="1">
        <f t="shared" ref="Y38:Z38" si="9">SUM(Y27:Y37)</f>
        <v>2349.2799999999997</v>
      </c>
      <c r="Z38" s="1">
        <f t="shared" si="9"/>
        <v>15.794459999999999</v>
      </c>
      <c r="AB38" s="31" t="s">
        <v>76</v>
      </c>
      <c r="AC38" s="1">
        <v>2.5000000000000001E-2</v>
      </c>
      <c r="AD38" s="1">
        <v>130</v>
      </c>
      <c r="AE38" s="1">
        <f t="shared" si="5"/>
        <v>3.25</v>
      </c>
    </row>
    <row r="39" spans="2:31" x14ac:dyDescent="0.3">
      <c r="B39" s="12" t="s">
        <v>54</v>
      </c>
      <c r="C39" s="1">
        <v>1.5</v>
      </c>
      <c r="D39" s="1">
        <v>2.4</v>
      </c>
      <c r="E39" s="2">
        <f t="shared" si="4"/>
        <v>3.5999999999999996</v>
      </c>
      <c r="J39" s="32" t="s">
        <v>54</v>
      </c>
      <c r="K39" s="1">
        <v>0.8</v>
      </c>
      <c r="L39" s="1">
        <v>2.4</v>
      </c>
      <c r="M39" s="30">
        <f t="shared" si="6"/>
        <v>1.92</v>
      </c>
      <c r="Q39" s="12" t="s">
        <v>82</v>
      </c>
      <c r="R39" s="1">
        <v>0.1</v>
      </c>
      <c r="S39" s="1">
        <v>120</v>
      </c>
      <c r="T39" s="4">
        <f t="shared" si="7"/>
        <v>12</v>
      </c>
      <c r="W39" s="1">
        <f>++Z38/X38</f>
        <v>114.45260869565216</v>
      </c>
      <c r="AB39" s="31" t="s">
        <v>79</v>
      </c>
      <c r="AC39" s="1">
        <v>0</v>
      </c>
      <c r="AD39" s="1">
        <v>65</v>
      </c>
      <c r="AE39" s="1">
        <f t="shared" si="5"/>
        <v>0</v>
      </c>
    </row>
    <row r="40" spans="2:31" x14ac:dyDescent="0.3">
      <c r="B40" s="12" t="s">
        <v>81</v>
      </c>
      <c r="C40" s="1">
        <f>SUM(C25:C39)</f>
        <v>3.3049999999999997</v>
      </c>
      <c r="E40" s="2">
        <f>SUM(E25:E39)</f>
        <v>354.52500000000003</v>
      </c>
      <c r="J40" s="12" t="s">
        <v>81</v>
      </c>
      <c r="K40" s="1">
        <f>SUM(K27:K39)</f>
        <v>1.905</v>
      </c>
      <c r="M40" s="30">
        <f>SUM(M27:M39)</f>
        <v>269.46999999999997</v>
      </c>
      <c r="Q40" s="33" t="s">
        <v>162</v>
      </c>
      <c r="R40" s="34">
        <v>0.15</v>
      </c>
      <c r="S40" s="34">
        <v>2500</v>
      </c>
      <c r="T40" s="35">
        <f t="shared" si="7"/>
        <v>375</v>
      </c>
      <c r="AB40" s="12" t="s">
        <v>54</v>
      </c>
      <c r="AC40" s="1">
        <v>1.2</v>
      </c>
      <c r="AD40" s="1">
        <v>2.4</v>
      </c>
      <c r="AE40" s="1">
        <f t="shared" si="5"/>
        <v>2.88</v>
      </c>
    </row>
    <row r="41" spans="2:31" x14ac:dyDescent="0.3">
      <c r="B41" s="32" t="s">
        <v>35</v>
      </c>
      <c r="C41" s="1">
        <f>E40/C40</f>
        <v>107.2692889561271</v>
      </c>
      <c r="J41" s="32" t="s">
        <v>83</v>
      </c>
      <c r="K41" s="1">
        <f>M40/K40</f>
        <v>141.4540682414698</v>
      </c>
      <c r="Q41" s="32" t="s">
        <v>84</v>
      </c>
      <c r="R41" s="1">
        <v>0.03</v>
      </c>
      <c r="S41" s="1">
        <v>1300</v>
      </c>
      <c r="T41" s="4">
        <f t="shared" si="7"/>
        <v>39</v>
      </c>
      <c r="AB41" s="12" t="s">
        <v>81</v>
      </c>
      <c r="AC41" s="1">
        <f>SUM(AC26:AC40)</f>
        <v>2.5999999999999996</v>
      </c>
      <c r="AE41" s="1">
        <f>SUM(AE26:AE40)</f>
        <v>324.255</v>
      </c>
    </row>
    <row r="42" spans="2:31" x14ac:dyDescent="0.3">
      <c r="Q42" s="32" t="s">
        <v>85</v>
      </c>
      <c r="R42" s="1">
        <f>SUM(R27:R41)</f>
        <v>3.27</v>
      </c>
      <c r="T42" s="4">
        <f>SUM(T27:T41)</f>
        <v>667.12</v>
      </c>
      <c r="AB42" s="32" t="s">
        <v>35</v>
      </c>
      <c r="AC42" s="1">
        <f>AE41/AC41</f>
        <v>124.71346153846156</v>
      </c>
    </row>
    <row r="43" spans="2:31" x14ac:dyDescent="0.3">
      <c r="Q43" s="32" t="s">
        <v>35</v>
      </c>
      <c r="R43" s="1">
        <f>T42/R42</f>
        <v>204.01223241590213</v>
      </c>
    </row>
    <row r="46" spans="2:31" x14ac:dyDescent="0.3">
      <c r="F46" s="36" t="s">
        <v>90</v>
      </c>
      <c r="G46" s="36" t="s">
        <v>91</v>
      </c>
      <c r="H46" s="36" t="s">
        <v>92</v>
      </c>
      <c r="I46" s="36" t="s">
        <v>93</v>
      </c>
      <c r="J46" s="36" t="s">
        <v>94</v>
      </c>
    </row>
    <row r="47" spans="2:31" x14ac:dyDescent="0.3">
      <c r="B47" s="36" t="s">
        <v>86</v>
      </c>
      <c r="C47" s="36" t="s">
        <v>87</v>
      </c>
      <c r="D47" s="36" t="s">
        <v>88</v>
      </c>
      <c r="E47" s="37" t="s">
        <v>89</v>
      </c>
      <c r="F47" s="36">
        <v>1.6</v>
      </c>
      <c r="G47" s="36">
        <v>2.2000000000000002</v>
      </c>
      <c r="H47" s="36">
        <v>1.67</v>
      </c>
      <c r="I47" s="36">
        <v>1.67</v>
      </c>
      <c r="J47" s="36"/>
    </row>
    <row r="48" spans="2:31" x14ac:dyDescent="0.3">
      <c r="B48" s="36" t="s">
        <v>95</v>
      </c>
      <c r="C48" s="36">
        <v>1.6</v>
      </c>
      <c r="D48" s="36">
        <v>2.2000000000000002</v>
      </c>
      <c r="E48" s="37">
        <v>0</v>
      </c>
      <c r="F48" s="36">
        <v>1.67</v>
      </c>
      <c r="G48" s="36">
        <v>2.4</v>
      </c>
      <c r="H48" s="36">
        <v>1.7</v>
      </c>
      <c r="I48" s="36">
        <v>2.4</v>
      </c>
      <c r="J48" s="36">
        <v>2.2000000000000002</v>
      </c>
    </row>
    <row r="49" spans="2:18" x14ac:dyDescent="0.3">
      <c r="B49" s="36" t="s">
        <v>96</v>
      </c>
      <c r="C49" s="36">
        <v>1.7</v>
      </c>
      <c r="D49" s="36">
        <v>2.4</v>
      </c>
      <c r="E49" s="37">
        <v>3.2</v>
      </c>
      <c r="F49" s="36">
        <v>1.3</v>
      </c>
      <c r="G49" s="36">
        <v>1.6</v>
      </c>
      <c r="H49" s="36">
        <v>1.3</v>
      </c>
      <c r="I49" s="36">
        <v>1.6</v>
      </c>
      <c r="J49" s="36">
        <f>22.4/9</f>
        <v>2.4888888888888889</v>
      </c>
    </row>
    <row r="50" spans="2:18" x14ac:dyDescent="0.3">
      <c r="B50" s="36" t="s">
        <v>97</v>
      </c>
      <c r="C50" s="36">
        <v>1.3</v>
      </c>
      <c r="D50" s="36">
        <v>1.6</v>
      </c>
      <c r="E50" s="37">
        <v>5.9</v>
      </c>
      <c r="F50" s="36">
        <v>0</v>
      </c>
      <c r="G50" s="36">
        <v>0</v>
      </c>
      <c r="H50" s="36">
        <v>0</v>
      </c>
      <c r="I50" s="36">
        <v>0</v>
      </c>
      <c r="J50" s="36">
        <v>0.75</v>
      </c>
    </row>
    <row r="51" spans="2:18" x14ac:dyDescent="0.3">
      <c r="B51" s="36" t="s">
        <v>98</v>
      </c>
      <c r="C51" s="36">
        <v>0</v>
      </c>
      <c r="D51" s="36">
        <v>0</v>
      </c>
      <c r="E51" s="37">
        <v>0</v>
      </c>
      <c r="F51" s="36"/>
      <c r="G51" s="36"/>
      <c r="H51" s="36"/>
      <c r="I51" s="36"/>
      <c r="J51" s="36">
        <v>0.06</v>
      </c>
    </row>
    <row r="52" spans="2:18" x14ac:dyDescent="0.3">
      <c r="B52" s="36" t="s">
        <v>99</v>
      </c>
      <c r="C52" s="36">
        <v>0</v>
      </c>
      <c r="D52" s="36">
        <v>0</v>
      </c>
      <c r="E52" s="37">
        <v>0.06</v>
      </c>
      <c r="F52" s="36"/>
      <c r="G52" s="36"/>
      <c r="H52" s="36">
        <v>0.25</v>
      </c>
      <c r="I52" s="36">
        <v>0.25</v>
      </c>
      <c r="J52" s="36">
        <v>0.5</v>
      </c>
      <c r="P52" s="1">
        <f>5*63.05+2.5</f>
        <v>317.75</v>
      </c>
    </row>
    <row r="53" spans="2:18" x14ac:dyDescent="0.3">
      <c r="B53" s="36" t="s">
        <v>100</v>
      </c>
      <c r="C53" s="36">
        <v>0</v>
      </c>
      <c r="D53" s="36">
        <v>0</v>
      </c>
      <c r="E53" s="37">
        <v>0</v>
      </c>
      <c r="F53" s="36">
        <v>0</v>
      </c>
      <c r="G53" s="36">
        <v>0.09</v>
      </c>
      <c r="H53" s="36">
        <v>0</v>
      </c>
      <c r="I53" s="36">
        <v>0</v>
      </c>
      <c r="J53" s="36"/>
    </row>
    <row r="54" spans="2:18" x14ac:dyDescent="0.3">
      <c r="B54" s="36" t="s">
        <v>101</v>
      </c>
      <c r="C54" s="36">
        <v>0</v>
      </c>
      <c r="D54" s="36">
        <v>0</v>
      </c>
      <c r="E54" s="37">
        <v>0</v>
      </c>
      <c r="F54" s="36">
        <v>7.0000000000000007E-2</v>
      </c>
      <c r="G54" s="36">
        <v>7.0000000000000007E-2</v>
      </c>
      <c r="H54" s="36">
        <v>7.0000000000000007E-2</v>
      </c>
      <c r="I54" s="36">
        <v>7.0000000000000007E-2</v>
      </c>
      <c r="J54" s="36">
        <v>7.0000000000000007E-2</v>
      </c>
    </row>
    <row r="55" spans="2:18" x14ac:dyDescent="0.3">
      <c r="B55" s="36" t="s">
        <v>143</v>
      </c>
      <c r="C55" s="36">
        <v>7.0000000000000007E-2</v>
      </c>
      <c r="D55" s="36">
        <v>7.0000000000000007E-2</v>
      </c>
      <c r="E55" s="37">
        <v>7.0000000000000007E-2</v>
      </c>
      <c r="F55" s="36">
        <f t="shared" ref="D55:J56" si="10">SUM(F47:F54)</f>
        <v>4.6400000000000006</v>
      </c>
      <c r="G55" s="36">
        <f t="shared" si="10"/>
        <v>6.3599999999999994</v>
      </c>
      <c r="H55" s="36">
        <f t="shared" si="10"/>
        <v>4.99</v>
      </c>
      <c r="I55" s="36">
        <f t="shared" si="10"/>
        <v>5.99</v>
      </c>
      <c r="J55" s="36">
        <f t="shared" si="10"/>
        <v>6.068888888888889</v>
      </c>
    </row>
    <row r="56" spans="2:18" x14ac:dyDescent="0.3">
      <c r="B56" s="36" t="s">
        <v>102</v>
      </c>
      <c r="C56" s="36">
        <f>SUM(C48:C55)</f>
        <v>4.67</v>
      </c>
      <c r="D56" s="36">
        <f t="shared" si="10"/>
        <v>6.27</v>
      </c>
      <c r="E56" s="37">
        <f t="shared" si="10"/>
        <v>9.2300000000000022</v>
      </c>
      <c r="R56" s="1" t="e">
        <v>#NAME?</v>
      </c>
    </row>
    <row r="62" spans="2:18" x14ac:dyDescent="0.3">
      <c r="E62" s="2">
        <f>185/80</f>
        <v>2.3125</v>
      </c>
    </row>
    <row r="63" spans="2:18" x14ac:dyDescent="0.3">
      <c r="B63" s="1">
        <f>185/110</f>
        <v>1.6818181818181819</v>
      </c>
    </row>
  </sheetData>
  <mergeCells count="7">
    <mergeCell ref="R19:S19"/>
    <mergeCell ref="W19:X19"/>
    <mergeCell ref="K18:L18"/>
    <mergeCell ref="AB2:AC2"/>
    <mergeCell ref="B1:C1"/>
    <mergeCell ref="Q1:R1"/>
    <mergeCell ref="V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AC74"/>
  <sheetViews>
    <sheetView topLeftCell="A16" zoomScale="80" workbookViewId="0">
      <selection activeCell="C40" sqref="C40"/>
    </sheetView>
  </sheetViews>
  <sheetFormatPr defaultColWidth="9.01171875" defaultRowHeight="15" x14ac:dyDescent="0.2"/>
  <cols>
    <col min="3" max="3" width="19.50390625" customWidth="1"/>
    <col min="4" max="4" width="14.66015625" customWidth="1"/>
    <col min="5" max="5" width="15.19921875" bestFit="1" customWidth="1"/>
    <col min="6" max="6" width="16.8125" bestFit="1" customWidth="1"/>
    <col min="7" max="7" width="13.85546875" bestFit="1" customWidth="1"/>
    <col min="8" max="8" width="9.4140625" bestFit="1" customWidth="1"/>
    <col min="9" max="9" width="11.02734375" bestFit="1" customWidth="1"/>
    <col min="10" max="10" width="15.33203125" bestFit="1" customWidth="1"/>
    <col min="11" max="11" width="13.85546875" bestFit="1" customWidth="1"/>
    <col min="12" max="12" width="13.71875" bestFit="1" customWidth="1"/>
    <col min="13" max="13" width="20.17578125" customWidth="1"/>
    <col min="14" max="14" width="12.9140625" bestFit="1" customWidth="1"/>
    <col min="15" max="15" width="20.58203125" bestFit="1" customWidth="1"/>
    <col min="17" max="17" width="13.1796875" bestFit="1" customWidth="1"/>
    <col min="18" max="18" width="21.5234375" bestFit="1" customWidth="1"/>
    <col min="19" max="19" width="26.09765625" customWidth="1"/>
    <col min="26" max="26" width="12.9140625" bestFit="1" customWidth="1"/>
  </cols>
  <sheetData>
    <row r="4" spans="3:26" x14ac:dyDescent="0.2">
      <c r="C4" s="38"/>
      <c r="D4" s="38"/>
      <c r="E4" s="38" t="s">
        <v>209</v>
      </c>
      <c r="F4" s="38"/>
    </row>
    <row r="5" spans="3:26" ht="23.25" x14ac:dyDescent="0.3">
      <c r="C5" s="39" t="s">
        <v>4</v>
      </c>
      <c r="D5" s="40" t="s">
        <v>8</v>
      </c>
      <c r="E5" s="40" t="s">
        <v>6</v>
      </c>
      <c r="F5" s="40" t="s">
        <v>103</v>
      </c>
      <c r="J5" s="38"/>
      <c r="K5" s="41" t="s">
        <v>104</v>
      </c>
      <c r="L5" s="38" t="s">
        <v>106</v>
      </c>
      <c r="M5" s="38"/>
    </row>
    <row r="6" spans="3:26" ht="23.25" x14ac:dyDescent="0.3">
      <c r="C6" s="42" t="s">
        <v>29</v>
      </c>
      <c r="D6" s="43">
        <v>30</v>
      </c>
      <c r="E6" s="44">
        <v>35</v>
      </c>
      <c r="F6" s="40">
        <f>D6*E6</f>
        <v>1050</v>
      </c>
      <c r="G6" s="45"/>
      <c r="J6" s="39" t="s">
        <v>4</v>
      </c>
      <c r="K6" s="40" t="s">
        <v>8</v>
      </c>
      <c r="L6" s="40" t="s">
        <v>6</v>
      </c>
      <c r="M6" s="40" t="s">
        <v>103</v>
      </c>
      <c r="N6" s="45"/>
      <c r="O6" s="46"/>
      <c r="P6" s="45"/>
      <c r="Q6" s="45"/>
      <c r="R6" s="45"/>
    </row>
    <row r="7" spans="3:26" ht="23.25" x14ac:dyDescent="0.3">
      <c r="C7" s="42" t="s">
        <v>16</v>
      </c>
      <c r="D7" s="43">
        <v>20</v>
      </c>
      <c r="E7" s="44">
        <v>70</v>
      </c>
      <c r="F7" s="40">
        <f t="shared" ref="F7:F32" si="0">D7*E7</f>
        <v>1400</v>
      </c>
      <c r="G7" s="45"/>
      <c r="H7" s="46"/>
      <c r="I7" s="45"/>
      <c r="J7" s="39"/>
      <c r="K7" s="40"/>
      <c r="L7" s="40">
        <v>0</v>
      </c>
      <c r="M7" s="40"/>
      <c r="N7" s="45"/>
      <c r="O7" s="47"/>
      <c r="P7" s="45"/>
      <c r="Q7" s="48"/>
      <c r="R7" s="45"/>
      <c r="Y7" s="49"/>
      <c r="Z7" s="49"/>
    </row>
    <row r="8" spans="3:26" ht="23.25" x14ac:dyDescent="0.3">
      <c r="C8" s="42" t="s">
        <v>114</v>
      </c>
      <c r="D8" s="40"/>
      <c r="E8" s="44">
        <v>35</v>
      </c>
      <c r="F8" s="40">
        <f t="shared" si="0"/>
        <v>0</v>
      </c>
      <c r="G8" s="45"/>
      <c r="H8" s="47"/>
      <c r="I8" s="45"/>
      <c r="J8" s="39" t="s">
        <v>114</v>
      </c>
      <c r="K8" s="40">
        <v>5</v>
      </c>
      <c r="L8" s="40">
        <v>35</v>
      </c>
      <c r="M8" s="40">
        <f>K8*L8</f>
        <v>175</v>
      </c>
      <c r="N8" s="45"/>
      <c r="O8" s="47"/>
      <c r="P8" s="45"/>
      <c r="Q8" s="48"/>
      <c r="R8" s="45"/>
      <c r="Y8" s="49"/>
      <c r="Z8" s="49"/>
    </row>
    <row r="9" spans="3:26" ht="23.25" x14ac:dyDescent="0.3">
      <c r="C9" s="42" t="s">
        <v>119</v>
      </c>
      <c r="D9" s="40">
        <v>0.1</v>
      </c>
      <c r="E9" s="44">
        <v>130</v>
      </c>
      <c r="F9" s="40">
        <f t="shared" si="0"/>
        <v>13</v>
      </c>
      <c r="G9" s="45"/>
      <c r="H9" s="47"/>
      <c r="I9" s="45"/>
      <c r="J9" s="39" t="s">
        <v>62</v>
      </c>
      <c r="K9" s="40">
        <v>0.4</v>
      </c>
      <c r="L9" s="40">
        <v>373.22</v>
      </c>
      <c r="M9" s="40">
        <f>K9*L9</f>
        <v>149.28800000000001</v>
      </c>
      <c r="N9" s="45"/>
      <c r="O9" s="47"/>
      <c r="P9" s="45"/>
      <c r="Q9" s="48"/>
      <c r="R9" s="45"/>
      <c r="Y9" s="49"/>
      <c r="Z9" s="49"/>
    </row>
    <row r="10" spans="3:26" ht="23.25" x14ac:dyDescent="0.3">
      <c r="C10" s="42" t="s">
        <v>62</v>
      </c>
      <c r="D10" s="40">
        <v>0.5</v>
      </c>
      <c r="E10" s="44">
        <f>+'[1]5-2025'!$A$19</f>
        <v>373.22042283836458</v>
      </c>
      <c r="F10" s="40">
        <f t="shared" si="0"/>
        <v>186.61021141918229</v>
      </c>
      <c r="G10" s="45"/>
      <c r="H10" s="47"/>
      <c r="I10" s="45"/>
      <c r="J10" s="42" t="s">
        <v>29</v>
      </c>
      <c r="K10" s="43">
        <v>30</v>
      </c>
      <c r="L10" s="40">
        <v>35</v>
      </c>
      <c r="M10" s="40">
        <f>K10*L10</f>
        <v>1050</v>
      </c>
      <c r="N10" s="45"/>
      <c r="O10" s="47"/>
      <c r="P10" s="45"/>
      <c r="Q10" s="48"/>
      <c r="R10" s="45"/>
      <c r="Y10" s="49"/>
      <c r="Z10" s="49"/>
    </row>
    <row r="11" spans="3:26" ht="23.25" customHeight="1" x14ac:dyDescent="0.3">
      <c r="C11" s="42" t="s">
        <v>210</v>
      </c>
      <c r="D11" s="40">
        <v>5</v>
      </c>
      <c r="E11" s="44">
        <v>13</v>
      </c>
      <c r="F11" s="40">
        <f t="shared" si="0"/>
        <v>65</v>
      </c>
      <c r="G11" s="45"/>
      <c r="H11" s="47"/>
      <c r="I11" s="45"/>
      <c r="J11" s="42" t="s">
        <v>16</v>
      </c>
      <c r="K11" s="43">
        <v>15</v>
      </c>
      <c r="L11" s="40">
        <v>70</v>
      </c>
      <c r="M11" s="40">
        <f t="shared" ref="M11:M29" si="1">K11*L11</f>
        <v>1050</v>
      </c>
      <c r="N11" s="45"/>
      <c r="O11" s="47"/>
      <c r="P11" s="45"/>
      <c r="Q11" s="48"/>
      <c r="R11" s="45"/>
      <c r="Y11" s="49"/>
      <c r="Z11" s="49"/>
    </row>
    <row r="12" spans="3:26" ht="22.5" customHeight="1" x14ac:dyDescent="0.3">
      <c r="C12" s="42" t="s">
        <v>18</v>
      </c>
      <c r="D12" s="40">
        <v>9</v>
      </c>
      <c r="E12" s="44">
        <v>34</v>
      </c>
      <c r="F12" s="40">
        <f t="shared" si="0"/>
        <v>306</v>
      </c>
      <c r="G12" s="45"/>
      <c r="H12" s="47"/>
      <c r="I12" s="45"/>
      <c r="J12" s="42" t="s">
        <v>109</v>
      </c>
      <c r="K12" s="43">
        <v>5</v>
      </c>
      <c r="L12" s="40">
        <v>19</v>
      </c>
      <c r="M12" s="40">
        <f t="shared" si="1"/>
        <v>95</v>
      </c>
      <c r="N12" s="45"/>
      <c r="O12" s="47"/>
      <c r="P12" s="45"/>
      <c r="Q12" s="45"/>
      <c r="R12" s="45"/>
      <c r="Y12" s="49"/>
      <c r="Z12" s="49"/>
    </row>
    <row r="13" spans="3:26" ht="23.25" x14ac:dyDescent="0.3">
      <c r="C13" s="42" t="s">
        <v>211</v>
      </c>
      <c r="D13" s="40">
        <v>0.5</v>
      </c>
      <c r="E13" s="44">
        <v>13</v>
      </c>
      <c r="F13" s="40">
        <f t="shared" si="0"/>
        <v>6.5</v>
      </c>
      <c r="G13" s="45"/>
      <c r="H13" s="50"/>
      <c r="I13" s="45"/>
      <c r="J13" s="42" t="s">
        <v>111</v>
      </c>
      <c r="K13" s="43">
        <v>23</v>
      </c>
      <c r="L13" s="40">
        <v>0</v>
      </c>
      <c r="M13" s="40">
        <f t="shared" si="1"/>
        <v>0</v>
      </c>
      <c r="N13" s="45"/>
      <c r="O13" s="47"/>
      <c r="P13" s="45"/>
      <c r="Q13" s="48"/>
      <c r="R13" s="45"/>
      <c r="Y13" s="49"/>
      <c r="Z13" s="49"/>
    </row>
    <row r="14" spans="3:26" ht="23.25" x14ac:dyDescent="0.3">
      <c r="C14" s="42" t="s">
        <v>110</v>
      </c>
      <c r="D14" s="40">
        <v>5</v>
      </c>
      <c r="E14" s="44">
        <v>19</v>
      </c>
      <c r="F14" s="40">
        <f t="shared" si="0"/>
        <v>95</v>
      </c>
      <c r="G14" s="45"/>
      <c r="H14" s="50"/>
      <c r="I14" s="45"/>
      <c r="J14" s="42" t="s">
        <v>18</v>
      </c>
      <c r="K14" s="43">
        <v>9</v>
      </c>
      <c r="L14" s="40">
        <v>34</v>
      </c>
      <c r="M14" s="40">
        <f t="shared" si="1"/>
        <v>306</v>
      </c>
      <c r="N14" s="45"/>
      <c r="O14" s="47"/>
      <c r="P14" s="45"/>
      <c r="Q14" s="45"/>
      <c r="R14" s="45"/>
      <c r="Y14" s="49"/>
      <c r="Z14" s="49"/>
    </row>
    <row r="15" spans="3:26" ht="23.25" x14ac:dyDescent="0.3">
      <c r="C15" s="42" t="s">
        <v>26</v>
      </c>
      <c r="D15" s="40">
        <v>5</v>
      </c>
      <c r="E15" s="44">
        <v>30</v>
      </c>
      <c r="F15" s="40">
        <f t="shared" si="0"/>
        <v>150</v>
      </c>
      <c r="G15" s="45"/>
      <c r="H15" s="47"/>
      <c r="I15" s="45"/>
      <c r="J15" s="42" t="s">
        <v>113</v>
      </c>
      <c r="K15" s="43">
        <v>3</v>
      </c>
      <c r="L15" s="40">
        <v>15</v>
      </c>
      <c r="M15" s="40">
        <f t="shared" si="1"/>
        <v>45</v>
      </c>
      <c r="N15" s="45"/>
      <c r="O15" s="47"/>
      <c r="P15" s="45"/>
      <c r="Q15" s="48"/>
      <c r="R15" s="45"/>
      <c r="Y15" s="49"/>
      <c r="Z15" s="49"/>
    </row>
    <row r="16" spans="3:26" ht="23.25" x14ac:dyDescent="0.3">
      <c r="C16" s="42" t="s">
        <v>212</v>
      </c>
      <c r="D16" s="40">
        <v>1.5</v>
      </c>
      <c r="E16" s="44">
        <v>170</v>
      </c>
      <c r="F16" s="40">
        <f t="shared" si="0"/>
        <v>255</v>
      </c>
      <c r="G16" s="45"/>
      <c r="H16" s="47"/>
      <c r="I16" s="45"/>
      <c r="J16" s="42" t="s">
        <v>160</v>
      </c>
      <c r="K16" s="43">
        <v>1</v>
      </c>
      <c r="L16" s="40">
        <v>170</v>
      </c>
      <c r="M16" s="40">
        <f t="shared" si="1"/>
        <v>170</v>
      </c>
      <c r="N16" s="45"/>
      <c r="O16" s="47"/>
      <c r="P16" s="45"/>
      <c r="Q16" s="48"/>
      <c r="R16" s="45"/>
      <c r="Y16" s="49"/>
      <c r="Z16" s="49"/>
    </row>
    <row r="17" spans="3:29" ht="23.25" x14ac:dyDescent="0.3">
      <c r="C17" s="42" t="s">
        <v>17</v>
      </c>
      <c r="D17" s="40">
        <v>10</v>
      </c>
      <c r="E17" s="44">
        <v>21</v>
      </c>
      <c r="F17" s="40">
        <f t="shared" si="0"/>
        <v>210</v>
      </c>
      <c r="G17" s="45"/>
      <c r="J17" s="42" t="s">
        <v>26</v>
      </c>
      <c r="K17" s="43">
        <v>3</v>
      </c>
      <c r="L17" s="40">
        <v>30</v>
      </c>
      <c r="M17" s="40">
        <f t="shared" si="1"/>
        <v>90</v>
      </c>
      <c r="N17" s="45"/>
      <c r="O17" s="47"/>
      <c r="P17" s="45"/>
      <c r="Q17" s="48"/>
      <c r="R17" s="45"/>
      <c r="Y17" s="49"/>
      <c r="Z17" s="49"/>
    </row>
    <row r="18" spans="3:29" ht="23.25" x14ac:dyDescent="0.3">
      <c r="C18" s="42" t="s">
        <v>113</v>
      </c>
      <c r="D18" s="40">
        <v>6.5</v>
      </c>
      <c r="E18" s="44">
        <v>15</v>
      </c>
      <c r="F18" s="40">
        <f t="shared" si="0"/>
        <v>97.5</v>
      </c>
      <c r="G18" s="45"/>
      <c r="J18" s="42" t="s">
        <v>17</v>
      </c>
      <c r="K18" s="43">
        <v>7</v>
      </c>
      <c r="L18" s="40">
        <v>21</v>
      </c>
      <c r="M18" s="40">
        <f t="shared" si="1"/>
        <v>147</v>
      </c>
      <c r="N18" s="45"/>
      <c r="O18" s="47"/>
      <c r="P18" s="45"/>
      <c r="Q18" s="48"/>
      <c r="R18" s="45"/>
      <c r="Y18" s="49"/>
      <c r="Z18" s="49"/>
    </row>
    <row r="19" spans="3:29" ht="23.25" x14ac:dyDescent="0.3">
      <c r="C19" s="42" t="s">
        <v>31</v>
      </c>
      <c r="D19" s="40">
        <v>20</v>
      </c>
      <c r="E19" s="40">
        <v>0</v>
      </c>
      <c r="F19" s="40">
        <f t="shared" si="0"/>
        <v>0</v>
      </c>
      <c r="G19" s="45"/>
      <c r="J19" s="42" t="s">
        <v>115</v>
      </c>
      <c r="K19" s="40">
        <v>1.7</v>
      </c>
      <c r="L19" s="40">
        <v>1.7</v>
      </c>
      <c r="M19" s="40">
        <f t="shared" si="1"/>
        <v>2.8899999999999997</v>
      </c>
      <c r="N19" s="45"/>
      <c r="O19" s="47"/>
      <c r="P19" s="45"/>
      <c r="Q19" s="45"/>
      <c r="R19" s="45"/>
      <c r="Y19" s="49"/>
      <c r="Z19" s="49"/>
    </row>
    <row r="20" spans="3:29" ht="23.25" x14ac:dyDescent="0.3">
      <c r="C20" s="40" t="s">
        <v>50</v>
      </c>
      <c r="D20" s="40">
        <v>0.4</v>
      </c>
      <c r="E20" s="44">
        <v>74</v>
      </c>
      <c r="F20" s="40">
        <f t="shared" si="0"/>
        <v>29.6</v>
      </c>
      <c r="G20" s="45"/>
      <c r="J20" s="42" t="s">
        <v>48</v>
      </c>
      <c r="K20" s="40">
        <v>0.5</v>
      </c>
      <c r="L20" s="40">
        <v>115</v>
      </c>
      <c r="M20" s="40">
        <f t="shared" si="1"/>
        <v>57.5</v>
      </c>
      <c r="N20" s="45"/>
      <c r="O20" s="45"/>
      <c r="P20" s="45"/>
      <c r="Q20" s="48"/>
      <c r="R20" s="45"/>
      <c r="Y20" s="49"/>
      <c r="Z20" s="49"/>
    </row>
    <row r="21" spans="3:29" ht="23.25" x14ac:dyDescent="0.3">
      <c r="C21" s="40" t="s">
        <v>213</v>
      </c>
      <c r="D21" s="40">
        <v>0.01</v>
      </c>
      <c r="E21" s="40">
        <v>2500</v>
      </c>
      <c r="F21" s="40">
        <f t="shared" si="0"/>
        <v>25</v>
      </c>
      <c r="G21" s="45"/>
      <c r="J21" s="42" t="s">
        <v>119</v>
      </c>
      <c r="K21" s="40">
        <v>0.06</v>
      </c>
      <c r="L21" s="40">
        <v>130</v>
      </c>
      <c r="M21" s="40">
        <f t="shared" si="1"/>
        <v>7.8</v>
      </c>
      <c r="N21" s="45"/>
      <c r="O21" s="45"/>
      <c r="P21" s="45"/>
      <c r="Q21" s="45"/>
      <c r="R21" s="45"/>
      <c r="Y21" s="49"/>
      <c r="Z21" s="49"/>
    </row>
    <row r="22" spans="3:29" ht="23.25" x14ac:dyDescent="0.3">
      <c r="C22" s="40" t="s">
        <v>118</v>
      </c>
      <c r="D22" s="40">
        <v>0.25</v>
      </c>
      <c r="E22" s="44">
        <v>75</v>
      </c>
      <c r="F22" s="40">
        <f t="shared" si="0"/>
        <v>18.75</v>
      </c>
      <c r="G22" s="45"/>
      <c r="J22" s="42" t="s">
        <v>121</v>
      </c>
      <c r="K22" s="40">
        <v>0.1</v>
      </c>
      <c r="L22" s="40">
        <v>80</v>
      </c>
      <c r="M22" s="40">
        <f t="shared" si="1"/>
        <v>8</v>
      </c>
      <c r="N22" s="45"/>
      <c r="O22" s="45"/>
      <c r="P22" s="45"/>
      <c r="Q22" s="48"/>
      <c r="R22" s="45"/>
      <c r="Y22" s="49"/>
      <c r="Z22" s="49"/>
    </row>
    <row r="23" spans="3:29" ht="23.25" x14ac:dyDescent="0.3">
      <c r="C23" s="40" t="s">
        <v>120</v>
      </c>
      <c r="D23" s="40">
        <v>0.05</v>
      </c>
      <c r="E23" s="44">
        <v>80</v>
      </c>
      <c r="F23" s="40">
        <f t="shared" si="0"/>
        <v>4</v>
      </c>
      <c r="G23" s="45"/>
      <c r="J23" s="40" t="s">
        <v>50</v>
      </c>
      <c r="K23" s="40">
        <v>0.5</v>
      </c>
      <c r="L23" s="40">
        <v>74</v>
      </c>
      <c r="M23" s="40">
        <f t="shared" si="1"/>
        <v>37</v>
      </c>
      <c r="N23" s="45"/>
      <c r="O23" s="45"/>
      <c r="P23" s="45"/>
      <c r="Q23" s="48"/>
      <c r="R23" s="45"/>
      <c r="Y23" s="49"/>
      <c r="Z23" s="49"/>
    </row>
    <row r="24" spans="3:29" ht="23.25" x14ac:dyDescent="0.3">
      <c r="C24" s="40" t="s">
        <v>54</v>
      </c>
      <c r="D24" s="40">
        <v>1.7</v>
      </c>
      <c r="E24" s="44">
        <v>1.7</v>
      </c>
      <c r="F24" s="40">
        <f t="shared" si="0"/>
        <v>2.8899999999999997</v>
      </c>
      <c r="G24" s="45"/>
      <c r="J24" s="40" t="s">
        <v>76</v>
      </c>
      <c r="K24" s="40">
        <v>0.15</v>
      </c>
      <c r="L24" s="40">
        <v>160</v>
      </c>
      <c r="M24" s="40">
        <f t="shared" si="1"/>
        <v>24</v>
      </c>
      <c r="N24" s="45"/>
      <c r="O24" s="45"/>
      <c r="P24" s="45"/>
      <c r="Q24" s="48"/>
      <c r="R24" s="45"/>
      <c r="Y24" s="49"/>
      <c r="Z24" s="49"/>
    </row>
    <row r="25" spans="3:29" ht="23.25" x14ac:dyDescent="0.3">
      <c r="C25" s="40" t="s">
        <v>84</v>
      </c>
      <c r="D25" s="40">
        <v>0.04</v>
      </c>
      <c r="E25" s="44">
        <v>747</v>
      </c>
      <c r="F25" s="40">
        <f t="shared" si="0"/>
        <v>29.88</v>
      </c>
      <c r="G25" s="45"/>
      <c r="J25" s="40" t="s">
        <v>75</v>
      </c>
      <c r="K25" s="40">
        <v>0.17</v>
      </c>
      <c r="L25" s="40">
        <v>75</v>
      </c>
      <c r="M25" s="40">
        <f t="shared" si="1"/>
        <v>12.750000000000002</v>
      </c>
      <c r="N25" s="45"/>
      <c r="O25" s="45"/>
      <c r="P25" s="45"/>
      <c r="Q25" s="48"/>
      <c r="R25" s="45"/>
      <c r="Y25" s="49"/>
      <c r="Z25" s="49"/>
    </row>
    <row r="26" spans="3:29" ht="23.25" x14ac:dyDescent="0.3">
      <c r="C26" s="40" t="s">
        <v>52</v>
      </c>
      <c r="D26" s="40">
        <v>0.25</v>
      </c>
      <c r="E26" s="40">
        <v>158</v>
      </c>
      <c r="F26" s="40">
        <f t="shared" si="0"/>
        <v>39.5</v>
      </c>
      <c r="G26" s="45"/>
      <c r="J26" s="40" t="s">
        <v>53</v>
      </c>
      <c r="K26" s="40">
        <v>0.4</v>
      </c>
      <c r="L26" s="40">
        <v>270</v>
      </c>
      <c r="M26" s="40">
        <f t="shared" si="1"/>
        <v>108</v>
      </c>
      <c r="N26" s="45"/>
      <c r="O26" s="45"/>
      <c r="P26" s="45"/>
      <c r="Q26" s="48"/>
      <c r="R26" s="45"/>
      <c r="Y26" s="49"/>
      <c r="Z26" s="49"/>
    </row>
    <row r="27" spans="3:29" ht="25.5" x14ac:dyDescent="0.35">
      <c r="C27" s="40" t="s">
        <v>55</v>
      </c>
      <c r="D27" s="40">
        <v>0.25</v>
      </c>
      <c r="E27" s="40">
        <f>+'[1]4-2025'!$A$52</f>
        <v>270</v>
      </c>
      <c r="F27" s="40">
        <f t="shared" si="0"/>
        <v>67.5</v>
      </c>
      <c r="G27" s="51"/>
      <c r="H27" s="52"/>
      <c r="I27" s="52"/>
      <c r="J27" s="40" t="s">
        <v>123</v>
      </c>
      <c r="K27" s="40">
        <v>0.4</v>
      </c>
      <c r="L27" s="40">
        <v>270</v>
      </c>
      <c r="M27" s="40">
        <f t="shared" si="1"/>
        <v>108</v>
      </c>
      <c r="N27" s="45"/>
      <c r="O27" s="45"/>
      <c r="P27" s="45"/>
      <c r="Q27" s="48"/>
      <c r="R27" s="45"/>
      <c r="Y27" s="49"/>
      <c r="Z27" s="49"/>
    </row>
    <row r="28" spans="3:29" ht="23.25" x14ac:dyDescent="0.3">
      <c r="C28" s="40" t="s">
        <v>48</v>
      </c>
      <c r="D28" s="40">
        <v>0.6</v>
      </c>
      <c r="E28" s="44">
        <v>115</v>
      </c>
      <c r="F28" s="40">
        <f t="shared" si="0"/>
        <v>69</v>
      </c>
      <c r="G28" s="51"/>
      <c r="J28" s="40"/>
      <c r="K28" s="40"/>
      <c r="L28" s="40"/>
      <c r="M28" s="40"/>
      <c r="N28" s="51"/>
      <c r="O28" s="45"/>
      <c r="P28" s="45"/>
      <c r="Q28" s="48"/>
      <c r="R28" s="45"/>
      <c r="Y28" s="49"/>
      <c r="Z28" s="49"/>
    </row>
    <row r="29" spans="3:29" ht="23.25" x14ac:dyDescent="0.3">
      <c r="C29" s="40" t="s">
        <v>80</v>
      </c>
      <c r="D29" s="40">
        <v>0.25</v>
      </c>
      <c r="E29" s="44">
        <v>270</v>
      </c>
      <c r="F29" s="40">
        <f t="shared" si="0"/>
        <v>67.5</v>
      </c>
      <c r="J29" s="40" t="s">
        <v>125</v>
      </c>
      <c r="K29" s="40">
        <v>0.01</v>
      </c>
      <c r="L29" s="40">
        <v>2500</v>
      </c>
      <c r="M29" s="40">
        <f t="shared" si="1"/>
        <v>25</v>
      </c>
      <c r="N29" s="53">
        <v>2500</v>
      </c>
      <c r="O29" s="45"/>
      <c r="P29" s="45"/>
      <c r="Q29" s="48"/>
      <c r="R29" s="45"/>
      <c r="S29" t="s">
        <v>159</v>
      </c>
      <c r="T29">
        <f>T27*5</f>
        <v>0</v>
      </c>
      <c r="Y29" s="54" t="s">
        <v>204</v>
      </c>
      <c r="Z29" s="54">
        <v>0.06</v>
      </c>
      <c r="AC29">
        <f t="shared" ref="AC29" si="2">Z29*3</f>
        <v>0.18</v>
      </c>
    </row>
    <row r="30" spans="3:29" ht="23.25" x14ac:dyDescent="0.3">
      <c r="C30" s="40" t="s">
        <v>78</v>
      </c>
      <c r="D30" s="40">
        <v>0.04</v>
      </c>
      <c r="E30" s="44">
        <v>35</v>
      </c>
      <c r="F30" s="40">
        <f t="shared" si="0"/>
        <v>1.4000000000000001</v>
      </c>
      <c r="J30" s="40" t="s">
        <v>7</v>
      </c>
      <c r="K30" s="44">
        <f>SUM(K8:K29)</f>
        <v>105.39000000000003</v>
      </c>
      <c r="L30" s="40"/>
      <c r="M30" s="40">
        <f>SUM(M8:M29)</f>
        <v>3668.2280000000001</v>
      </c>
      <c r="O30" s="45"/>
      <c r="P30" s="45"/>
      <c r="Q30" s="48"/>
      <c r="R30" s="45"/>
    </row>
    <row r="31" spans="3:29" ht="23.25" x14ac:dyDescent="0.3">
      <c r="C31" s="40" t="s">
        <v>72</v>
      </c>
      <c r="D31" s="40">
        <v>0.4</v>
      </c>
      <c r="E31" s="40">
        <f>+'[1]4-2025'!$A$51</f>
        <v>250</v>
      </c>
      <c r="F31" s="40">
        <f t="shared" si="0"/>
        <v>100</v>
      </c>
      <c r="J31" s="55" t="s">
        <v>127</v>
      </c>
      <c r="K31" s="56">
        <f>M30/K30</f>
        <v>34.80622449947812</v>
      </c>
      <c r="L31" s="56"/>
      <c r="M31" s="56"/>
      <c r="O31" s="45"/>
      <c r="P31" s="45"/>
      <c r="Q31" s="45"/>
      <c r="R31" s="45"/>
      <c r="Y31" t="s">
        <v>205</v>
      </c>
      <c r="Z31">
        <f>SUM(Z8:Z29)</f>
        <v>0.06</v>
      </c>
    </row>
    <row r="32" spans="3:29" ht="23.25" x14ac:dyDescent="0.3">
      <c r="C32" s="40" t="s">
        <v>70</v>
      </c>
      <c r="D32" s="40">
        <v>0.2</v>
      </c>
      <c r="E32" s="44">
        <v>175</v>
      </c>
      <c r="F32" s="40">
        <f t="shared" si="0"/>
        <v>35</v>
      </c>
      <c r="O32" s="45"/>
      <c r="P32" s="45"/>
      <c r="Q32" s="48"/>
      <c r="R32" s="45"/>
    </row>
    <row r="33" spans="3:22" ht="23.25" x14ac:dyDescent="0.3">
      <c r="C33" s="40" t="s">
        <v>7</v>
      </c>
      <c r="D33" s="40">
        <f>SUM(D6:D32)</f>
        <v>117.54000000000002</v>
      </c>
      <c r="E33" s="40"/>
      <c r="F33" s="57">
        <f>SUM(F6:F32)</f>
        <v>4324.6302114191822</v>
      </c>
      <c r="O33" s="45"/>
      <c r="P33" s="45"/>
      <c r="Q33" s="48"/>
      <c r="R33" s="45"/>
    </row>
    <row r="34" spans="3:22" ht="23.25" x14ac:dyDescent="0.3">
      <c r="C34" s="55" t="s">
        <v>127</v>
      </c>
      <c r="D34" s="56">
        <f>F33/D33</f>
        <v>36.792838279897751</v>
      </c>
      <c r="E34" s="56"/>
      <c r="F34" s="56"/>
      <c r="O34" s="45"/>
      <c r="P34" s="45"/>
      <c r="Q34" s="45"/>
      <c r="R34" s="45"/>
      <c r="S34" s="58" t="s">
        <v>130</v>
      </c>
      <c r="T34" s="59" t="s">
        <v>154</v>
      </c>
      <c r="U34" s="59" t="s">
        <v>86</v>
      </c>
      <c r="V34" s="59" t="s">
        <v>102</v>
      </c>
    </row>
    <row r="35" spans="3:22" ht="23.25" x14ac:dyDescent="0.3">
      <c r="O35" s="45"/>
      <c r="P35" s="45"/>
      <c r="Q35" s="45"/>
      <c r="R35" s="45"/>
      <c r="S35" s="58" t="s">
        <v>198</v>
      </c>
      <c r="T35" s="59">
        <v>12.956976502684149</v>
      </c>
      <c r="U35" s="59">
        <v>3.9633333333333334</v>
      </c>
      <c r="V35" s="59">
        <v>16.920309836017484</v>
      </c>
    </row>
    <row r="36" spans="3:22" ht="23.25" x14ac:dyDescent="0.3">
      <c r="D36">
        <f>22.96+15+2</f>
        <v>39.96</v>
      </c>
      <c r="E36" t="s">
        <v>127</v>
      </c>
      <c r="O36" s="45"/>
      <c r="P36" s="60"/>
      <c r="Q36" s="45"/>
      <c r="R36" s="45"/>
      <c r="S36" s="58" t="s">
        <v>136</v>
      </c>
      <c r="T36" s="59">
        <v>30.232945172929679</v>
      </c>
      <c r="U36" s="59">
        <v>5.0066666666666668</v>
      </c>
      <c r="V36" s="59">
        <v>35.239611839596343</v>
      </c>
    </row>
    <row r="37" spans="3:22" ht="23.25" x14ac:dyDescent="0.3">
      <c r="O37" s="45"/>
      <c r="P37" s="45"/>
      <c r="Q37" s="45"/>
      <c r="R37" s="45"/>
      <c r="S37" s="58"/>
      <c r="T37" s="59"/>
      <c r="U37" s="59"/>
      <c r="V37" s="59"/>
    </row>
    <row r="38" spans="3:22" ht="31.5" x14ac:dyDescent="0.45">
      <c r="C38" s="59" t="s">
        <v>130</v>
      </c>
      <c r="D38" s="59" t="s">
        <v>154</v>
      </c>
      <c r="E38" s="59" t="s">
        <v>86</v>
      </c>
      <c r="F38" s="59" t="s">
        <v>102</v>
      </c>
      <c r="G38" s="59" t="s">
        <v>215</v>
      </c>
      <c r="H38" s="59" t="s">
        <v>216</v>
      </c>
      <c r="I38" s="59" t="s">
        <v>217</v>
      </c>
      <c r="J38" s="61" t="s">
        <v>218</v>
      </c>
      <c r="K38" s="61" t="s">
        <v>219</v>
      </c>
      <c r="L38" s="61" t="s">
        <v>220</v>
      </c>
      <c r="M38" s="61" t="s">
        <v>217</v>
      </c>
      <c r="N38" s="61" t="s">
        <v>221</v>
      </c>
      <c r="O38" s="62" t="s">
        <v>219</v>
      </c>
      <c r="P38" s="63"/>
      <c r="Q38" s="51"/>
      <c r="R38" s="51"/>
      <c r="S38" s="58"/>
      <c r="T38" s="59"/>
      <c r="U38" s="59"/>
      <c r="V38" s="59"/>
    </row>
    <row r="39" spans="3:22" ht="25.5" x14ac:dyDescent="0.35">
      <c r="C39" s="59" t="s">
        <v>198</v>
      </c>
      <c r="D39" s="59">
        <v>12.956976502684149</v>
      </c>
      <c r="E39" s="64">
        <v>3.9633333333333334</v>
      </c>
      <c r="F39" s="59">
        <f>D39+E39</f>
        <v>16.920309836017484</v>
      </c>
      <c r="G39">
        <v>44</v>
      </c>
      <c r="H39">
        <f>G39*0.2</f>
        <v>8.8000000000000007</v>
      </c>
      <c r="I39">
        <f>G39-H39</f>
        <v>35.200000000000003</v>
      </c>
      <c r="J39">
        <f>I39-F39</f>
        <v>18.279690163982519</v>
      </c>
      <c r="K39">
        <f>J39/I39</f>
        <v>0.51930937965859425</v>
      </c>
      <c r="L39">
        <f>G39*0.18</f>
        <v>7.92</v>
      </c>
      <c r="M39">
        <f>G38:G39-L39</f>
        <v>36.08</v>
      </c>
      <c r="N39">
        <f>M39-F39</f>
        <v>19.159690163982514</v>
      </c>
      <c r="O39" s="62">
        <f>N39/M39</f>
        <v>0.53103354113033574</v>
      </c>
      <c r="P39" s="51"/>
      <c r="Q39" s="51"/>
      <c r="R39" s="52"/>
    </row>
    <row r="40" spans="3:22" ht="21" x14ac:dyDescent="0.3">
      <c r="C40" s="59" t="s">
        <v>214</v>
      </c>
      <c r="D40" s="59">
        <v>30.232945172929679</v>
      </c>
      <c r="E40" s="59">
        <v>5.0066666666666668</v>
      </c>
      <c r="F40" s="59">
        <f>D40+E40</f>
        <v>35.239611839596343</v>
      </c>
      <c r="G40">
        <v>73.25</v>
      </c>
      <c r="H40">
        <f>G40*0.2</f>
        <v>14.65</v>
      </c>
      <c r="I40">
        <f>G40-H40</f>
        <v>58.6</v>
      </c>
      <c r="J40">
        <f>I40-F40</f>
        <v>23.360388160403659</v>
      </c>
      <c r="K40">
        <f>J40/I40</f>
        <v>0.39864143618436276</v>
      </c>
      <c r="L40">
        <f t="shared" ref="L40:L48" si="3">G40*0.18</f>
        <v>13.184999999999999</v>
      </c>
      <c r="M40">
        <f t="shared" ref="M40:M48" si="4">G39:G40-L40</f>
        <v>60.064999999999998</v>
      </c>
      <c r="N40">
        <f t="shared" ref="N40:N48" si="5">M40-F40</f>
        <v>24.825388160403655</v>
      </c>
      <c r="O40" s="62">
        <f t="shared" ref="O40:O48" si="6">N40/M40</f>
        <v>0.41330871822864657</v>
      </c>
    </row>
    <row r="41" spans="3:22" ht="21" x14ac:dyDescent="0.3">
      <c r="O41" s="62"/>
    </row>
    <row r="42" spans="3:22" ht="21" x14ac:dyDescent="0.3">
      <c r="C42" s="59" t="s">
        <v>130</v>
      </c>
      <c r="D42" s="59" t="s">
        <v>154</v>
      </c>
      <c r="E42" s="59" t="s">
        <v>86</v>
      </c>
      <c r="F42" s="59" t="s">
        <v>102</v>
      </c>
      <c r="O42" s="62"/>
    </row>
    <row r="43" spans="3:22" ht="21" x14ac:dyDescent="0.3">
      <c r="C43" s="59" t="s">
        <v>199</v>
      </c>
      <c r="D43" s="59">
        <f>D34*0.35</f>
        <v>12.877493397964212</v>
      </c>
      <c r="E43" s="59">
        <v>3.2</v>
      </c>
      <c r="F43" s="59">
        <f>E43+D43</f>
        <v>16.077493397964211</v>
      </c>
      <c r="G43">
        <v>30</v>
      </c>
      <c r="H43">
        <f>G43*0.2</f>
        <v>6</v>
      </c>
      <c r="I43">
        <f>G43-H43</f>
        <v>24</v>
      </c>
      <c r="J43">
        <f>I43-F43</f>
        <v>7.9225066020357886</v>
      </c>
      <c r="K43">
        <f>J43/I43</f>
        <v>0.33010444175149117</v>
      </c>
      <c r="L43">
        <f t="shared" si="3"/>
        <v>5.3999999999999995</v>
      </c>
      <c r="M43">
        <f t="shared" si="4"/>
        <v>24.6</v>
      </c>
      <c r="N43">
        <f t="shared" si="5"/>
        <v>8.52250660203579</v>
      </c>
      <c r="O43" s="62">
        <f t="shared" si="6"/>
        <v>0.3464433578063329</v>
      </c>
      <c r="P43">
        <f>G43*1.05</f>
        <v>31.5</v>
      </c>
    </row>
    <row r="44" spans="3:22" ht="21" x14ac:dyDescent="0.3">
      <c r="C44" s="59" t="s">
        <v>200</v>
      </c>
      <c r="D44" s="59">
        <f>D34*0.9</f>
        <v>33.11355445190798</v>
      </c>
      <c r="E44" s="59">
        <v>5.0999999999999996</v>
      </c>
      <c r="F44" s="59">
        <f>E44+D44</f>
        <v>38.213554451907982</v>
      </c>
      <c r="G44">
        <v>67.5</v>
      </c>
      <c r="H44">
        <f>G44*0.2</f>
        <v>13.5</v>
      </c>
      <c r="I44">
        <f>G44-H44</f>
        <v>54</v>
      </c>
      <c r="J44">
        <f>I44-F44</f>
        <v>15.786445548092018</v>
      </c>
      <c r="K44">
        <f>J44/I44</f>
        <v>0.29234158422392625</v>
      </c>
      <c r="L44">
        <f t="shared" si="3"/>
        <v>12.15</v>
      </c>
      <c r="M44">
        <f t="shared" si="4"/>
        <v>55.35</v>
      </c>
      <c r="N44">
        <f t="shared" si="5"/>
        <v>17.13644554809202</v>
      </c>
      <c r="O44" s="62">
        <f t="shared" si="6"/>
        <v>0.30960154558431835</v>
      </c>
      <c r="P44">
        <f>G44*1.05</f>
        <v>70.875</v>
      </c>
    </row>
    <row r="45" spans="3:22" ht="21" x14ac:dyDescent="0.3">
      <c r="O45" s="62"/>
      <c r="P45">
        <f t="shared" ref="P45:P48" si="7">G45*1.05</f>
        <v>0</v>
      </c>
    </row>
    <row r="46" spans="3:22" ht="21" x14ac:dyDescent="0.3">
      <c r="C46" s="59" t="s">
        <v>130</v>
      </c>
      <c r="D46" s="59" t="s">
        <v>154</v>
      </c>
      <c r="E46" s="59" t="s">
        <v>86</v>
      </c>
      <c r="F46" s="59" t="s">
        <v>102</v>
      </c>
      <c r="O46" s="62"/>
      <c r="P46">
        <f t="shared" si="7"/>
        <v>0</v>
      </c>
    </row>
    <row r="47" spans="3:22" ht="21" x14ac:dyDescent="0.3">
      <c r="C47" s="59" t="s">
        <v>201</v>
      </c>
      <c r="D47" s="59">
        <f>K31*0.4</f>
        <v>13.922489799791249</v>
      </c>
      <c r="E47" s="59">
        <v>4.22</v>
      </c>
      <c r="F47" s="59">
        <f>E47+D47</f>
        <v>18.14248979979125</v>
      </c>
      <c r="G47">
        <v>32.5</v>
      </c>
      <c r="H47">
        <f>G47*0.2</f>
        <v>6.5</v>
      </c>
      <c r="I47">
        <f>G47-H47</f>
        <v>26</v>
      </c>
      <c r="J47">
        <f>I47-F47</f>
        <v>7.8575102002087505</v>
      </c>
      <c r="K47">
        <f>J47/I47</f>
        <v>0.30221193077725961</v>
      </c>
      <c r="L47">
        <f t="shared" si="3"/>
        <v>5.85</v>
      </c>
      <c r="M47">
        <f t="shared" si="4"/>
        <v>26.65</v>
      </c>
      <c r="N47">
        <f t="shared" si="5"/>
        <v>8.507510200208749</v>
      </c>
      <c r="O47" s="62">
        <f t="shared" si="6"/>
        <v>0.31923115197781426</v>
      </c>
      <c r="P47">
        <f t="shared" si="7"/>
        <v>34.125</v>
      </c>
    </row>
    <row r="48" spans="3:22" ht="21" x14ac:dyDescent="0.3">
      <c r="C48" s="59" t="s">
        <v>202</v>
      </c>
      <c r="D48" s="59">
        <f>K31</f>
        <v>34.80622449947812</v>
      </c>
      <c r="E48" s="59">
        <v>5.62</v>
      </c>
      <c r="F48" s="59">
        <f>E48+D48</f>
        <v>40.426224499478117</v>
      </c>
      <c r="G48">
        <v>72.5</v>
      </c>
      <c r="H48">
        <f>G48*0.2</f>
        <v>14.5</v>
      </c>
      <c r="I48">
        <f>G48-H48</f>
        <v>58</v>
      </c>
      <c r="J48">
        <f>I48-F48</f>
        <v>17.573775500521883</v>
      </c>
      <c r="K48">
        <f>J48/I48</f>
        <v>0.30299612931934283</v>
      </c>
      <c r="L48">
        <f t="shared" si="3"/>
        <v>13.049999999999999</v>
      </c>
      <c r="M48">
        <f t="shared" si="4"/>
        <v>59.45</v>
      </c>
      <c r="N48">
        <f t="shared" si="5"/>
        <v>19.023775500521886</v>
      </c>
      <c r="O48" s="62">
        <f t="shared" si="6"/>
        <v>0.31999622372618813</v>
      </c>
      <c r="P48">
        <f t="shared" si="7"/>
        <v>76.125</v>
      </c>
    </row>
    <row r="57" spans="1:27" x14ac:dyDescent="0.2">
      <c r="A57" t="s">
        <v>92</v>
      </c>
      <c r="B57">
        <v>28.5</v>
      </c>
      <c r="C57">
        <f>B57*0.17</f>
        <v>4.8450000000000006</v>
      </c>
      <c r="D57">
        <f>14.85*0.08</f>
        <v>1.1879999999999999</v>
      </c>
      <c r="E57">
        <f>B57-C57-D57</f>
        <v>22.467000000000002</v>
      </c>
      <c r="F57">
        <f>E57-14.85</f>
        <v>7.6170000000000027</v>
      </c>
      <c r="G57">
        <f>F57/E57</f>
        <v>0.3390305781813327</v>
      </c>
    </row>
    <row r="58" spans="1:27" ht="14.25" customHeight="1" x14ac:dyDescent="0.2">
      <c r="B58">
        <v>58.5</v>
      </c>
      <c r="C58">
        <f>B58*0.17</f>
        <v>9.9450000000000003</v>
      </c>
      <c r="D58">
        <f>30.8*0.08</f>
        <v>2.464</v>
      </c>
      <c r="E58">
        <f>B58-C58-D58</f>
        <v>46.091000000000001</v>
      </c>
      <c r="F58">
        <f>E58-30.8</f>
        <v>15.291</v>
      </c>
      <c r="G58">
        <f t="shared" ref="G58:G60" si="8">F58/E58</f>
        <v>0.33175674209715561</v>
      </c>
    </row>
    <row r="59" spans="1:27" ht="21" x14ac:dyDescent="0.3">
      <c r="B59">
        <v>27.5</v>
      </c>
      <c r="C59">
        <f>B59*0.17</f>
        <v>4.6750000000000007</v>
      </c>
      <c r="D59">
        <f>12.9*0.08</f>
        <v>1.032</v>
      </c>
      <c r="E59">
        <f>B59-C59-D59</f>
        <v>21.792999999999999</v>
      </c>
      <c r="F59">
        <f>E59-12.9</f>
        <v>8.8929999999999989</v>
      </c>
      <c r="G59">
        <f t="shared" si="8"/>
        <v>0.40806681044372045</v>
      </c>
      <c r="Z59" s="143" t="s">
        <v>206</v>
      </c>
      <c r="AA59" s="143"/>
    </row>
    <row r="60" spans="1:27" ht="21" x14ac:dyDescent="0.3">
      <c r="B60">
        <v>56</v>
      </c>
      <c r="C60">
        <f>B60*0.17</f>
        <v>9.5200000000000014</v>
      </c>
      <c r="D60">
        <f>25.55*0.08</f>
        <v>2.044</v>
      </c>
      <c r="E60">
        <f>B60-C60-D60</f>
        <v>44.436</v>
      </c>
      <c r="F60">
        <f>E60-25.55</f>
        <v>18.885999999999999</v>
      </c>
      <c r="G60">
        <f t="shared" si="8"/>
        <v>0.42501575299306865</v>
      </c>
      <c r="Z60" s="66" t="s">
        <v>130</v>
      </c>
      <c r="AA60" s="66" t="s">
        <v>165</v>
      </c>
    </row>
    <row r="61" spans="1:27" ht="21" x14ac:dyDescent="0.3">
      <c r="Z61" s="66" t="s">
        <v>54</v>
      </c>
      <c r="AA61" s="66">
        <v>1.9500000000000002</v>
      </c>
    </row>
    <row r="62" spans="1:27" ht="21" x14ac:dyDescent="0.3">
      <c r="Z62" s="66" t="s">
        <v>48</v>
      </c>
      <c r="AA62" s="66">
        <v>0.44999999999999996</v>
      </c>
    </row>
    <row r="63" spans="1:27" ht="21" x14ac:dyDescent="0.3">
      <c r="Z63" s="66" t="s">
        <v>57</v>
      </c>
      <c r="AA63" s="66">
        <v>0.75</v>
      </c>
    </row>
    <row r="64" spans="1:27" ht="21" x14ac:dyDescent="0.3">
      <c r="Z64" s="66" t="s">
        <v>65</v>
      </c>
      <c r="AA64" s="66">
        <v>0.60000000000000009</v>
      </c>
    </row>
    <row r="65" spans="26:27" ht="21" x14ac:dyDescent="0.3">
      <c r="Z65" s="66" t="s">
        <v>120</v>
      </c>
      <c r="AA65" s="66">
        <v>0.12</v>
      </c>
    </row>
    <row r="66" spans="26:27" ht="21" x14ac:dyDescent="0.3">
      <c r="Z66" s="66" t="s">
        <v>76</v>
      </c>
      <c r="AA66" s="66">
        <v>0.12</v>
      </c>
    </row>
    <row r="67" spans="26:27" ht="21" x14ac:dyDescent="0.3">
      <c r="Z67" s="66" t="s">
        <v>74</v>
      </c>
      <c r="AA67" s="66">
        <v>0.36</v>
      </c>
    </row>
    <row r="68" spans="26:27" ht="21" x14ac:dyDescent="0.3">
      <c r="Z68" s="66" t="s">
        <v>84</v>
      </c>
      <c r="AA68" s="66">
        <v>0.09</v>
      </c>
    </row>
    <row r="69" spans="26:27" ht="21" x14ac:dyDescent="0.3">
      <c r="Z69" s="66" t="s">
        <v>68</v>
      </c>
      <c r="AA69" s="66">
        <v>0.09</v>
      </c>
    </row>
    <row r="70" spans="26:27" ht="21" x14ac:dyDescent="0.3">
      <c r="Z70" s="66" t="s">
        <v>69</v>
      </c>
      <c r="AA70" s="66">
        <v>0.09</v>
      </c>
    </row>
    <row r="71" spans="26:27" ht="21" x14ac:dyDescent="0.3">
      <c r="Z71" s="66" t="s">
        <v>78</v>
      </c>
      <c r="AA71" s="66">
        <v>0.09</v>
      </c>
    </row>
    <row r="72" spans="26:27" ht="21" x14ac:dyDescent="0.3">
      <c r="Z72" s="66" t="s">
        <v>203</v>
      </c>
      <c r="AA72" s="66">
        <v>0.06</v>
      </c>
    </row>
    <row r="73" spans="26:27" ht="21" x14ac:dyDescent="0.3">
      <c r="Z73" s="66" t="s">
        <v>55</v>
      </c>
      <c r="AA73" s="66">
        <v>4.4999999999999998E-2</v>
      </c>
    </row>
    <row r="74" spans="26:27" ht="18.75" x14ac:dyDescent="0.25">
      <c r="Z74" s="67" t="s">
        <v>204</v>
      </c>
      <c r="AA74" s="67">
        <v>0.06</v>
      </c>
    </row>
  </sheetData>
  <mergeCells count="1">
    <mergeCell ref="Z59:AA5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3"/>
  <sheetViews>
    <sheetView topLeftCell="B4" zoomScale="46" workbookViewId="0">
      <selection activeCell="K52" sqref="K52"/>
    </sheetView>
  </sheetViews>
  <sheetFormatPr defaultColWidth="9.01171875" defaultRowHeight="15" x14ac:dyDescent="0.2"/>
  <cols>
    <col min="2" max="2" width="19.7734375" bestFit="1" customWidth="1"/>
    <col min="3" max="3" width="16.94921875" bestFit="1" customWidth="1"/>
    <col min="4" max="4" width="17.890625" bestFit="1" customWidth="1"/>
    <col min="5" max="5" width="16.94921875" bestFit="1" customWidth="1"/>
    <col min="9" max="9" width="24.88671875" customWidth="1"/>
    <col min="10" max="10" width="16.94921875" bestFit="1" customWidth="1"/>
    <col min="11" max="11" width="12.375" bestFit="1" customWidth="1"/>
    <col min="12" max="12" width="16.94921875" bestFit="1" customWidth="1"/>
    <col min="14" max="14" width="27.44140625" customWidth="1"/>
    <col min="15" max="15" width="16.94921875" bestFit="1" customWidth="1"/>
    <col min="16" max="16" width="12.375" bestFit="1" customWidth="1"/>
    <col min="17" max="17" width="16.94921875" bestFit="1" customWidth="1"/>
  </cols>
  <sheetData>
    <row r="1" spans="2:18" ht="21" x14ac:dyDescent="0.2">
      <c r="I1" s="68"/>
      <c r="J1" s="68"/>
      <c r="K1" s="68"/>
      <c r="L1" s="68"/>
    </row>
    <row r="2" spans="2:18" ht="21" x14ac:dyDescent="0.2">
      <c r="I2" s="68"/>
      <c r="J2" s="68"/>
      <c r="K2" s="68"/>
      <c r="L2" s="68"/>
    </row>
    <row r="3" spans="2:18" ht="21" x14ac:dyDescent="0.2">
      <c r="I3" s="68"/>
      <c r="J3" s="68"/>
      <c r="K3" s="68"/>
      <c r="L3" s="68"/>
    </row>
    <row r="4" spans="2:18" ht="21" x14ac:dyDescent="0.3">
      <c r="B4" s="68"/>
      <c r="C4" s="68"/>
      <c r="D4" s="62" t="s">
        <v>245</v>
      </c>
      <c r="E4" s="68"/>
      <c r="F4" s="68"/>
      <c r="I4" s="68"/>
      <c r="J4" s="65" t="s">
        <v>243</v>
      </c>
      <c r="K4" s="62" t="s">
        <v>246</v>
      </c>
      <c r="L4" s="68"/>
      <c r="N4" s="68"/>
      <c r="O4" s="62" t="s">
        <v>243</v>
      </c>
      <c r="P4" s="62" t="s">
        <v>209</v>
      </c>
      <c r="Q4" s="68"/>
      <c r="R4" s="68"/>
    </row>
    <row r="5" spans="2:18" ht="21" x14ac:dyDescent="0.3">
      <c r="B5" s="69" t="s">
        <v>4</v>
      </c>
      <c r="C5" s="70" t="s">
        <v>8</v>
      </c>
      <c r="D5" s="70" t="s">
        <v>6</v>
      </c>
      <c r="E5" s="70" t="s">
        <v>103</v>
      </c>
      <c r="F5" s="68"/>
      <c r="I5" s="69" t="s">
        <v>4</v>
      </c>
      <c r="J5" s="70" t="s">
        <v>8</v>
      </c>
      <c r="K5" s="70" t="s">
        <v>6</v>
      </c>
      <c r="L5" s="70" t="s">
        <v>103</v>
      </c>
      <c r="N5" s="69" t="s">
        <v>4</v>
      </c>
      <c r="O5" s="70" t="s">
        <v>8</v>
      </c>
      <c r="P5" s="70" t="s">
        <v>6</v>
      </c>
      <c r="Q5" s="70" t="s">
        <v>7</v>
      </c>
      <c r="R5" s="68"/>
    </row>
    <row r="6" spans="2:18" ht="21" x14ac:dyDescent="0.3">
      <c r="B6" s="71" t="s">
        <v>265</v>
      </c>
      <c r="C6" s="70">
        <v>80</v>
      </c>
      <c r="D6" s="72">
        <v>37</v>
      </c>
      <c r="E6" s="70">
        <f t="shared" ref="E6:E28" si="0">C6*D6</f>
        <v>2960</v>
      </c>
      <c r="F6" s="68"/>
      <c r="I6" s="71" t="s">
        <v>265</v>
      </c>
      <c r="J6" s="70">
        <v>105</v>
      </c>
      <c r="K6" s="72">
        <v>35</v>
      </c>
      <c r="L6" s="70">
        <f>J6*K6</f>
        <v>3675</v>
      </c>
      <c r="N6" s="71" t="s">
        <v>265</v>
      </c>
      <c r="O6" s="70">
        <v>90</v>
      </c>
      <c r="P6" s="72">
        <v>35</v>
      </c>
      <c r="Q6" s="70">
        <f>O6*P6</f>
        <v>3150</v>
      </c>
      <c r="R6" s="68"/>
    </row>
    <row r="7" spans="2:18" ht="21" x14ac:dyDescent="0.3">
      <c r="B7" s="71" t="s">
        <v>16</v>
      </c>
      <c r="C7" s="70">
        <v>28</v>
      </c>
      <c r="D7" s="72">
        <v>35</v>
      </c>
      <c r="E7" s="70">
        <f t="shared" si="0"/>
        <v>980</v>
      </c>
      <c r="F7" s="68"/>
      <c r="I7" s="71" t="s">
        <v>16</v>
      </c>
      <c r="J7" s="70">
        <v>0</v>
      </c>
      <c r="K7" s="72">
        <v>35</v>
      </c>
      <c r="L7" s="70">
        <f t="shared" ref="L7:L29" si="1">J7*K7</f>
        <v>0</v>
      </c>
      <c r="N7" s="71" t="s">
        <v>16</v>
      </c>
      <c r="O7" s="70">
        <v>60</v>
      </c>
      <c r="P7" s="72">
        <v>35</v>
      </c>
      <c r="Q7" s="70">
        <f t="shared" ref="Q7:Q31" si="2">O7*P7</f>
        <v>2100</v>
      </c>
      <c r="R7" s="68"/>
    </row>
    <row r="8" spans="2:18" ht="21" x14ac:dyDescent="0.3">
      <c r="B8" s="71" t="s">
        <v>107</v>
      </c>
      <c r="C8" s="70">
        <v>25</v>
      </c>
      <c r="D8" s="72">
        <v>25</v>
      </c>
      <c r="E8" s="70">
        <f t="shared" si="0"/>
        <v>625</v>
      </c>
      <c r="F8" s="68"/>
      <c r="I8" s="71" t="s">
        <v>109</v>
      </c>
      <c r="J8" s="70">
        <v>10.5</v>
      </c>
      <c r="K8" s="72">
        <f>+D11</f>
        <v>20</v>
      </c>
      <c r="L8" s="70">
        <f t="shared" si="1"/>
        <v>210</v>
      </c>
      <c r="N8" s="71" t="s">
        <v>19</v>
      </c>
      <c r="O8" s="70">
        <v>15</v>
      </c>
      <c r="P8" s="70">
        <v>25</v>
      </c>
      <c r="Q8" s="70">
        <f t="shared" si="2"/>
        <v>375</v>
      </c>
      <c r="R8" s="68"/>
    </row>
    <row r="9" spans="2:18" ht="21" x14ac:dyDescent="0.3">
      <c r="B9" s="71" t="s">
        <v>18</v>
      </c>
      <c r="C9" s="70">
        <v>43</v>
      </c>
      <c r="D9" s="72">
        <v>39</v>
      </c>
      <c r="E9" s="70">
        <f t="shared" si="0"/>
        <v>1677</v>
      </c>
      <c r="F9" s="68"/>
      <c r="I9" s="71" t="s">
        <v>111</v>
      </c>
      <c r="J9" s="70">
        <v>48</v>
      </c>
      <c r="K9" s="70">
        <v>0</v>
      </c>
      <c r="L9" s="70">
        <f t="shared" si="1"/>
        <v>0</v>
      </c>
      <c r="N9" s="71" t="s">
        <v>18</v>
      </c>
      <c r="O9" s="70">
        <v>27</v>
      </c>
      <c r="P9" s="72">
        <v>39</v>
      </c>
      <c r="Q9" s="70">
        <f t="shared" si="2"/>
        <v>1053</v>
      </c>
      <c r="R9" s="68"/>
    </row>
    <row r="10" spans="2:18" ht="21" x14ac:dyDescent="0.3">
      <c r="B10" s="71" t="s">
        <v>108</v>
      </c>
      <c r="C10" s="70">
        <v>2</v>
      </c>
      <c r="D10" s="72">
        <v>25</v>
      </c>
      <c r="E10" s="70">
        <f t="shared" si="0"/>
        <v>50</v>
      </c>
      <c r="F10" s="68"/>
      <c r="I10" s="71" t="s">
        <v>18</v>
      </c>
      <c r="J10" s="70">
        <v>21.75</v>
      </c>
      <c r="K10" s="72">
        <v>39</v>
      </c>
      <c r="L10" s="70">
        <f t="shared" si="1"/>
        <v>848.25</v>
      </c>
      <c r="N10" s="71" t="s">
        <v>255</v>
      </c>
      <c r="O10" s="70">
        <v>15</v>
      </c>
      <c r="P10" s="70">
        <v>25</v>
      </c>
      <c r="Q10" s="70">
        <f t="shared" si="2"/>
        <v>375</v>
      </c>
      <c r="R10" s="68"/>
    </row>
    <row r="11" spans="2:18" ht="21" x14ac:dyDescent="0.3">
      <c r="B11" s="71" t="s">
        <v>110</v>
      </c>
      <c r="C11" s="70">
        <v>28</v>
      </c>
      <c r="D11" s="72">
        <v>20</v>
      </c>
      <c r="E11" s="70">
        <f t="shared" si="0"/>
        <v>560</v>
      </c>
      <c r="F11" s="68"/>
      <c r="I11" s="71" t="s">
        <v>113</v>
      </c>
      <c r="J11" s="70">
        <v>0</v>
      </c>
      <c r="K11" s="72">
        <v>15</v>
      </c>
      <c r="L11" s="70">
        <f t="shared" si="1"/>
        <v>0</v>
      </c>
      <c r="N11" s="71" t="s">
        <v>110</v>
      </c>
      <c r="O11" s="70">
        <v>15</v>
      </c>
      <c r="P11" s="72">
        <v>20</v>
      </c>
      <c r="Q11" s="70">
        <f t="shared" si="2"/>
        <v>300</v>
      </c>
      <c r="R11" s="68"/>
    </row>
    <row r="12" spans="2:18" ht="21" x14ac:dyDescent="0.3">
      <c r="B12" s="71" t="s">
        <v>26</v>
      </c>
      <c r="C12" s="70">
        <v>24</v>
      </c>
      <c r="D12" s="72">
        <v>28.5</v>
      </c>
      <c r="E12" s="70">
        <f t="shared" si="0"/>
        <v>684</v>
      </c>
      <c r="F12" s="68"/>
      <c r="I12" s="71" t="s">
        <v>114</v>
      </c>
      <c r="J12" s="70">
        <v>0</v>
      </c>
      <c r="K12" s="70">
        <v>35</v>
      </c>
      <c r="L12" s="70">
        <f t="shared" si="1"/>
        <v>0</v>
      </c>
      <c r="N12" s="71" t="s">
        <v>26</v>
      </c>
      <c r="O12" s="70">
        <v>15</v>
      </c>
      <c r="P12" s="70">
        <v>28.5</v>
      </c>
      <c r="Q12" s="70">
        <f t="shared" si="2"/>
        <v>427.5</v>
      </c>
      <c r="R12" s="68"/>
    </row>
    <row r="13" spans="2:18" ht="21" x14ac:dyDescent="0.3">
      <c r="B13" s="71" t="s">
        <v>112</v>
      </c>
      <c r="C13" s="70">
        <v>0</v>
      </c>
      <c r="D13" s="72">
        <v>0</v>
      </c>
      <c r="E13" s="70">
        <f t="shared" si="0"/>
        <v>0</v>
      </c>
      <c r="F13" s="68"/>
      <c r="I13" s="71" t="s">
        <v>26</v>
      </c>
      <c r="J13" s="70">
        <v>7.5</v>
      </c>
      <c r="K13" s="70">
        <v>28.5</v>
      </c>
      <c r="L13" s="70">
        <f t="shared" si="1"/>
        <v>213.75</v>
      </c>
      <c r="N13" s="71" t="s">
        <v>17</v>
      </c>
      <c r="O13" s="70">
        <v>30</v>
      </c>
      <c r="P13" s="70">
        <v>12</v>
      </c>
      <c r="Q13" s="70">
        <f t="shared" si="2"/>
        <v>360</v>
      </c>
      <c r="R13" s="68"/>
    </row>
    <row r="14" spans="2:18" ht="21" x14ac:dyDescent="0.3">
      <c r="B14" s="71" t="s">
        <v>17</v>
      </c>
      <c r="C14" s="70">
        <v>25</v>
      </c>
      <c r="D14" s="72">
        <v>12</v>
      </c>
      <c r="E14" s="70">
        <f t="shared" si="0"/>
        <v>300</v>
      </c>
      <c r="F14" s="68"/>
      <c r="I14" s="71" t="s">
        <v>17</v>
      </c>
      <c r="J14" s="70">
        <v>19.5</v>
      </c>
      <c r="K14" s="72">
        <f>12</f>
        <v>12</v>
      </c>
      <c r="L14" s="70">
        <f t="shared" si="1"/>
        <v>234</v>
      </c>
      <c r="N14" s="71" t="s">
        <v>113</v>
      </c>
      <c r="O14" s="70">
        <v>19.5</v>
      </c>
      <c r="P14" s="72">
        <v>15</v>
      </c>
      <c r="Q14" s="70">
        <f t="shared" si="2"/>
        <v>292.5</v>
      </c>
      <c r="R14" s="68"/>
    </row>
    <row r="15" spans="2:18" ht="21" x14ac:dyDescent="0.3">
      <c r="B15" s="71" t="s">
        <v>113</v>
      </c>
      <c r="C15" s="70">
        <v>26</v>
      </c>
      <c r="D15" s="72">
        <v>15</v>
      </c>
      <c r="E15" s="70">
        <f t="shared" si="0"/>
        <v>390</v>
      </c>
      <c r="F15" s="68"/>
      <c r="I15" s="71" t="s">
        <v>115</v>
      </c>
      <c r="J15" s="70">
        <v>4.2</v>
      </c>
      <c r="K15" s="70">
        <v>2.4</v>
      </c>
      <c r="L15" s="70">
        <f t="shared" si="1"/>
        <v>10.08</v>
      </c>
      <c r="N15" s="71" t="s">
        <v>31</v>
      </c>
      <c r="O15" s="70">
        <v>60</v>
      </c>
      <c r="P15" s="70">
        <v>0</v>
      </c>
      <c r="Q15" s="70">
        <f t="shared" si="2"/>
        <v>0</v>
      </c>
      <c r="R15" s="68"/>
    </row>
    <row r="16" spans="2:18" ht="21" x14ac:dyDescent="0.3">
      <c r="B16" s="71" t="s">
        <v>31</v>
      </c>
      <c r="C16" s="70">
        <v>99</v>
      </c>
      <c r="D16" s="70">
        <v>0</v>
      </c>
      <c r="E16" s="70">
        <f t="shared" si="0"/>
        <v>0</v>
      </c>
      <c r="F16" s="68"/>
      <c r="I16" s="71" t="s">
        <v>48</v>
      </c>
      <c r="J16" s="70">
        <v>1.5</v>
      </c>
      <c r="K16" s="72">
        <v>160</v>
      </c>
      <c r="L16" s="70">
        <f t="shared" si="1"/>
        <v>240</v>
      </c>
      <c r="N16" s="70" t="s">
        <v>50</v>
      </c>
      <c r="O16" s="70">
        <v>1.2</v>
      </c>
      <c r="P16" s="72">
        <v>100</v>
      </c>
      <c r="Q16" s="70">
        <f t="shared" si="2"/>
        <v>120</v>
      </c>
      <c r="R16" s="68"/>
    </row>
    <row r="17" spans="2:18" ht="21" x14ac:dyDescent="0.3">
      <c r="B17" s="70" t="s">
        <v>50</v>
      </c>
      <c r="C17" s="70">
        <v>2</v>
      </c>
      <c r="D17" s="72">
        <v>100</v>
      </c>
      <c r="E17" s="70">
        <f t="shared" si="0"/>
        <v>200</v>
      </c>
      <c r="F17" s="68"/>
      <c r="I17" s="71" t="s">
        <v>119</v>
      </c>
      <c r="J17" s="70">
        <v>0</v>
      </c>
      <c r="K17" s="70">
        <v>130</v>
      </c>
      <c r="L17" s="70">
        <f t="shared" si="1"/>
        <v>0</v>
      </c>
      <c r="N17" s="70" t="s">
        <v>160</v>
      </c>
      <c r="O17" s="70">
        <v>4.5</v>
      </c>
      <c r="P17" s="70">
        <v>160</v>
      </c>
      <c r="Q17" s="70">
        <f t="shared" si="2"/>
        <v>720</v>
      </c>
      <c r="R17" s="68"/>
    </row>
    <row r="18" spans="2:18" ht="21" x14ac:dyDescent="0.3">
      <c r="B18" s="70" t="s">
        <v>116</v>
      </c>
      <c r="C18" s="70">
        <v>0.09</v>
      </c>
      <c r="D18" s="70">
        <v>2500</v>
      </c>
      <c r="E18" s="70">
        <f t="shared" si="0"/>
        <v>225</v>
      </c>
      <c r="F18" s="68"/>
      <c r="I18" s="71" t="s">
        <v>121</v>
      </c>
      <c r="J18" s="70">
        <v>0.75</v>
      </c>
      <c r="K18" s="70">
        <v>65</v>
      </c>
      <c r="L18" s="70">
        <f t="shared" si="1"/>
        <v>48.75</v>
      </c>
      <c r="N18" s="70" t="s">
        <v>65</v>
      </c>
      <c r="O18" s="70">
        <v>0.75</v>
      </c>
      <c r="P18" s="70">
        <v>65</v>
      </c>
      <c r="Q18" s="70">
        <f t="shared" si="2"/>
        <v>48.75</v>
      </c>
      <c r="R18" s="68"/>
    </row>
    <row r="19" spans="2:18" ht="21" x14ac:dyDescent="0.3">
      <c r="B19" s="70" t="s">
        <v>118</v>
      </c>
      <c r="C19" s="70">
        <v>0.6</v>
      </c>
      <c r="D19" s="72">
        <v>70</v>
      </c>
      <c r="E19" s="70">
        <f t="shared" si="0"/>
        <v>42</v>
      </c>
      <c r="F19" s="68"/>
      <c r="I19" s="70" t="s">
        <v>50</v>
      </c>
      <c r="J19" s="70">
        <v>1.5</v>
      </c>
      <c r="K19" s="72">
        <v>100</v>
      </c>
      <c r="L19" s="70">
        <f t="shared" si="1"/>
        <v>150</v>
      </c>
      <c r="N19" s="70" t="s">
        <v>68</v>
      </c>
      <c r="O19" s="70">
        <v>0</v>
      </c>
      <c r="P19" s="70">
        <v>450</v>
      </c>
      <c r="Q19" s="70">
        <f t="shared" si="2"/>
        <v>0</v>
      </c>
      <c r="R19" s="68"/>
    </row>
    <row r="20" spans="2:18" ht="21" x14ac:dyDescent="0.3">
      <c r="B20" s="70" t="s">
        <v>120</v>
      </c>
      <c r="C20" s="70">
        <v>0.5</v>
      </c>
      <c r="D20" s="72">
        <v>65</v>
      </c>
      <c r="E20" s="70">
        <f t="shared" si="0"/>
        <v>32.5</v>
      </c>
      <c r="F20" s="68"/>
      <c r="I20" s="70" t="s">
        <v>62</v>
      </c>
      <c r="J20" s="70">
        <v>0</v>
      </c>
      <c r="K20" s="72">
        <v>400</v>
      </c>
      <c r="L20" s="70">
        <f t="shared" si="1"/>
        <v>0</v>
      </c>
      <c r="N20" s="70" t="s">
        <v>69</v>
      </c>
      <c r="O20" s="70">
        <v>0</v>
      </c>
      <c r="P20" s="70">
        <v>480</v>
      </c>
      <c r="Q20" s="70">
        <f t="shared" si="2"/>
        <v>0</v>
      </c>
      <c r="R20" s="68"/>
    </row>
    <row r="21" spans="2:18" ht="21" x14ac:dyDescent="0.3">
      <c r="B21" s="70" t="s">
        <v>54</v>
      </c>
      <c r="C21" s="70">
        <v>6.8</v>
      </c>
      <c r="D21" s="70">
        <v>2.4</v>
      </c>
      <c r="E21" s="70">
        <f t="shared" si="0"/>
        <v>16.32</v>
      </c>
      <c r="F21" s="68"/>
      <c r="I21" s="70" t="s">
        <v>58</v>
      </c>
      <c r="J21" s="70">
        <v>0.75</v>
      </c>
      <c r="K21" s="72">
        <v>230</v>
      </c>
      <c r="L21" s="70">
        <f t="shared" si="1"/>
        <v>172.5</v>
      </c>
      <c r="N21" s="70" t="s">
        <v>66</v>
      </c>
      <c r="O21" s="70">
        <v>0</v>
      </c>
      <c r="P21" s="70">
        <v>130</v>
      </c>
      <c r="Q21" s="70">
        <f t="shared" si="2"/>
        <v>0</v>
      </c>
      <c r="R21" s="68"/>
    </row>
    <row r="22" spans="2:18" ht="21" x14ac:dyDescent="0.3">
      <c r="B22" s="70" t="s">
        <v>122</v>
      </c>
      <c r="C22" s="70">
        <v>0.2</v>
      </c>
      <c r="D22" s="72">
        <v>1300</v>
      </c>
      <c r="E22" s="70">
        <f t="shared" si="0"/>
        <v>260</v>
      </c>
      <c r="F22" s="68"/>
      <c r="I22" s="70" t="s">
        <v>24</v>
      </c>
      <c r="J22" s="70">
        <v>4.5</v>
      </c>
      <c r="K22" s="72">
        <v>29</v>
      </c>
      <c r="L22" s="70">
        <f t="shared" si="1"/>
        <v>130.5</v>
      </c>
      <c r="N22" s="70" t="s">
        <v>48</v>
      </c>
      <c r="O22" s="70">
        <v>1.8</v>
      </c>
      <c r="P22" s="72">
        <v>1.6</v>
      </c>
      <c r="Q22" s="70">
        <f t="shared" si="2"/>
        <v>2.8800000000000003</v>
      </c>
      <c r="R22" s="68"/>
    </row>
    <row r="23" spans="2:18" ht="21" x14ac:dyDescent="0.3">
      <c r="B23" s="70" t="s">
        <v>52</v>
      </c>
      <c r="C23" s="70">
        <v>0.5</v>
      </c>
      <c r="D23" s="70">
        <v>190</v>
      </c>
      <c r="E23" s="70">
        <f t="shared" si="0"/>
        <v>95</v>
      </c>
      <c r="F23" s="68"/>
      <c r="I23" s="70" t="s">
        <v>77</v>
      </c>
      <c r="J23" s="70">
        <v>0.38</v>
      </c>
      <c r="K23" s="72">
        <v>120</v>
      </c>
      <c r="L23" s="70">
        <f t="shared" si="1"/>
        <v>45.6</v>
      </c>
      <c r="N23" s="70" t="s">
        <v>82</v>
      </c>
      <c r="O23" s="70">
        <v>0</v>
      </c>
      <c r="P23" s="70">
        <v>120</v>
      </c>
      <c r="Q23" s="70">
        <f t="shared" si="2"/>
        <v>0</v>
      </c>
      <c r="R23" s="68"/>
    </row>
    <row r="24" spans="2:18" ht="21" x14ac:dyDescent="0.3">
      <c r="B24" s="70" t="s">
        <v>55</v>
      </c>
      <c r="C24" s="70">
        <v>0.5</v>
      </c>
      <c r="D24" s="70">
        <v>310</v>
      </c>
      <c r="E24" s="70">
        <f t="shared" si="0"/>
        <v>155</v>
      </c>
      <c r="F24" s="68"/>
      <c r="I24" s="70" t="s">
        <v>82</v>
      </c>
      <c r="J24" s="70">
        <v>0.68888000000000005</v>
      </c>
      <c r="K24" s="72">
        <v>120</v>
      </c>
      <c r="L24" s="70">
        <f t="shared" si="1"/>
        <v>82.665600000000012</v>
      </c>
      <c r="N24" s="70" t="s">
        <v>120</v>
      </c>
      <c r="O24" s="70">
        <v>0.15</v>
      </c>
      <c r="P24" s="70">
        <v>65</v>
      </c>
      <c r="Q24" s="70">
        <f t="shared" si="2"/>
        <v>9.75</v>
      </c>
      <c r="R24" s="68"/>
    </row>
    <row r="25" spans="2:18" ht="21" x14ac:dyDescent="0.3">
      <c r="B25" s="70" t="s">
        <v>48</v>
      </c>
      <c r="C25" s="70">
        <v>2</v>
      </c>
      <c r="D25" s="72">
        <v>160</v>
      </c>
      <c r="E25" s="70">
        <f t="shared" si="0"/>
        <v>320</v>
      </c>
      <c r="F25" s="68"/>
      <c r="I25" s="70" t="s">
        <v>76</v>
      </c>
      <c r="J25" s="70">
        <v>0.6</v>
      </c>
      <c r="K25" s="70">
        <v>130</v>
      </c>
      <c r="L25" s="70">
        <f t="shared" si="1"/>
        <v>78</v>
      </c>
      <c r="N25" s="70" t="s">
        <v>54</v>
      </c>
      <c r="O25" s="70">
        <v>5.0999999999999996</v>
      </c>
      <c r="P25" s="70">
        <v>2.4</v>
      </c>
      <c r="Q25" s="70">
        <f t="shared" si="2"/>
        <v>12.239999999999998</v>
      </c>
      <c r="R25" s="68"/>
    </row>
    <row r="26" spans="2:18" ht="21" x14ac:dyDescent="0.3">
      <c r="B26" s="70" t="s">
        <v>124</v>
      </c>
      <c r="C26" s="70">
        <v>0.2</v>
      </c>
      <c r="D26" s="70">
        <v>190</v>
      </c>
      <c r="E26" s="70">
        <f t="shared" si="0"/>
        <v>38</v>
      </c>
      <c r="F26" s="68"/>
      <c r="I26" s="70" t="s">
        <v>75</v>
      </c>
      <c r="J26" s="70">
        <v>1.2</v>
      </c>
      <c r="K26" s="70">
        <v>70</v>
      </c>
      <c r="L26" s="70">
        <f t="shared" si="1"/>
        <v>84</v>
      </c>
      <c r="N26" s="70" t="s">
        <v>62</v>
      </c>
      <c r="O26" s="70">
        <v>1.5</v>
      </c>
      <c r="P26" s="70">
        <v>400</v>
      </c>
      <c r="Q26" s="70">
        <f t="shared" si="2"/>
        <v>600</v>
      </c>
      <c r="R26" s="68"/>
    </row>
    <row r="27" spans="2:18" ht="21" x14ac:dyDescent="0.3">
      <c r="B27" s="70" t="s">
        <v>72</v>
      </c>
      <c r="C27" s="70">
        <v>0.5</v>
      </c>
      <c r="D27" s="70">
        <v>295</v>
      </c>
      <c r="E27" s="70">
        <f t="shared" si="0"/>
        <v>147.5</v>
      </c>
      <c r="F27" s="68"/>
      <c r="I27" s="70" t="s">
        <v>249</v>
      </c>
      <c r="J27" s="70">
        <v>0.3</v>
      </c>
      <c r="K27" s="70">
        <v>285</v>
      </c>
      <c r="L27" s="70">
        <f t="shared" si="1"/>
        <v>85.5</v>
      </c>
      <c r="N27" s="70" t="s">
        <v>122</v>
      </c>
      <c r="O27" s="70">
        <v>0.12</v>
      </c>
      <c r="P27" s="70">
        <v>1300</v>
      </c>
      <c r="Q27" s="70">
        <f t="shared" si="2"/>
        <v>156</v>
      </c>
      <c r="R27" s="68"/>
    </row>
    <row r="28" spans="2:18" ht="21" x14ac:dyDescent="0.3">
      <c r="B28" s="70" t="s">
        <v>70</v>
      </c>
      <c r="C28" s="70">
        <v>0.5</v>
      </c>
      <c r="D28" s="70">
        <v>140</v>
      </c>
      <c r="E28" s="70">
        <f t="shared" si="0"/>
        <v>70</v>
      </c>
      <c r="F28" s="68"/>
      <c r="I28" s="70" t="s">
        <v>123</v>
      </c>
      <c r="J28" s="70">
        <v>0</v>
      </c>
      <c r="K28" s="70">
        <v>310</v>
      </c>
      <c r="L28" s="70">
        <f t="shared" si="1"/>
        <v>0</v>
      </c>
      <c r="N28" s="70" t="s">
        <v>128</v>
      </c>
      <c r="O28" s="70">
        <v>0.3</v>
      </c>
      <c r="P28" s="70">
        <v>130</v>
      </c>
      <c r="Q28" s="70">
        <f t="shared" si="2"/>
        <v>39</v>
      </c>
      <c r="R28" s="68"/>
    </row>
    <row r="29" spans="2:18" ht="21" x14ac:dyDescent="0.3">
      <c r="B29" s="70" t="s">
        <v>7</v>
      </c>
      <c r="C29" s="73">
        <f>SUM(C6:C28)</f>
        <v>394.39</v>
      </c>
      <c r="D29" s="70"/>
      <c r="E29" s="70">
        <f>SUM(E6:E28)</f>
        <v>9827.32</v>
      </c>
      <c r="F29" s="68"/>
      <c r="I29" s="70" t="s">
        <v>125</v>
      </c>
      <c r="J29" s="70">
        <v>0.04</v>
      </c>
      <c r="K29" s="70">
        <v>2500</v>
      </c>
      <c r="L29" s="70">
        <f t="shared" si="1"/>
        <v>100</v>
      </c>
      <c r="N29" s="70" t="s">
        <v>53</v>
      </c>
      <c r="O29" s="70">
        <v>0.75</v>
      </c>
      <c r="P29" s="70">
        <v>295</v>
      </c>
      <c r="Q29" s="70">
        <f t="shared" si="2"/>
        <v>221.25</v>
      </c>
      <c r="R29" s="68"/>
    </row>
    <row r="30" spans="2:18" ht="21" x14ac:dyDescent="0.3">
      <c r="B30" s="74" t="s">
        <v>127</v>
      </c>
      <c r="C30" s="62">
        <f>E29/C29</f>
        <v>24.917771748776591</v>
      </c>
      <c r="D30" s="62"/>
      <c r="E30" s="62">
        <f>213.6+E29</f>
        <v>10040.92</v>
      </c>
      <c r="F30" s="68"/>
      <c r="I30" s="70" t="s">
        <v>7</v>
      </c>
      <c r="J30" s="70">
        <f>SUM(J6:J29)</f>
        <v>228.65887999999998</v>
      </c>
      <c r="K30" s="70"/>
      <c r="L30" s="70">
        <f>SUM(L6:L29)</f>
        <v>6408.5956000000006</v>
      </c>
      <c r="N30" s="70" t="s">
        <v>256</v>
      </c>
      <c r="O30" s="70">
        <v>0.75</v>
      </c>
      <c r="P30" s="70">
        <v>190</v>
      </c>
      <c r="Q30" s="70">
        <f t="shared" si="2"/>
        <v>142.5</v>
      </c>
      <c r="R30" s="68"/>
    </row>
    <row r="31" spans="2:18" ht="21" x14ac:dyDescent="0.3">
      <c r="B31" s="66" t="s">
        <v>130</v>
      </c>
      <c r="C31" s="66" t="s">
        <v>154</v>
      </c>
      <c r="D31" s="66" t="s">
        <v>262</v>
      </c>
      <c r="E31" s="66" t="s">
        <v>102</v>
      </c>
      <c r="F31" s="68"/>
      <c r="I31" s="74" t="s">
        <v>127</v>
      </c>
      <c r="J31" s="62">
        <f>L30/J30</f>
        <v>28.026882664692494</v>
      </c>
      <c r="K31" s="62"/>
      <c r="L31" s="62"/>
      <c r="N31" s="70" t="s">
        <v>72</v>
      </c>
      <c r="O31" s="70">
        <v>1.2</v>
      </c>
      <c r="P31" s="70">
        <v>295</v>
      </c>
      <c r="Q31" s="70">
        <f t="shared" si="2"/>
        <v>354</v>
      </c>
      <c r="R31" s="68"/>
    </row>
    <row r="32" spans="2:18" ht="21" x14ac:dyDescent="0.3">
      <c r="B32" s="66" t="s">
        <v>247</v>
      </c>
      <c r="C32" s="66">
        <f>C30*0.4</f>
        <v>9.9671086995106375</v>
      </c>
      <c r="D32" s="66">
        <v>5.5</v>
      </c>
      <c r="E32" s="66">
        <f>C32+D32</f>
        <v>15.467108699510637</v>
      </c>
      <c r="F32" s="68"/>
      <c r="I32" s="75" t="s">
        <v>254</v>
      </c>
      <c r="J32" s="68">
        <f>250/15</f>
        <v>16.666666666666668</v>
      </c>
      <c r="K32" s="76"/>
      <c r="L32" s="68"/>
      <c r="N32" s="70" t="s">
        <v>55</v>
      </c>
      <c r="O32" s="70">
        <v>0.75</v>
      </c>
      <c r="P32" s="70">
        <v>310</v>
      </c>
      <c r="Q32" s="70">
        <f>O32*P32</f>
        <v>232.5</v>
      </c>
      <c r="R32" s="68"/>
    </row>
    <row r="33" spans="2:18" ht="21" x14ac:dyDescent="0.3">
      <c r="B33" s="66" t="s">
        <v>248</v>
      </c>
      <c r="C33" s="66">
        <f>C30*1</f>
        <v>24.917771748776591</v>
      </c>
      <c r="D33" s="66">
        <v>6.7</v>
      </c>
      <c r="E33" s="66">
        <f>C33+D33</f>
        <v>31.61777174877659</v>
      </c>
      <c r="F33" s="68"/>
      <c r="I33" s="75" t="s">
        <v>7</v>
      </c>
      <c r="J33" s="68">
        <f>J32+J31</f>
        <v>44.693549331359165</v>
      </c>
      <c r="K33" s="68"/>
      <c r="L33" s="68"/>
      <c r="N33" s="70" t="s">
        <v>117</v>
      </c>
      <c r="O33" s="70">
        <v>0.03</v>
      </c>
      <c r="P33" s="70">
        <v>2500</v>
      </c>
      <c r="Q33" s="70">
        <f>O33*P33</f>
        <v>75</v>
      </c>
      <c r="R33" s="68"/>
    </row>
    <row r="34" spans="2:18" ht="21" x14ac:dyDescent="0.3">
      <c r="B34" s="66"/>
      <c r="C34" s="66"/>
      <c r="D34" s="66"/>
      <c r="E34" s="66"/>
      <c r="F34" s="68"/>
      <c r="I34" s="66" t="s">
        <v>130</v>
      </c>
      <c r="J34" s="66" t="s">
        <v>153</v>
      </c>
      <c r="K34" s="66" t="s">
        <v>86</v>
      </c>
      <c r="L34" s="66" t="s">
        <v>102</v>
      </c>
      <c r="N34" s="70" t="s">
        <v>7</v>
      </c>
      <c r="O34" s="77">
        <f>SUM(O6:O33)</f>
        <v>365.4</v>
      </c>
      <c r="P34" s="70"/>
      <c r="Q34" s="70">
        <f>SUM(Q6:Q33)</f>
        <v>11166.869999999999</v>
      </c>
      <c r="R34" s="68"/>
    </row>
    <row r="35" spans="2:18" ht="21" x14ac:dyDescent="0.3">
      <c r="B35" s="68"/>
      <c r="C35" s="68"/>
      <c r="D35" s="68"/>
      <c r="E35" s="66"/>
      <c r="F35" s="68"/>
      <c r="I35" s="66" t="s">
        <v>250</v>
      </c>
      <c r="J35" s="66">
        <f>J33*0.3</f>
        <v>13.408064799407748</v>
      </c>
      <c r="K35" s="66">
        <v>5.2</v>
      </c>
      <c r="L35" s="66">
        <f>K35+J35</f>
        <v>18.608064799407749</v>
      </c>
      <c r="N35" s="74" t="s">
        <v>127</v>
      </c>
      <c r="O35" s="62">
        <f>Q34/O34</f>
        <v>30.560673234811166</v>
      </c>
      <c r="P35" s="62" t="s">
        <v>51</v>
      </c>
      <c r="Q35" s="62"/>
      <c r="R35" s="68"/>
    </row>
    <row r="36" spans="2:18" ht="21" x14ac:dyDescent="0.3">
      <c r="B36" s="68"/>
      <c r="C36" s="68"/>
      <c r="D36" s="68"/>
      <c r="E36" s="68"/>
      <c r="F36" s="68"/>
      <c r="I36" s="66" t="s">
        <v>251</v>
      </c>
      <c r="J36" s="66">
        <f>J33*0.7</f>
        <v>31.285484531951415</v>
      </c>
      <c r="K36" s="66">
        <v>7.2</v>
      </c>
      <c r="L36" s="66">
        <f>K36+J36</f>
        <v>38.485484531951414</v>
      </c>
      <c r="N36" s="68"/>
      <c r="O36" s="74"/>
      <c r="P36" s="62">
        <v>0</v>
      </c>
      <c r="Q36" s="62"/>
      <c r="R36" s="68"/>
    </row>
    <row r="37" spans="2:18" ht="21" x14ac:dyDescent="0.3">
      <c r="B37" s="68"/>
      <c r="C37" s="68"/>
      <c r="D37" s="68"/>
      <c r="E37" s="68"/>
      <c r="F37" s="68"/>
      <c r="I37" s="78" t="s">
        <v>252</v>
      </c>
      <c r="J37" s="78">
        <f>J33*5</f>
        <v>223.46774665679584</v>
      </c>
      <c r="K37" s="78">
        <v>14</v>
      </c>
      <c r="L37" s="66">
        <f>K37+J37</f>
        <v>237.46774665679584</v>
      </c>
      <c r="N37" s="68"/>
      <c r="O37" s="68"/>
      <c r="P37" s="68"/>
      <c r="Q37" s="68"/>
      <c r="R37" s="68"/>
    </row>
    <row r="38" spans="2:18" ht="21" x14ac:dyDescent="0.3">
      <c r="B38" s="68"/>
      <c r="C38" s="68"/>
      <c r="D38" s="68"/>
      <c r="E38" s="68"/>
      <c r="F38" s="68"/>
      <c r="I38" s="79"/>
      <c r="J38" s="79"/>
      <c r="K38" s="79"/>
      <c r="L38" s="66">
        <f>K38+J38</f>
        <v>0</v>
      </c>
      <c r="N38" s="66" t="s">
        <v>130</v>
      </c>
      <c r="O38" s="66" t="s">
        <v>154</v>
      </c>
      <c r="P38" s="66" t="s">
        <v>86</v>
      </c>
      <c r="Q38" s="66" t="s">
        <v>102</v>
      </c>
      <c r="R38" s="68"/>
    </row>
    <row r="39" spans="2:18" ht="21" x14ac:dyDescent="0.3">
      <c r="I39" s="80"/>
      <c r="J39" s="80"/>
      <c r="L39" s="59">
        <f>K39+J39</f>
        <v>0</v>
      </c>
      <c r="N39" s="66" t="s">
        <v>253</v>
      </c>
      <c r="O39" s="66">
        <f>O35*0.35</f>
        <v>10.696235632183907</v>
      </c>
      <c r="P39" s="66">
        <v>5.5</v>
      </c>
      <c r="Q39" s="66">
        <f>P39+O39</f>
        <v>16.196235632183907</v>
      </c>
      <c r="R39" s="68"/>
    </row>
    <row r="40" spans="2:18" ht="21" x14ac:dyDescent="0.3">
      <c r="N40" s="66" t="s">
        <v>244</v>
      </c>
      <c r="O40" s="66">
        <f>O35*0.9</f>
        <v>27.504605911330049</v>
      </c>
      <c r="P40" s="66">
        <v>7.2</v>
      </c>
      <c r="Q40" s="66">
        <f>P40+O40</f>
        <v>34.704605911330049</v>
      </c>
      <c r="R40" s="68"/>
    </row>
    <row r="41" spans="2:18" ht="21" x14ac:dyDescent="0.3">
      <c r="N41" s="66"/>
      <c r="O41" s="66">
        <f>R34*5</f>
        <v>0</v>
      </c>
      <c r="P41" s="66"/>
      <c r="Q41" s="66">
        <f>P41+O41</f>
        <v>0</v>
      </c>
      <c r="R41" s="68"/>
    </row>
    <row r="42" spans="2:18" ht="21" x14ac:dyDescent="0.3">
      <c r="N42" s="66"/>
      <c r="O42" s="66"/>
      <c r="P42" s="66">
        <f>K53</f>
        <v>0</v>
      </c>
      <c r="Q42" s="66">
        <f>P42+O42</f>
        <v>0</v>
      </c>
      <c r="R42" s="68"/>
    </row>
    <row r="43" spans="2:18" ht="21" x14ac:dyDescent="0.3">
      <c r="N43" s="66"/>
      <c r="O43" s="66"/>
      <c r="P43" s="66"/>
      <c r="Q43" s="66"/>
      <c r="R43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J4:M29"/>
  <sheetViews>
    <sheetView topLeftCell="H1" zoomScale="51" workbookViewId="0">
      <selection activeCell="N6" sqref="I6:N24"/>
    </sheetView>
  </sheetViews>
  <sheetFormatPr defaultColWidth="9.01171875" defaultRowHeight="15" x14ac:dyDescent="0.2"/>
  <cols>
    <col min="11" max="11" width="7.3984375" bestFit="1" customWidth="1"/>
    <col min="12" max="12" width="22.46484375" bestFit="1" customWidth="1"/>
  </cols>
  <sheetData>
    <row r="4" spans="10:13" ht="23.25" x14ac:dyDescent="0.3">
      <c r="J4" s="5"/>
      <c r="K4" s="5"/>
      <c r="L4" s="5"/>
      <c r="M4" s="5"/>
    </row>
    <row r="5" spans="10:13" ht="23.25" x14ac:dyDescent="0.3">
      <c r="J5" s="5"/>
      <c r="K5" s="5"/>
      <c r="L5" s="5"/>
      <c r="M5" s="5"/>
    </row>
    <row r="6" spans="10:13" ht="23.25" x14ac:dyDescent="0.3">
      <c r="J6" s="5"/>
      <c r="K6" s="5" t="s">
        <v>223</v>
      </c>
      <c r="L6" s="5" t="s">
        <v>222</v>
      </c>
      <c r="M6" s="5"/>
    </row>
    <row r="7" spans="10:13" ht="23.25" x14ac:dyDescent="0.3">
      <c r="J7" s="5"/>
      <c r="K7" s="5">
        <v>31</v>
      </c>
      <c r="L7" s="5" t="s">
        <v>224</v>
      </c>
      <c r="M7" s="5"/>
    </row>
    <row r="8" spans="10:13" ht="23.25" x14ac:dyDescent="0.3">
      <c r="J8" s="5"/>
      <c r="K8" s="5">
        <v>27</v>
      </c>
      <c r="L8" s="5" t="s">
        <v>30</v>
      </c>
      <c r="M8" s="5"/>
    </row>
    <row r="9" spans="10:13" ht="23.25" x14ac:dyDescent="0.3">
      <c r="J9" s="5"/>
      <c r="K9" s="5">
        <v>925</v>
      </c>
      <c r="L9" s="5" t="s">
        <v>225</v>
      </c>
      <c r="M9" s="5"/>
    </row>
    <row r="10" spans="10:13" ht="23.25" x14ac:dyDescent="0.3">
      <c r="J10" s="5"/>
      <c r="K10" s="5">
        <v>30</v>
      </c>
      <c r="L10" s="5" t="s">
        <v>226</v>
      </c>
      <c r="M10" s="5"/>
    </row>
    <row r="11" spans="10:13" ht="23.25" x14ac:dyDescent="0.3">
      <c r="J11" s="5"/>
      <c r="K11" s="5">
        <v>34</v>
      </c>
      <c r="L11" s="5" t="s">
        <v>227</v>
      </c>
      <c r="M11" s="5"/>
    </row>
    <row r="12" spans="10:13" ht="23.25" x14ac:dyDescent="0.3">
      <c r="J12" s="5"/>
      <c r="K12" s="5">
        <v>14</v>
      </c>
      <c r="L12" s="5" t="s">
        <v>228</v>
      </c>
      <c r="M12" s="5"/>
    </row>
    <row r="13" spans="10:13" ht="23.25" x14ac:dyDescent="0.3">
      <c r="J13" s="5"/>
      <c r="K13" s="5">
        <v>27</v>
      </c>
      <c r="L13" s="5" t="s">
        <v>229</v>
      </c>
      <c r="M13" s="5"/>
    </row>
    <row r="14" spans="10:13" ht="23.25" x14ac:dyDescent="0.3">
      <c r="J14" s="5"/>
      <c r="K14" s="5">
        <v>260</v>
      </c>
      <c r="L14" s="5" t="s">
        <v>230</v>
      </c>
      <c r="M14" s="5"/>
    </row>
    <row r="15" spans="10:13" ht="23.25" x14ac:dyDescent="0.3">
      <c r="J15" s="5"/>
      <c r="K15" s="5">
        <v>220</v>
      </c>
      <c r="L15" s="5" t="s">
        <v>231</v>
      </c>
      <c r="M15" s="5"/>
    </row>
    <row r="16" spans="10:13" ht="23.25" x14ac:dyDescent="0.3">
      <c r="J16" s="5"/>
      <c r="K16" s="5">
        <v>125</v>
      </c>
      <c r="L16" s="5" t="s">
        <v>171</v>
      </c>
      <c r="M16" s="5"/>
    </row>
    <row r="17" spans="10:13" ht="23.25" x14ac:dyDescent="0.3">
      <c r="J17" s="5"/>
      <c r="K17" s="5">
        <v>175</v>
      </c>
      <c r="L17" s="5" t="s">
        <v>232</v>
      </c>
      <c r="M17" s="5"/>
    </row>
    <row r="18" spans="10:13" ht="23.25" x14ac:dyDescent="0.3">
      <c r="J18" s="5"/>
      <c r="K18" s="5">
        <v>60</v>
      </c>
      <c r="L18" s="5" t="s">
        <v>176</v>
      </c>
      <c r="M18" s="5"/>
    </row>
    <row r="19" spans="10:13" ht="23.25" x14ac:dyDescent="0.3">
      <c r="J19" s="5"/>
      <c r="K19" s="5">
        <v>1.6</v>
      </c>
      <c r="L19" s="5" t="s">
        <v>115</v>
      </c>
      <c r="M19" s="5"/>
    </row>
    <row r="20" spans="10:13" ht="23.25" x14ac:dyDescent="0.3">
      <c r="J20" s="5"/>
      <c r="K20" s="5">
        <v>520</v>
      </c>
      <c r="L20" s="5" t="s">
        <v>170</v>
      </c>
      <c r="M20" s="5"/>
    </row>
    <row r="21" spans="10:13" ht="23.25" x14ac:dyDescent="0.3">
      <c r="J21" s="5"/>
      <c r="K21" s="5"/>
      <c r="L21" s="5" t="s">
        <v>233</v>
      </c>
      <c r="M21" s="5"/>
    </row>
    <row r="22" spans="10:13" ht="23.25" x14ac:dyDescent="0.3">
      <c r="J22" s="5"/>
      <c r="K22" s="5">
        <v>95</v>
      </c>
      <c r="L22" s="5" t="s">
        <v>234</v>
      </c>
      <c r="M22" s="5"/>
    </row>
    <row r="23" spans="10:13" ht="23.25" x14ac:dyDescent="0.3">
      <c r="J23" s="5"/>
      <c r="K23" s="5"/>
      <c r="L23" s="5" t="s">
        <v>235</v>
      </c>
      <c r="M23" s="5"/>
    </row>
    <row r="24" spans="10:13" ht="23.25" x14ac:dyDescent="0.3">
      <c r="J24" s="5"/>
      <c r="K24" s="5">
        <v>105</v>
      </c>
      <c r="L24" s="5" t="s">
        <v>236</v>
      </c>
      <c r="M24" s="5"/>
    </row>
    <row r="25" spans="10:13" ht="23.25" x14ac:dyDescent="0.3">
      <c r="J25" s="5"/>
      <c r="K25" s="5"/>
      <c r="L25" s="5"/>
      <c r="M25" s="5"/>
    </row>
    <row r="26" spans="10:13" ht="23.25" x14ac:dyDescent="0.3">
      <c r="J26" s="5"/>
      <c r="K26" s="5"/>
      <c r="L26" s="5"/>
      <c r="M26" s="5"/>
    </row>
    <row r="27" spans="10:13" ht="23.25" x14ac:dyDescent="0.3">
      <c r="J27" s="5"/>
      <c r="K27" s="5"/>
      <c r="L27" s="5"/>
      <c r="M27" s="5"/>
    </row>
    <row r="28" spans="10:13" ht="23.25" x14ac:dyDescent="0.3">
      <c r="J28" s="5"/>
      <c r="K28" s="5"/>
      <c r="L28" s="5"/>
      <c r="M28" s="5"/>
    </row>
    <row r="29" spans="10:13" ht="23.25" x14ac:dyDescent="0.3">
      <c r="J29" s="5"/>
      <c r="K29" s="5"/>
      <c r="L29" s="5"/>
      <c r="M29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C7:P98"/>
  <sheetViews>
    <sheetView zoomScale="30" workbookViewId="0">
      <selection activeCell="E28" sqref="E28"/>
    </sheetView>
  </sheetViews>
  <sheetFormatPr defaultColWidth="9.01171875" defaultRowHeight="21" x14ac:dyDescent="0.3"/>
  <cols>
    <col min="3" max="3" width="15.33203125" bestFit="1" customWidth="1"/>
    <col min="5" max="5" width="13.44921875" style="62" bestFit="1" customWidth="1"/>
    <col min="6" max="6" width="18.5625" style="62" bestFit="1" customWidth="1"/>
    <col min="7" max="7" width="12.375" bestFit="1" customWidth="1"/>
    <col min="10" max="10" width="24.2109375" bestFit="1" customWidth="1"/>
    <col min="11" max="11" width="12.375" bestFit="1" customWidth="1"/>
    <col min="12" max="12" width="12.23828125" bestFit="1" customWidth="1"/>
    <col min="14" max="14" width="9.14453125" style="81"/>
    <col min="15" max="15" width="27.44140625" style="81" bestFit="1" customWidth="1"/>
    <col min="16" max="16" width="12.375" bestFit="1" customWidth="1"/>
  </cols>
  <sheetData>
    <row r="7" spans="5:15" ht="25.5" x14ac:dyDescent="0.35">
      <c r="E7" s="145" t="s">
        <v>196</v>
      </c>
      <c r="F7" s="146"/>
      <c r="N7" s="144"/>
      <c r="O7" s="144"/>
    </row>
    <row r="8" spans="5:15" ht="25.5" x14ac:dyDescent="0.35">
      <c r="E8" s="66" t="s">
        <v>165</v>
      </c>
      <c r="F8" s="82" t="s">
        <v>4</v>
      </c>
      <c r="N8" s="83"/>
      <c r="O8" s="84"/>
    </row>
    <row r="9" spans="5:15" ht="25.5" x14ac:dyDescent="0.35">
      <c r="E9" s="66">
        <v>105</v>
      </c>
      <c r="F9" s="85" t="s">
        <v>29</v>
      </c>
      <c r="N9" s="83"/>
      <c r="O9" s="86"/>
    </row>
    <row r="10" spans="5:15" ht="25.5" x14ac:dyDescent="0.35">
      <c r="E10" s="66">
        <v>18</v>
      </c>
      <c r="F10" s="85" t="s">
        <v>18</v>
      </c>
      <c r="N10" s="83"/>
      <c r="O10" s="86"/>
    </row>
    <row r="11" spans="5:15" ht="25.5" x14ac:dyDescent="0.35">
      <c r="E11" s="66">
        <v>48</v>
      </c>
      <c r="F11" s="85" t="s">
        <v>155</v>
      </c>
      <c r="N11" s="83"/>
      <c r="O11" s="87"/>
    </row>
    <row r="12" spans="5:15" ht="25.5" x14ac:dyDescent="0.35">
      <c r="E12" s="66">
        <v>19.5</v>
      </c>
      <c r="F12" s="85" t="s">
        <v>12</v>
      </c>
      <c r="N12" s="83"/>
      <c r="O12" s="87"/>
    </row>
    <row r="13" spans="5:15" ht="40.5" x14ac:dyDescent="0.35">
      <c r="E13" s="66">
        <v>10.5</v>
      </c>
      <c r="F13" s="88" t="s">
        <v>110</v>
      </c>
      <c r="N13" s="83"/>
      <c r="O13" s="87"/>
    </row>
    <row r="14" spans="5:15" ht="40.5" x14ac:dyDescent="0.35">
      <c r="E14" s="66">
        <v>7.5</v>
      </c>
      <c r="F14" s="88" t="s">
        <v>156</v>
      </c>
      <c r="N14" s="83"/>
      <c r="O14" s="87"/>
    </row>
    <row r="15" spans="5:15" ht="25.5" x14ac:dyDescent="0.35">
      <c r="E15" s="66">
        <v>7.5</v>
      </c>
      <c r="F15" s="85" t="s">
        <v>157</v>
      </c>
      <c r="N15" s="83"/>
      <c r="O15" s="87"/>
    </row>
    <row r="16" spans="5:15" ht="25.5" x14ac:dyDescent="0.35">
      <c r="E16" s="66">
        <v>4.5</v>
      </c>
      <c r="F16" s="85" t="s">
        <v>22</v>
      </c>
      <c r="N16" s="83"/>
      <c r="O16" s="87"/>
    </row>
    <row r="17" spans="5:16" ht="25.5" x14ac:dyDescent="0.35">
      <c r="E17" s="66">
        <v>4.2</v>
      </c>
      <c r="F17" s="85" t="s">
        <v>54</v>
      </c>
      <c r="N17" s="83"/>
      <c r="O17" s="87"/>
    </row>
    <row r="18" spans="5:16" ht="25.5" x14ac:dyDescent="0.35">
      <c r="E18" s="66">
        <v>1.5</v>
      </c>
      <c r="F18" s="85" t="s">
        <v>48</v>
      </c>
      <c r="N18" s="83"/>
      <c r="O18" s="87"/>
    </row>
    <row r="19" spans="5:16" ht="25.5" x14ac:dyDescent="0.35">
      <c r="E19" s="66">
        <v>1.5</v>
      </c>
      <c r="F19" s="89" t="s">
        <v>50</v>
      </c>
      <c r="N19" s="83"/>
      <c r="O19" s="87"/>
    </row>
    <row r="20" spans="5:16" x14ac:dyDescent="0.3">
      <c r="E20" s="66">
        <v>7.4999999999999997E-2</v>
      </c>
      <c r="F20" s="89" t="s">
        <v>117</v>
      </c>
    </row>
    <row r="21" spans="5:16" x14ac:dyDescent="0.3">
      <c r="E21" s="66">
        <v>1.2</v>
      </c>
      <c r="F21" s="89" t="s">
        <v>65</v>
      </c>
    </row>
    <row r="22" spans="5:16" x14ac:dyDescent="0.3">
      <c r="E22" s="66">
        <v>0.75</v>
      </c>
      <c r="F22" s="89" t="s">
        <v>58</v>
      </c>
    </row>
    <row r="23" spans="5:16" x14ac:dyDescent="0.3">
      <c r="E23" s="66">
        <v>0.75</v>
      </c>
      <c r="F23" s="89" t="s">
        <v>120</v>
      </c>
    </row>
    <row r="24" spans="5:16" x14ac:dyDescent="0.3">
      <c r="E24" s="66">
        <v>0.6</v>
      </c>
      <c r="F24" s="89" t="s">
        <v>66</v>
      </c>
    </row>
    <row r="25" spans="5:16" ht="22.5" customHeight="1" x14ac:dyDescent="0.35">
      <c r="E25" s="66">
        <v>0.67499999999999993</v>
      </c>
      <c r="F25" s="89" t="s">
        <v>82</v>
      </c>
      <c r="N25" s="147" t="s">
        <v>197</v>
      </c>
      <c r="O25" s="147"/>
      <c r="P25" s="147"/>
    </row>
    <row r="26" spans="5:16" x14ac:dyDescent="0.3">
      <c r="E26" s="66">
        <v>0.375</v>
      </c>
      <c r="F26" s="89" t="s">
        <v>77</v>
      </c>
    </row>
    <row r="27" spans="5:16" ht="31.5" x14ac:dyDescent="0.45">
      <c r="E27" s="66">
        <v>0.3</v>
      </c>
      <c r="F27" s="89" t="s">
        <v>158</v>
      </c>
      <c r="O27" s="90" t="s">
        <v>4</v>
      </c>
      <c r="P27" s="91" t="s">
        <v>8</v>
      </c>
    </row>
    <row r="28" spans="5:16" ht="31.5" x14ac:dyDescent="0.45">
      <c r="E28" s="66">
        <v>232.42499999999998</v>
      </c>
      <c r="F28" s="89" t="s">
        <v>102</v>
      </c>
      <c r="O28" s="92" t="s">
        <v>29</v>
      </c>
      <c r="P28" s="91">
        <v>80</v>
      </c>
    </row>
    <row r="29" spans="5:16" ht="31.5" x14ac:dyDescent="0.45">
      <c r="O29" s="92" t="s">
        <v>16</v>
      </c>
      <c r="P29" s="91">
        <v>28</v>
      </c>
    </row>
    <row r="30" spans="5:16" ht="31.5" x14ac:dyDescent="0.45">
      <c r="O30" s="92" t="s">
        <v>107</v>
      </c>
      <c r="P30" s="91">
        <v>25</v>
      </c>
    </row>
    <row r="31" spans="5:16" ht="31.5" x14ac:dyDescent="0.45">
      <c r="O31" s="92" t="s">
        <v>18</v>
      </c>
      <c r="P31" s="91">
        <v>43</v>
      </c>
    </row>
    <row r="32" spans="5:16" ht="31.5" x14ac:dyDescent="0.45">
      <c r="O32" s="92" t="s">
        <v>108</v>
      </c>
      <c r="P32" s="91">
        <v>2</v>
      </c>
    </row>
    <row r="33" spans="3:16" ht="31.5" x14ac:dyDescent="0.45">
      <c r="O33" s="92" t="s">
        <v>110</v>
      </c>
      <c r="P33" s="91">
        <v>28</v>
      </c>
    </row>
    <row r="34" spans="3:16" ht="31.5" x14ac:dyDescent="0.45">
      <c r="O34" s="92" t="s">
        <v>26</v>
      </c>
      <c r="P34" s="91">
        <v>24</v>
      </c>
    </row>
    <row r="35" spans="3:16" ht="31.5" x14ac:dyDescent="0.45">
      <c r="O35" s="92" t="s">
        <v>112</v>
      </c>
      <c r="P35" s="91">
        <v>0</v>
      </c>
    </row>
    <row r="36" spans="3:16" ht="31.5" x14ac:dyDescent="0.45">
      <c r="O36" s="92" t="s">
        <v>17</v>
      </c>
      <c r="P36" s="91">
        <v>25</v>
      </c>
    </row>
    <row r="37" spans="3:16" ht="31.5" x14ac:dyDescent="0.45">
      <c r="C37" s="39" t="s">
        <v>4</v>
      </c>
      <c r="D37" s="40" t="s">
        <v>8</v>
      </c>
      <c r="G37" s="93" t="s">
        <v>4</v>
      </c>
      <c r="H37" s="94" t="s">
        <v>8</v>
      </c>
      <c r="O37" s="92" t="s">
        <v>113</v>
      </c>
      <c r="P37" s="91">
        <v>26</v>
      </c>
    </row>
    <row r="38" spans="3:16" ht="31.5" x14ac:dyDescent="0.45">
      <c r="C38" s="39"/>
      <c r="D38" s="40"/>
      <c r="G38" s="95" t="s">
        <v>29</v>
      </c>
      <c r="H38" s="94">
        <v>7</v>
      </c>
      <c r="O38" s="92" t="s">
        <v>31</v>
      </c>
      <c r="P38" s="91">
        <v>99</v>
      </c>
    </row>
    <row r="39" spans="3:16" ht="23.25" x14ac:dyDescent="0.3">
      <c r="C39" s="39" t="s">
        <v>114</v>
      </c>
      <c r="D39" s="40">
        <v>5</v>
      </c>
      <c r="E39" s="62">
        <f>D39*4</f>
        <v>20</v>
      </c>
      <c r="G39" s="95" t="s">
        <v>18</v>
      </c>
      <c r="H39" s="94">
        <v>1.2</v>
      </c>
    </row>
    <row r="40" spans="3:16" ht="23.25" x14ac:dyDescent="0.3">
      <c r="C40" s="42" t="s">
        <v>29</v>
      </c>
      <c r="D40" s="43">
        <v>30</v>
      </c>
      <c r="E40" s="62">
        <f t="shared" ref="E40:E60" si="0">D40*4</f>
        <v>120</v>
      </c>
      <c r="G40" s="95" t="s">
        <v>21</v>
      </c>
      <c r="H40" s="94">
        <v>1</v>
      </c>
    </row>
    <row r="41" spans="3:16" ht="23.25" x14ac:dyDescent="0.3">
      <c r="C41" s="42" t="s">
        <v>16</v>
      </c>
      <c r="D41" s="43">
        <v>15</v>
      </c>
      <c r="E41" s="62">
        <f t="shared" si="0"/>
        <v>60</v>
      </c>
      <c r="G41" s="95" t="s">
        <v>155</v>
      </c>
      <c r="H41" s="94">
        <v>4.2</v>
      </c>
    </row>
    <row r="42" spans="3:16" ht="23.25" x14ac:dyDescent="0.3">
      <c r="C42" s="42" t="s">
        <v>109</v>
      </c>
      <c r="D42" s="43">
        <v>5</v>
      </c>
      <c r="E42" s="62">
        <f t="shared" si="0"/>
        <v>20</v>
      </c>
      <c r="G42" s="95" t="s">
        <v>12</v>
      </c>
      <c r="H42" s="94">
        <v>1.3</v>
      </c>
    </row>
    <row r="43" spans="3:16" ht="45" x14ac:dyDescent="0.3">
      <c r="C43" s="42" t="s">
        <v>111</v>
      </c>
      <c r="D43" s="43">
        <v>23</v>
      </c>
      <c r="E43" s="62">
        <f t="shared" si="0"/>
        <v>92</v>
      </c>
      <c r="G43" s="96" t="s">
        <v>110</v>
      </c>
      <c r="H43" s="94">
        <v>0.7</v>
      </c>
    </row>
    <row r="44" spans="3:16" ht="23.25" x14ac:dyDescent="0.3">
      <c r="C44" s="42" t="s">
        <v>18</v>
      </c>
      <c r="D44" s="43">
        <v>9</v>
      </c>
      <c r="E44" s="62">
        <f t="shared" si="0"/>
        <v>36</v>
      </c>
      <c r="G44" s="96" t="s">
        <v>112</v>
      </c>
      <c r="H44" s="94">
        <v>0.5</v>
      </c>
    </row>
    <row r="45" spans="3:16" ht="23.25" x14ac:dyDescent="0.3">
      <c r="C45" s="42" t="s">
        <v>113</v>
      </c>
      <c r="D45" s="43">
        <v>3</v>
      </c>
      <c r="E45" s="62">
        <f t="shared" si="0"/>
        <v>12</v>
      </c>
      <c r="G45" s="95" t="s">
        <v>157</v>
      </c>
      <c r="H45" s="94">
        <v>0.5</v>
      </c>
    </row>
    <row r="46" spans="3:16" ht="23.25" x14ac:dyDescent="0.3">
      <c r="C46" s="42" t="s">
        <v>160</v>
      </c>
      <c r="D46" s="43">
        <v>1</v>
      </c>
      <c r="E46" s="62">
        <f t="shared" si="0"/>
        <v>4</v>
      </c>
      <c r="G46" s="95" t="s">
        <v>22</v>
      </c>
      <c r="H46" s="94">
        <v>0.3</v>
      </c>
    </row>
    <row r="47" spans="3:16" ht="23.25" x14ac:dyDescent="0.3">
      <c r="C47" s="42" t="s">
        <v>26</v>
      </c>
      <c r="D47" s="43">
        <v>3</v>
      </c>
      <c r="E47" s="62">
        <f t="shared" si="0"/>
        <v>12</v>
      </c>
    </row>
    <row r="48" spans="3:16" ht="23.25" x14ac:dyDescent="0.3">
      <c r="C48" s="42" t="s">
        <v>17</v>
      </c>
      <c r="D48" s="43">
        <v>7</v>
      </c>
      <c r="E48" s="62">
        <f t="shared" si="0"/>
        <v>28</v>
      </c>
    </row>
    <row r="49" spans="3:7" ht="23.25" x14ac:dyDescent="0.3">
      <c r="C49" s="42" t="s">
        <v>115</v>
      </c>
      <c r="D49" s="40">
        <v>1.7</v>
      </c>
      <c r="E49" s="62">
        <f t="shared" si="0"/>
        <v>6.8</v>
      </c>
    </row>
    <row r="50" spans="3:7" ht="23.25" x14ac:dyDescent="0.3">
      <c r="C50" s="42" t="s">
        <v>48</v>
      </c>
      <c r="D50" s="40">
        <v>0.5</v>
      </c>
      <c r="E50" s="62">
        <f t="shared" si="0"/>
        <v>2</v>
      </c>
    </row>
    <row r="51" spans="3:7" ht="23.25" x14ac:dyDescent="0.3">
      <c r="C51" s="42" t="s">
        <v>119</v>
      </c>
      <c r="D51" s="40">
        <v>0.06</v>
      </c>
      <c r="E51" s="62">
        <f t="shared" si="0"/>
        <v>0.24</v>
      </c>
      <c r="F51" s="97" t="s">
        <v>4</v>
      </c>
      <c r="G51" s="98" t="s">
        <v>8</v>
      </c>
    </row>
    <row r="52" spans="3:7" ht="23.25" x14ac:dyDescent="0.3">
      <c r="C52" s="42" t="s">
        <v>121</v>
      </c>
      <c r="D52" s="40">
        <v>0.1</v>
      </c>
      <c r="E52" s="62">
        <f t="shared" si="0"/>
        <v>0.4</v>
      </c>
      <c r="F52" s="97" t="s">
        <v>114</v>
      </c>
      <c r="G52" s="99">
        <v>20</v>
      </c>
    </row>
    <row r="53" spans="3:7" ht="23.25" x14ac:dyDescent="0.3">
      <c r="C53" s="40" t="s">
        <v>50</v>
      </c>
      <c r="D53" s="40">
        <v>0.5</v>
      </c>
      <c r="E53" s="62">
        <f t="shared" si="0"/>
        <v>2</v>
      </c>
      <c r="F53" s="100" t="s">
        <v>29</v>
      </c>
      <c r="G53" s="99">
        <v>120</v>
      </c>
    </row>
    <row r="54" spans="3:7" ht="23.25" x14ac:dyDescent="0.3">
      <c r="C54" s="40" t="s">
        <v>76</v>
      </c>
      <c r="D54" s="40">
        <v>0.15</v>
      </c>
      <c r="E54" s="62">
        <f t="shared" si="0"/>
        <v>0.6</v>
      </c>
      <c r="F54" s="100" t="s">
        <v>16</v>
      </c>
      <c r="G54" s="99">
        <v>60</v>
      </c>
    </row>
    <row r="55" spans="3:7" ht="23.25" x14ac:dyDescent="0.3">
      <c r="C55" s="40" t="s">
        <v>75</v>
      </c>
      <c r="D55" s="40">
        <v>0.17</v>
      </c>
      <c r="E55" s="62">
        <f t="shared" si="0"/>
        <v>0.68</v>
      </c>
      <c r="F55" s="100" t="s">
        <v>109</v>
      </c>
      <c r="G55" s="99">
        <v>20</v>
      </c>
    </row>
    <row r="56" spans="3:7" ht="23.25" x14ac:dyDescent="0.3">
      <c r="C56" s="40" t="s">
        <v>53</v>
      </c>
      <c r="D56" s="40">
        <v>0.4</v>
      </c>
      <c r="E56" s="62">
        <f t="shared" si="0"/>
        <v>1.6</v>
      </c>
      <c r="F56" s="100" t="s">
        <v>111</v>
      </c>
      <c r="G56" s="99">
        <v>92</v>
      </c>
    </row>
    <row r="57" spans="3:7" ht="23.25" x14ac:dyDescent="0.3">
      <c r="C57" s="40" t="s">
        <v>123</v>
      </c>
      <c r="D57" s="40">
        <v>0.4</v>
      </c>
      <c r="E57" s="62">
        <f t="shared" si="0"/>
        <v>1.6</v>
      </c>
      <c r="F57" s="100" t="s">
        <v>18</v>
      </c>
      <c r="G57" s="99">
        <v>36</v>
      </c>
    </row>
    <row r="58" spans="3:7" ht="23.25" x14ac:dyDescent="0.3">
      <c r="C58" s="39" t="s">
        <v>62</v>
      </c>
      <c r="D58" s="40">
        <v>0.4</v>
      </c>
      <c r="E58" s="62">
        <f t="shared" si="0"/>
        <v>1.6</v>
      </c>
      <c r="F58" s="100" t="s">
        <v>113</v>
      </c>
      <c r="G58" s="99">
        <v>12</v>
      </c>
    </row>
    <row r="59" spans="3:7" ht="23.25" x14ac:dyDescent="0.3">
      <c r="C59" s="40" t="s">
        <v>125</v>
      </c>
      <c r="D59" s="40">
        <v>0.01</v>
      </c>
      <c r="E59" s="62">
        <f t="shared" si="0"/>
        <v>0.04</v>
      </c>
      <c r="F59" s="100" t="s">
        <v>160</v>
      </c>
      <c r="G59" s="99">
        <v>4</v>
      </c>
    </row>
    <row r="60" spans="3:7" ht="23.25" x14ac:dyDescent="0.3">
      <c r="C60" s="40" t="s">
        <v>7</v>
      </c>
      <c r="D60" s="44">
        <f>SUM(D39:D59)</f>
        <v>105.39000000000003</v>
      </c>
      <c r="E60" s="62">
        <f t="shared" si="0"/>
        <v>421.56000000000012</v>
      </c>
      <c r="F60" s="100" t="s">
        <v>26</v>
      </c>
      <c r="G60" s="99">
        <v>12</v>
      </c>
    </row>
    <row r="61" spans="3:7" ht="23.25" x14ac:dyDescent="0.3">
      <c r="C61" s="55" t="s">
        <v>127</v>
      </c>
      <c r="D61" s="56" t="e">
        <f>F60/D60</f>
        <v>#VALUE!</v>
      </c>
      <c r="F61" s="100" t="s">
        <v>17</v>
      </c>
      <c r="G61" s="99">
        <v>28</v>
      </c>
    </row>
    <row r="67" spans="4:14" ht="31.5" x14ac:dyDescent="0.45">
      <c r="D67" s="63"/>
      <c r="E67" s="63"/>
      <c r="F67" s="63"/>
      <c r="G67" s="63"/>
      <c r="H67" s="63"/>
      <c r="I67" s="63"/>
    </row>
    <row r="68" spans="4:14" ht="31.5" x14ac:dyDescent="0.45">
      <c r="D68" s="63"/>
      <c r="E68" s="63"/>
      <c r="F68" s="63"/>
      <c r="G68" s="63"/>
      <c r="H68" s="63"/>
      <c r="I68" s="63"/>
    </row>
    <row r="69" spans="4:14" ht="31.5" x14ac:dyDescent="0.45">
      <c r="D69" s="63"/>
      <c r="E69" s="63"/>
      <c r="F69" s="63"/>
      <c r="G69" s="63"/>
      <c r="H69" s="63"/>
      <c r="I69" s="63"/>
    </row>
    <row r="70" spans="4:14" ht="31.5" x14ac:dyDescent="0.45">
      <c r="D70" s="63"/>
      <c r="E70" s="63"/>
      <c r="F70" s="148"/>
      <c r="G70" s="148"/>
      <c r="H70" s="101"/>
      <c r="I70" s="101"/>
      <c r="J70" s="149"/>
      <c r="K70" s="149"/>
      <c r="L70" s="102"/>
      <c r="M70" s="102"/>
      <c r="N70" s="103"/>
    </row>
    <row r="71" spans="4:14" ht="31.5" x14ac:dyDescent="0.45">
      <c r="D71" s="63"/>
      <c r="E71" s="63"/>
      <c r="F71" s="63"/>
      <c r="G71" s="63"/>
      <c r="H71" s="101"/>
      <c r="I71" s="101"/>
      <c r="J71" s="102"/>
      <c r="K71" s="102"/>
      <c r="L71" s="102"/>
      <c r="M71" s="102"/>
      <c r="N71" s="103"/>
    </row>
    <row r="72" spans="4:14" ht="36.75" x14ac:dyDescent="0.5">
      <c r="D72" s="63"/>
      <c r="E72" s="63"/>
      <c r="F72" s="104"/>
      <c r="G72" s="105"/>
      <c r="H72" s="101"/>
      <c r="I72" s="101"/>
      <c r="J72" s="106"/>
      <c r="K72" s="107"/>
      <c r="L72" s="102"/>
      <c r="M72" s="102"/>
      <c r="N72" s="103"/>
    </row>
    <row r="73" spans="4:14" ht="36.75" x14ac:dyDescent="0.5">
      <c r="D73" s="63"/>
      <c r="E73" s="63"/>
      <c r="F73" s="104"/>
      <c r="G73" s="108"/>
      <c r="H73" s="101"/>
      <c r="I73" s="101"/>
      <c r="J73" s="106"/>
      <c r="K73" s="107"/>
      <c r="L73" s="102"/>
      <c r="M73" s="102"/>
      <c r="N73" s="103"/>
    </row>
    <row r="74" spans="4:14" ht="36.75" x14ac:dyDescent="0.5">
      <c r="D74" s="63"/>
      <c r="E74" s="63"/>
      <c r="F74" s="109"/>
      <c r="G74" s="108"/>
      <c r="H74" s="101"/>
      <c r="I74" s="101"/>
      <c r="J74" s="106"/>
      <c r="K74" s="107"/>
      <c r="L74" s="102"/>
      <c r="M74" s="102"/>
      <c r="N74" s="103"/>
    </row>
    <row r="75" spans="4:14" ht="36.75" x14ac:dyDescent="0.5">
      <c r="D75" s="63"/>
      <c r="E75" s="63"/>
      <c r="F75" s="109"/>
      <c r="G75" s="108"/>
      <c r="H75" s="101"/>
      <c r="I75" s="101"/>
      <c r="J75" s="106"/>
      <c r="K75" s="107"/>
      <c r="L75" s="102"/>
      <c r="M75" s="102"/>
      <c r="N75" s="103"/>
    </row>
    <row r="76" spans="4:14" ht="31.5" x14ac:dyDescent="0.45">
      <c r="D76" s="63"/>
      <c r="E76" s="63"/>
      <c r="F76" s="109"/>
      <c r="G76" s="108"/>
      <c r="H76" s="101"/>
      <c r="I76" s="101"/>
      <c r="K76" t="s">
        <v>104</v>
      </c>
      <c r="L76" t="s">
        <v>105</v>
      </c>
      <c r="N76" s="103"/>
    </row>
    <row r="77" spans="4:14" ht="31.5" x14ac:dyDescent="0.45">
      <c r="D77" s="63"/>
      <c r="E77" s="63"/>
      <c r="F77" s="109"/>
      <c r="G77" s="108"/>
      <c r="H77" s="101"/>
      <c r="I77" s="101"/>
      <c r="J77" s="93" t="s">
        <v>4</v>
      </c>
      <c r="K77" s="94" t="s">
        <v>8</v>
      </c>
      <c r="L77" s="94" t="s">
        <v>6</v>
      </c>
      <c r="M77" s="94" t="s">
        <v>7</v>
      </c>
      <c r="N77" s="103"/>
    </row>
    <row r="78" spans="4:14" ht="31.5" x14ac:dyDescent="0.45">
      <c r="D78" s="63"/>
      <c r="E78" s="63"/>
      <c r="F78" s="109"/>
      <c r="G78" s="108"/>
      <c r="H78" s="101"/>
      <c r="I78" s="101"/>
      <c r="J78" s="95" t="s">
        <v>29</v>
      </c>
      <c r="K78" s="94">
        <v>7</v>
      </c>
      <c r="L78" s="110">
        <v>30.18</v>
      </c>
      <c r="M78" s="94">
        <f>K78*L78</f>
        <v>211.26</v>
      </c>
      <c r="N78" s="103"/>
    </row>
    <row r="79" spans="4:14" ht="31.5" x14ac:dyDescent="0.45">
      <c r="D79" s="63"/>
      <c r="E79" s="63"/>
      <c r="F79" s="109"/>
      <c r="G79" s="108"/>
      <c r="H79" s="101"/>
      <c r="I79" s="101"/>
      <c r="J79" s="95" t="s">
        <v>18</v>
      </c>
      <c r="K79" s="94">
        <v>1.2</v>
      </c>
      <c r="L79" s="110">
        <v>34</v>
      </c>
      <c r="M79" s="94">
        <f t="shared" ref="M79:M96" si="1">K79*L79</f>
        <v>40.799999999999997</v>
      </c>
      <c r="N79" s="103"/>
    </row>
    <row r="80" spans="4:14" ht="31.5" x14ac:dyDescent="0.45">
      <c r="D80" s="63"/>
      <c r="E80" s="63"/>
      <c r="F80" s="109"/>
      <c r="G80" s="108"/>
      <c r="H80" s="101"/>
      <c r="I80" s="101"/>
      <c r="J80" s="95" t="s">
        <v>155</v>
      </c>
      <c r="K80" s="94">
        <v>3.2</v>
      </c>
      <c r="L80" s="94">
        <v>0</v>
      </c>
      <c r="M80" s="94">
        <f t="shared" si="1"/>
        <v>0</v>
      </c>
      <c r="N80" s="103"/>
    </row>
    <row r="81" spans="4:14" ht="31.5" x14ac:dyDescent="0.45">
      <c r="D81" s="63"/>
      <c r="E81" s="63"/>
      <c r="F81" s="109"/>
      <c r="G81" s="108"/>
      <c r="H81" s="101"/>
      <c r="I81" s="101"/>
      <c r="J81" s="95" t="s">
        <v>12</v>
      </c>
      <c r="K81" s="94">
        <v>1.3</v>
      </c>
      <c r="L81" s="110">
        <v>14.25</v>
      </c>
      <c r="M81" s="94">
        <f t="shared" si="1"/>
        <v>18.525000000000002</v>
      </c>
      <c r="N81" s="103"/>
    </row>
    <row r="82" spans="4:14" ht="47.25" x14ac:dyDescent="0.45">
      <c r="D82" s="63"/>
      <c r="E82" s="63"/>
      <c r="F82" s="63"/>
      <c r="G82" s="63"/>
      <c r="H82" s="101"/>
      <c r="I82" s="101"/>
      <c r="J82" s="96" t="s">
        <v>110</v>
      </c>
      <c r="K82" s="94">
        <v>0.7</v>
      </c>
      <c r="L82" s="94">
        <v>17.68</v>
      </c>
      <c r="M82" s="94">
        <f t="shared" si="1"/>
        <v>12.375999999999999</v>
      </c>
      <c r="N82" s="103"/>
    </row>
    <row r="83" spans="4:14" ht="47.25" x14ac:dyDescent="0.45">
      <c r="D83" s="63"/>
      <c r="E83" s="63"/>
      <c r="F83" s="63"/>
      <c r="G83" s="63"/>
      <c r="H83" s="101"/>
      <c r="I83" s="101"/>
      <c r="J83" s="96" t="s">
        <v>156</v>
      </c>
      <c r="K83" s="94">
        <v>0.5</v>
      </c>
      <c r="L83" s="110">
        <v>20.059999999999999</v>
      </c>
      <c r="M83" s="94">
        <f t="shared" si="1"/>
        <v>10.029999999999999</v>
      </c>
      <c r="N83" s="103"/>
    </row>
    <row r="84" spans="4:14" ht="31.5" x14ac:dyDescent="0.45">
      <c r="D84" s="63"/>
      <c r="E84" s="63"/>
      <c r="F84" s="63"/>
      <c r="G84" s="63"/>
      <c r="H84" s="101"/>
      <c r="I84" s="101"/>
      <c r="J84" s="95" t="s">
        <v>157</v>
      </c>
      <c r="K84" s="94">
        <v>0.5</v>
      </c>
      <c r="L84" s="94">
        <v>30</v>
      </c>
      <c r="M84" s="94">
        <f t="shared" si="1"/>
        <v>15</v>
      </c>
      <c r="N84" s="103"/>
    </row>
    <row r="85" spans="4:14" ht="23.25" x14ac:dyDescent="0.3">
      <c r="H85" s="102"/>
      <c r="I85" s="102"/>
      <c r="J85" s="95" t="s">
        <v>22</v>
      </c>
      <c r="K85" s="94">
        <v>0.3</v>
      </c>
      <c r="L85" s="94">
        <v>76.8</v>
      </c>
      <c r="M85" s="94">
        <f t="shared" si="1"/>
        <v>23.04</v>
      </c>
      <c r="N85" s="103"/>
    </row>
    <row r="86" spans="4:14" ht="23.25" x14ac:dyDescent="0.3">
      <c r="J86" s="95" t="s">
        <v>54</v>
      </c>
      <c r="K86" s="94">
        <v>0.28000000000000003</v>
      </c>
      <c r="L86" s="110">
        <v>1.8</v>
      </c>
      <c r="M86" s="94">
        <f t="shared" si="1"/>
        <v>0.50400000000000011</v>
      </c>
    </row>
    <row r="87" spans="4:14" ht="23.25" x14ac:dyDescent="0.3">
      <c r="J87" s="95" t="s">
        <v>48</v>
      </c>
      <c r="K87" s="94">
        <v>0.1</v>
      </c>
      <c r="L87" s="94">
        <v>115.35</v>
      </c>
      <c r="M87" s="94">
        <f t="shared" si="1"/>
        <v>11.535</v>
      </c>
    </row>
    <row r="88" spans="4:14" ht="23.25" x14ac:dyDescent="0.3">
      <c r="J88" s="94" t="s">
        <v>50</v>
      </c>
      <c r="K88" s="94">
        <v>0.1</v>
      </c>
      <c r="L88" s="110">
        <v>70.599999999999994</v>
      </c>
      <c r="M88" s="94">
        <f t="shared" si="1"/>
        <v>7.06</v>
      </c>
    </row>
    <row r="89" spans="4:14" ht="23.25" x14ac:dyDescent="0.3">
      <c r="J89" s="94" t="s">
        <v>117</v>
      </c>
      <c r="K89" s="94">
        <v>5.0000000000000001E-3</v>
      </c>
      <c r="L89" s="94">
        <v>405</v>
      </c>
      <c r="M89" s="94">
        <f t="shared" si="1"/>
        <v>2.0249999999999999</v>
      </c>
    </row>
    <row r="90" spans="4:14" ht="23.25" x14ac:dyDescent="0.3">
      <c r="J90" s="94" t="s">
        <v>65</v>
      </c>
      <c r="K90" s="94">
        <v>0.08</v>
      </c>
      <c r="L90" s="94">
        <v>75</v>
      </c>
      <c r="M90" s="94">
        <f t="shared" si="1"/>
        <v>6</v>
      </c>
    </row>
    <row r="91" spans="4:14" ht="23.25" x14ac:dyDescent="0.3">
      <c r="J91" s="94" t="s">
        <v>58</v>
      </c>
      <c r="K91" s="94">
        <v>0.05</v>
      </c>
      <c r="L91" s="94">
        <v>110</v>
      </c>
      <c r="M91" s="94">
        <f t="shared" si="1"/>
        <v>5.5</v>
      </c>
    </row>
    <row r="92" spans="4:14" ht="23.25" x14ac:dyDescent="0.3">
      <c r="J92" s="94" t="s">
        <v>120</v>
      </c>
      <c r="K92" s="94">
        <v>0.05</v>
      </c>
      <c r="L92" s="94">
        <v>80</v>
      </c>
      <c r="M92" s="94">
        <f t="shared" si="1"/>
        <v>4</v>
      </c>
    </row>
    <row r="93" spans="4:14" ht="23.25" x14ac:dyDescent="0.3">
      <c r="J93" s="94" t="s">
        <v>66</v>
      </c>
      <c r="K93" s="94">
        <v>0.04</v>
      </c>
      <c r="L93" s="94">
        <v>160</v>
      </c>
      <c r="M93" s="94">
        <f t="shared" si="1"/>
        <v>6.4</v>
      </c>
    </row>
    <row r="94" spans="4:14" ht="23.25" x14ac:dyDescent="0.3">
      <c r="J94" s="94" t="s">
        <v>82</v>
      </c>
      <c r="K94" s="94">
        <v>4.4999999999999998E-2</v>
      </c>
      <c r="L94" s="110">
        <v>148.19</v>
      </c>
      <c r="M94" s="94">
        <f t="shared" si="1"/>
        <v>6.6685499999999998</v>
      </c>
    </row>
    <row r="95" spans="4:14" ht="23.25" x14ac:dyDescent="0.3">
      <c r="J95" s="94" t="s">
        <v>77</v>
      </c>
      <c r="K95" s="94">
        <v>2.5000000000000001E-2</v>
      </c>
      <c r="L95" s="94">
        <v>120</v>
      </c>
      <c r="M95" s="94">
        <f t="shared" si="1"/>
        <v>3</v>
      </c>
    </row>
    <row r="96" spans="4:14" ht="23.25" x14ac:dyDescent="0.3">
      <c r="J96" s="94" t="s">
        <v>158</v>
      </c>
      <c r="K96" s="94">
        <v>0.02</v>
      </c>
      <c r="L96" s="94">
        <v>385</v>
      </c>
      <c r="M96" s="94">
        <f t="shared" si="1"/>
        <v>7.7</v>
      </c>
    </row>
    <row r="97" spans="10:13" ht="23.25" x14ac:dyDescent="0.3">
      <c r="J97" s="94" t="s">
        <v>102</v>
      </c>
      <c r="K97" s="94">
        <f>SUM(K78:K96)</f>
        <v>15.494999999999999</v>
      </c>
      <c r="L97" s="94"/>
      <c r="M97" s="94">
        <f>SUM(M78:M96)</f>
        <v>391.42354999999992</v>
      </c>
    </row>
    <row r="98" spans="10:13" x14ac:dyDescent="0.3">
      <c r="J98" s="74" t="s">
        <v>127</v>
      </c>
      <c r="K98" s="51">
        <f>M97/K97</f>
        <v>25.261281058405935</v>
      </c>
      <c r="L98" s="51"/>
      <c r="M98" s="51"/>
    </row>
  </sheetData>
  <mergeCells count="5">
    <mergeCell ref="N7:O7"/>
    <mergeCell ref="E7:F7"/>
    <mergeCell ref="N25:P25"/>
    <mergeCell ref="F70:G70"/>
    <mergeCell ref="J70:K70"/>
  </mergeCells>
  <pageMargins left="0.7" right="0.7" top="0.75" bottom="0.75" header="0.3" footer="0.3"/>
  <pageSetup paperSize="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4:AC133"/>
  <sheetViews>
    <sheetView topLeftCell="H4" zoomScale="30" workbookViewId="0">
      <selection activeCell="L8" sqref="L8"/>
    </sheetView>
  </sheetViews>
  <sheetFormatPr defaultColWidth="9.01171875" defaultRowHeight="15" x14ac:dyDescent="0.2"/>
  <cols>
    <col min="1" max="1" width="18.6953125" customWidth="1"/>
    <col min="2" max="2" width="37.93359375" customWidth="1"/>
    <col min="3" max="3" width="32.5546875" customWidth="1"/>
    <col min="4" max="4" width="22.05859375" customWidth="1"/>
    <col min="5" max="5" width="30.66796875" customWidth="1"/>
    <col min="6" max="6" width="9.55078125" bestFit="1" customWidth="1"/>
    <col min="7" max="7" width="13.44921875" customWidth="1"/>
    <col min="8" max="8" width="16.0078125" customWidth="1"/>
    <col min="9" max="9" width="16.54296875" customWidth="1"/>
    <col min="10" max="10" width="16.6796875" customWidth="1"/>
    <col min="12" max="12" width="19.90625" customWidth="1"/>
    <col min="13" max="13" width="23.26953125" bestFit="1" customWidth="1"/>
    <col min="14" max="14" width="10.76171875" bestFit="1" customWidth="1"/>
    <col min="16" max="16" width="12.5078125" bestFit="1" customWidth="1"/>
    <col min="21" max="21" width="18.96484375" hidden="1" bestFit="1" customWidth="1"/>
    <col min="22" max="22" width="10.625" hidden="1" bestFit="1" customWidth="1"/>
    <col min="23" max="24" width="20.17578125" hidden="1" bestFit="1" customWidth="1"/>
    <col min="25" max="29" width="9.953125" hidden="1" bestFit="1" customWidth="1"/>
  </cols>
  <sheetData>
    <row r="4" spans="1:24" ht="33" x14ac:dyDescent="0.45">
      <c r="C4" s="111" t="s">
        <v>238</v>
      </c>
    </row>
    <row r="5" spans="1:24" ht="33" x14ac:dyDescent="0.45">
      <c r="A5" s="93" t="s">
        <v>4</v>
      </c>
      <c r="B5" s="94" t="s">
        <v>8</v>
      </c>
      <c r="C5" s="94" t="s">
        <v>6</v>
      </c>
      <c r="D5" s="94" t="s">
        <v>103</v>
      </c>
      <c r="M5" s="111" t="s">
        <v>207</v>
      </c>
      <c r="N5" s="111" t="s">
        <v>105</v>
      </c>
      <c r="U5" s="62" t="s">
        <v>163</v>
      </c>
      <c r="V5" s="112"/>
      <c r="W5" s="112"/>
      <c r="X5" s="112"/>
    </row>
    <row r="6" spans="1:24" ht="33" x14ac:dyDescent="0.45">
      <c r="A6" s="95" t="s">
        <v>265</v>
      </c>
      <c r="B6" s="94">
        <v>80</v>
      </c>
      <c r="C6" s="110">
        <v>37</v>
      </c>
      <c r="D6" s="94">
        <f t="shared" ref="D6:D28" si="0">B6*C6</f>
        <v>2960</v>
      </c>
      <c r="E6" s="113">
        <f>21.36*10</f>
        <v>213.6</v>
      </c>
      <c r="H6" s="114" t="s">
        <v>207</v>
      </c>
      <c r="I6" s="111" t="s">
        <v>106</v>
      </c>
      <c r="L6" s="93" t="s">
        <v>4</v>
      </c>
      <c r="M6" s="94" t="s">
        <v>8</v>
      </c>
      <c r="N6" s="94" t="s">
        <v>6</v>
      </c>
      <c r="O6" s="94" t="s">
        <v>7</v>
      </c>
      <c r="U6" s="62" t="s">
        <v>164</v>
      </c>
      <c r="V6" s="112"/>
      <c r="W6" s="112"/>
      <c r="X6" s="112"/>
    </row>
    <row r="7" spans="1:24" ht="23.25" x14ac:dyDescent="0.3">
      <c r="A7" s="95" t="s">
        <v>16</v>
      </c>
      <c r="B7" s="94">
        <v>28</v>
      </c>
      <c r="C7" s="110">
        <v>35</v>
      </c>
      <c r="D7" s="94">
        <f t="shared" si="0"/>
        <v>980</v>
      </c>
      <c r="G7" s="93" t="s">
        <v>4</v>
      </c>
      <c r="H7" s="94" t="s">
        <v>8</v>
      </c>
      <c r="I7" s="94" t="s">
        <v>6</v>
      </c>
      <c r="J7" s="94" t="s">
        <v>103</v>
      </c>
      <c r="L7" s="95" t="s">
        <v>265</v>
      </c>
      <c r="M7" s="94">
        <f>20*3</f>
        <v>60</v>
      </c>
      <c r="N7" s="110">
        <f>I8</f>
        <v>37</v>
      </c>
      <c r="O7" s="94">
        <f>M7*N7</f>
        <v>2220</v>
      </c>
      <c r="U7" s="66" t="s">
        <v>130</v>
      </c>
      <c r="V7" s="115" t="s">
        <v>165</v>
      </c>
      <c r="W7" s="115" t="s">
        <v>35</v>
      </c>
      <c r="X7" s="115" t="s">
        <v>102</v>
      </c>
    </row>
    <row r="8" spans="1:24" ht="23.25" x14ac:dyDescent="0.3">
      <c r="A8" s="95" t="s">
        <v>107</v>
      </c>
      <c r="B8" s="94">
        <v>25</v>
      </c>
      <c r="C8" s="110">
        <v>25</v>
      </c>
      <c r="D8" s="94">
        <f t="shared" si="0"/>
        <v>625</v>
      </c>
      <c r="G8" s="95" t="s">
        <v>266</v>
      </c>
      <c r="H8" s="94">
        <v>100</v>
      </c>
      <c r="I8" s="110">
        <f>+C6</f>
        <v>37</v>
      </c>
      <c r="J8" s="94">
        <f>H8*I8</f>
        <v>3700</v>
      </c>
      <c r="L8" s="95" t="s">
        <v>16</v>
      </c>
      <c r="M8" s="94">
        <f>9*3</f>
        <v>27</v>
      </c>
      <c r="N8" s="110">
        <f>+I9</f>
        <v>35</v>
      </c>
      <c r="O8" s="94">
        <f t="shared" ref="O8:O30" si="1">M8*N8</f>
        <v>945</v>
      </c>
      <c r="U8" s="66" t="s">
        <v>166</v>
      </c>
      <c r="V8" s="66">
        <v>4</v>
      </c>
      <c r="W8" s="115">
        <v>819.2</v>
      </c>
      <c r="X8" s="115">
        <f t="shared" ref="X8:X23" si="2">W8*V8</f>
        <v>3276.8</v>
      </c>
    </row>
    <row r="9" spans="1:24" ht="23.25" x14ac:dyDescent="0.3">
      <c r="A9" s="95" t="s">
        <v>18</v>
      </c>
      <c r="B9" s="94">
        <v>43</v>
      </c>
      <c r="C9" s="110">
        <v>39</v>
      </c>
      <c r="D9" s="94">
        <f t="shared" si="0"/>
        <v>1677</v>
      </c>
      <c r="G9" s="95" t="s">
        <v>16</v>
      </c>
      <c r="H9" s="94">
        <v>40</v>
      </c>
      <c r="I9" s="110">
        <v>35</v>
      </c>
      <c r="J9" s="94">
        <f t="shared" ref="J9:J26" si="3">H9*I9</f>
        <v>1400</v>
      </c>
      <c r="L9" s="95" t="s">
        <v>19</v>
      </c>
      <c r="M9" s="94">
        <v>0</v>
      </c>
      <c r="N9" s="94">
        <v>5</v>
      </c>
      <c r="O9" s="94">
        <f t="shared" si="1"/>
        <v>0</v>
      </c>
      <c r="U9" s="66" t="s">
        <v>167</v>
      </c>
      <c r="V9" s="66">
        <v>30</v>
      </c>
      <c r="W9" s="115">
        <v>30</v>
      </c>
      <c r="X9" s="115">
        <f t="shared" si="2"/>
        <v>900</v>
      </c>
    </row>
    <row r="10" spans="1:24" ht="23.25" x14ac:dyDescent="0.3">
      <c r="A10" s="95" t="s">
        <v>108</v>
      </c>
      <c r="B10" s="94">
        <v>2</v>
      </c>
      <c r="C10" s="110">
        <v>25</v>
      </c>
      <c r="D10" s="94">
        <f t="shared" si="0"/>
        <v>50</v>
      </c>
      <c r="G10" s="95" t="s">
        <v>109</v>
      </c>
      <c r="H10" s="94">
        <v>20</v>
      </c>
      <c r="I10" s="110">
        <f>+C11</f>
        <v>20</v>
      </c>
      <c r="J10" s="94">
        <f t="shared" si="3"/>
        <v>400</v>
      </c>
      <c r="L10" s="95" t="s">
        <v>18</v>
      </c>
      <c r="M10" s="94">
        <v>15</v>
      </c>
      <c r="N10" s="110">
        <f>+I12</f>
        <v>39</v>
      </c>
      <c r="O10" s="94">
        <f t="shared" si="1"/>
        <v>585</v>
      </c>
      <c r="U10" s="66" t="s">
        <v>168</v>
      </c>
      <c r="V10" s="66">
        <v>2</v>
      </c>
      <c r="W10" s="115">
        <v>120</v>
      </c>
      <c r="X10" s="115">
        <f t="shared" si="2"/>
        <v>240</v>
      </c>
    </row>
    <row r="11" spans="1:24" ht="23.25" x14ac:dyDescent="0.3">
      <c r="A11" s="95" t="s">
        <v>110</v>
      </c>
      <c r="B11" s="94">
        <v>28</v>
      </c>
      <c r="C11" s="110">
        <v>20</v>
      </c>
      <c r="D11" s="94">
        <f t="shared" si="0"/>
        <v>560</v>
      </c>
      <c r="G11" s="95" t="s">
        <v>111</v>
      </c>
      <c r="H11" s="94">
        <v>116</v>
      </c>
      <c r="I11" s="94">
        <v>1</v>
      </c>
      <c r="J11" s="94">
        <f t="shared" si="3"/>
        <v>116</v>
      </c>
      <c r="L11" s="95"/>
      <c r="M11" s="94"/>
      <c r="N11" s="94"/>
      <c r="O11" s="94">
        <f t="shared" si="1"/>
        <v>0</v>
      </c>
      <c r="U11" s="116"/>
      <c r="V11" s="116"/>
      <c r="W11" s="117"/>
      <c r="X11" s="115">
        <f t="shared" si="2"/>
        <v>0</v>
      </c>
    </row>
    <row r="12" spans="1:24" ht="23.25" x14ac:dyDescent="0.3">
      <c r="A12" s="95" t="s">
        <v>26</v>
      </c>
      <c r="B12" s="94">
        <v>24</v>
      </c>
      <c r="C12" s="110">
        <v>28.5</v>
      </c>
      <c r="D12" s="94">
        <f t="shared" si="0"/>
        <v>684</v>
      </c>
      <c r="G12" s="95" t="s">
        <v>18</v>
      </c>
      <c r="H12" s="94">
        <v>44</v>
      </c>
      <c r="I12" s="110">
        <f>+C9</f>
        <v>39</v>
      </c>
      <c r="J12" s="94">
        <f t="shared" si="3"/>
        <v>1716</v>
      </c>
      <c r="L12" s="95" t="s">
        <v>110</v>
      </c>
      <c r="M12" s="94">
        <f>7.5*3</f>
        <v>22.5</v>
      </c>
      <c r="N12" s="110">
        <f>+I10</f>
        <v>20</v>
      </c>
      <c r="O12" s="94">
        <f t="shared" si="1"/>
        <v>450</v>
      </c>
      <c r="U12" s="66" t="s">
        <v>114</v>
      </c>
      <c r="V12" s="66">
        <v>290</v>
      </c>
      <c r="W12" s="115">
        <v>34.4</v>
      </c>
      <c r="X12" s="115">
        <f t="shared" si="2"/>
        <v>9976</v>
      </c>
    </row>
    <row r="13" spans="1:24" ht="23.25" x14ac:dyDescent="0.3">
      <c r="A13" s="95" t="s">
        <v>112</v>
      </c>
      <c r="B13" s="94">
        <v>0</v>
      </c>
      <c r="C13" s="110">
        <v>0</v>
      </c>
      <c r="D13" s="94">
        <f t="shared" si="0"/>
        <v>0</v>
      </c>
      <c r="G13" s="95" t="s">
        <v>113</v>
      </c>
      <c r="H13" s="94">
        <v>20</v>
      </c>
      <c r="I13" s="110">
        <f>+C15</f>
        <v>14.5</v>
      </c>
      <c r="J13" s="94">
        <f t="shared" si="3"/>
        <v>290</v>
      </c>
      <c r="L13" s="95" t="s">
        <v>114</v>
      </c>
      <c r="M13" s="94">
        <v>0</v>
      </c>
      <c r="N13" s="94">
        <v>35</v>
      </c>
      <c r="O13" s="94">
        <f t="shared" si="1"/>
        <v>0</v>
      </c>
      <c r="U13" s="66" t="s">
        <v>169</v>
      </c>
      <c r="V13" s="66">
        <v>400</v>
      </c>
      <c r="W13" s="115">
        <v>16.8</v>
      </c>
      <c r="X13" s="115">
        <f t="shared" si="2"/>
        <v>6720</v>
      </c>
    </row>
    <row r="14" spans="1:24" ht="23.25" x14ac:dyDescent="0.3">
      <c r="A14" s="95" t="s">
        <v>17</v>
      </c>
      <c r="B14" s="94">
        <v>25</v>
      </c>
      <c r="C14" s="110">
        <v>12</v>
      </c>
      <c r="D14" s="94">
        <f t="shared" si="0"/>
        <v>300</v>
      </c>
      <c r="G14" s="95" t="s">
        <v>114</v>
      </c>
      <c r="H14" s="94">
        <v>20</v>
      </c>
      <c r="I14" s="94">
        <v>35</v>
      </c>
      <c r="J14" s="94">
        <f t="shared" si="3"/>
        <v>700</v>
      </c>
      <c r="L14" s="95" t="s">
        <v>22</v>
      </c>
      <c r="M14" s="94">
        <f>2.5*3</f>
        <v>7.5</v>
      </c>
      <c r="N14" s="94">
        <v>29</v>
      </c>
      <c r="O14" s="94">
        <f t="shared" si="1"/>
        <v>217.5</v>
      </c>
      <c r="U14" s="66" t="s">
        <v>26</v>
      </c>
      <c r="V14" s="115">
        <v>125</v>
      </c>
      <c r="W14" s="115">
        <v>30</v>
      </c>
      <c r="X14" s="115">
        <f t="shared" si="2"/>
        <v>3750</v>
      </c>
    </row>
    <row r="15" spans="1:24" ht="23.25" x14ac:dyDescent="0.3">
      <c r="A15" s="95" t="s">
        <v>113</v>
      </c>
      <c r="B15" s="94">
        <v>26</v>
      </c>
      <c r="C15" s="110">
        <v>14.5</v>
      </c>
      <c r="D15" s="94">
        <f t="shared" si="0"/>
        <v>377</v>
      </c>
      <c r="G15" s="95" t="s">
        <v>26</v>
      </c>
      <c r="H15" s="94">
        <v>20</v>
      </c>
      <c r="I15" s="94">
        <v>28.5</v>
      </c>
      <c r="J15" s="94">
        <f t="shared" si="3"/>
        <v>570</v>
      </c>
      <c r="L15" s="95" t="s">
        <v>113</v>
      </c>
      <c r="M15" s="94">
        <v>21</v>
      </c>
      <c r="N15" s="110">
        <v>14.5</v>
      </c>
      <c r="O15" s="94">
        <f t="shared" si="1"/>
        <v>304.5</v>
      </c>
      <c r="U15" s="66" t="s">
        <v>170</v>
      </c>
      <c r="V15" s="115">
        <v>1</v>
      </c>
      <c r="W15" s="115">
        <v>550</v>
      </c>
      <c r="X15" s="115">
        <f t="shared" si="2"/>
        <v>550</v>
      </c>
    </row>
    <row r="16" spans="1:24" ht="23.25" x14ac:dyDescent="0.3">
      <c r="A16" s="95" t="s">
        <v>31</v>
      </c>
      <c r="B16" s="94">
        <v>99</v>
      </c>
      <c r="C16" s="94">
        <v>1</v>
      </c>
      <c r="D16" s="94">
        <f t="shared" si="0"/>
        <v>99</v>
      </c>
      <c r="G16" s="95" t="s">
        <v>17</v>
      </c>
      <c r="H16" s="94">
        <v>36</v>
      </c>
      <c r="I16" s="110">
        <f>+C14</f>
        <v>12</v>
      </c>
      <c r="J16" s="94">
        <f t="shared" si="3"/>
        <v>432</v>
      </c>
      <c r="L16" s="95" t="s">
        <v>31</v>
      </c>
      <c r="M16" s="94">
        <f>22.5*3</f>
        <v>67.5</v>
      </c>
      <c r="N16" s="94">
        <v>1</v>
      </c>
      <c r="O16" s="94">
        <f t="shared" si="1"/>
        <v>67.5</v>
      </c>
      <c r="U16" s="66" t="s">
        <v>171</v>
      </c>
      <c r="V16" s="115">
        <v>1</v>
      </c>
      <c r="W16" s="115">
        <v>120</v>
      </c>
      <c r="X16" s="115">
        <f t="shared" si="2"/>
        <v>120</v>
      </c>
    </row>
    <row r="17" spans="1:24" ht="23.25" x14ac:dyDescent="0.3">
      <c r="A17" s="94" t="s">
        <v>50</v>
      </c>
      <c r="B17" s="94">
        <v>2</v>
      </c>
      <c r="C17" s="110">
        <v>100</v>
      </c>
      <c r="D17" s="94">
        <f t="shared" si="0"/>
        <v>200</v>
      </c>
      <c r="G17" s="95" t="s">
        <v>115</v>
      </c>
      <c r="H17" s="94">
        <v>6.4</v>
      </c>
      <c r="I17" s="94">
        <v>2.4</v>
      </c>
      <c r="J17" s="94">
        <f t="shared" si="3"/>
        <v>15.36</v>
      </c>
      <c r="L17" s="94" t="s">
        <v>50</v>
      </c>
      <c r="M17" s="94">
        <f>0.3*3</f>
        <v>0.89999999999999991</v>
      </c>
      <c r="N17" s="110">
        <v>100</v>
      </c>
      <c r="O17" s="94">
        <f t="shared" si="1"/>
        <v>89.999999999999986</v>
      </c>
      <c r="U17" s="66" t="s">
        <v>17</v>
      </c>
      <c r="V17" s="115">
        <v>50</v>
      </c>
      <c r="W17" s="115">
        <v>14.24</v>
      </c>
      <c r="X17" s="115">
        <f t="shared" si="2"/>
        <v>712</v>
      </c>
    </row>
    <row r="18" spans="1:24" ht="23.25" x14ac:dyDescent="0.3">
      <c r="A18" s="94" t="s">
        <v>116</v>
      </c>
      <c r="B18" s="94">
        <v>0.09</v>
      </c>
      <c r="C18" s="94">
        <v>2500</v>
      </c>
      <c r="D18" s="94">
        <f t="shared" si="0"/>
        <v>225</v>
      </c>
      <c r="G18" s="95" t="s">
        <v>48</v>
      </c>
      <c r="H18" s="94">
        <v>2</v>
      </c>
      <c r="I18" s="110">
        <v>160</v>
      </c>
      <c r="J18" s="94">
        <f t="shared" si="3"/>
        <v>320</v>
      </c>
      <c r="L18" s="94" t="s">
        <v>117</v>
      </c>
      <c r="M18" s="94">
        <v>0</v>
      </c>
      <c r="N18" s="94">
        <v>0</v>
      </c>
      <c r="O18" s="94">
        <f t="shared" si="1"/>
        <v>0</v>
      </c>
      <c r="U18" s="66" t="s">
        <v>21</v>
      </c>
      <c r="V18" s="115">
        <v>60</v>
      </c>
      <c r="W18" s="115">
        <v>14</v>
      </c>
      <c r="X18" s="115">
        <f t="shared" si="2"/>
        <v>840</v>
      </c>
    </row>
    <row r="19" spans="1:24" ht="23.25" x14ac:dyDescent="0.3">
      <c r="A19" s="94" t="s">
        <v>118</v>
      </c>
      <c r="B19" s="94">
        <v>0.6</v>
      </c>
      <c r="C19" s="110">
        <v>70</v>
      </c>
      <c r="D19" s="94">
        <f t="shared" si="0"/>
        <v>42</v>
      </c>
      <c r="G19" s="95" t="s">
        <v>119</v>
      </c>
      <c r="H19" s="94">
        <v>0.2</v>
      </c>
      <c r="I19" s="94">
        <v>130</v>
      </c>
      <c r="J19" s="94">
        <f t="shared" si="3"/>
        <v>26</v>
      </c>
      <c r="L19" s="94" t="s">
        <v>65</v>
      </c>
      <c r="M19" s="94">
        <v>0</v>
      </c>
      <c r="N19" s="94">
        <v>65</v>
      </c>
      <c r="O19" s="94">
        <f t="shared" si="1"/>
        <v>0</v>
      </c>
      <c r="U19" s="66" t="s">
        <v>172</v>
      </c>
      <c r="V19" s="115">
        <v>100</v>
      </c>
      <c r="W19" s="115">
        <v>31</v>
      </c>
      <c r="X19" s="115">
        <f t="shared" si="2"/>
        <v>3100</v>
      </c>
    </row>
    <row r="20" spans="1:24" ht="23.25" x14ac:dyDescent="0.3">
      <c r="A20" s="94" t="s">
        <v>120</v>
      </c>
      <c r="B20" s="94">
        <v>0.5</v>
      </c>
      <c r="C20" s="110">
        <v>65</v>
      </c>
      <c r="D20" s="94">
        <f t="shared" si="0"/>
        <v>32.5</v>
      </c>
      <c r="G20" s="95" t="s">
        <v>121</v>
      </c>
      <c r="H20" s="94">
        <v>0.4</v>
      </c>
      <c r="I20" s="94">
        <v>65</v>
      </c>
      <c r="J20" s="94">
        <f t="shared" si="3"/>
        <v>26</v>
      </c>
      <c r="L20" s="94" t="s">
        <v>68</v>
      </c>
      <c r="M20" s="94">
        <v>0</v>
      </c>
      <c r="N20" s="94">
        <v>450</v>
      </c>
      <c r="O20" s="94">
        <f t="shared" si="1"/>
        <v>0</v>
      </c>
      <c r="U20" s="66" t="s">
        <v>173</v>
      </c>
      <c r="V20" s="115">
        <v>37</v>
      </c>
      <c r="W20" s="115">
        <f>X42</f>
        <v>84.873684210526307</v>
      </c>
      <c r="X20" s="115">
        <f t="shared" si="2"/>
        <v>3140.3263157894735</v>
      </c>
    </row>
    <row r="21" spans="1:24" ht="23.25" x14ac:dyDescent="0.3">
      <c r="A21" s="94" t="s">
        <v>54</v>
      </c>
      <c r="B21" s="94">
        <v>6.8</v>
      </c>
      <c r="C21" s="94">
        <v>2.4</v>
      </c>
      <c r="D21" s="94">
        <f t="shared" si="0"/>
        <v>16.32</v>
      </c>
      <c r="G21" s="94" t="s">
        <v>50</v>
      </c>
      <c r="H21" s="94">
        <v>2</v>
      </c>
      <c r="I21" s="110">
        <f>+C17</f>
        <v>100</v>
      </c>
      <c r="J21" s="94">
        <f t="shared" si="3"/>
        <v>200</v>
      </c>
      <c r="L21" s="94" t="s">
        <v>69</v>
      </c>
      <c r="M21" s="94">
        <f>0.05*3</f>
        <v>0.15000000000000002</v>
      </c>
      <c r="N21" s="94">
        <v>480</v>
      </c>
      <c r="O21" s="94">
        <f t="shared" si="1"/>
        <v>72.000000000000014</v>
      </c>
      <c r="U21" s="66" t="s">
        <v>174</v>
      </c>
      <c r="V21" s="115">
        <v>500</v>
      </c>
      <c r="W21" s="115">
        <v>30.5</v>
      </c>
      <c r="X21" s="115">
        <f t="shared" si="2"/>
        <v>15250</v>
      </c>
    </row>
    <row r="22" spans="1:24" ht="23.25" x14ac:dyDescent="0.3">
      <c r="A22" s="94" t="s">
        <v>122</v>
      </c>
      <c r="B22" s="94">
        <v>0.2</v>
      </c>
      <c r="C22" s="110">
        <v>1300</v>
      </c>
      <c r="D22" s="94">
        <f t="shared" si="0"/>
        <v>260</v>
      </c>
      <c r="G22" s="94" t="s">
        <v>76</v>
      </c>
      <c r="H22" s="94">
        <v>0.6</v>
      </c>
      <c r="I22" s="94">
        <v>130</v>
      </c>
      <c r="J22" s="94">
        <f t="shared" si="3"/>
        <v>78</v>
      </c>
      <c r="L22" s="94" t="s">
        <v>66</v>
      </c>
      <c r="M22" s="94">
        <f>0.08*3</f>
        <v>0.24</v>
      </c>
      <c r="N22" s="94">
        <v>130</v>
      </c>
      <c r="O22" s="94">
        <f t="shared" si="1"/>
        <v>31.2</v>
      </c>
      <c r="U22" s="66" t="s">
        <v>175</v>
      </c>
      <c r="V22" s="115">
        <v>2</v>
      </c>
      <c r="W22" s="115">
        <v>395</v>
      </c>
      <c r="X22" s="115">
        <f t="shared" si="2"/>
        <v>790</v>
      </c>
    </row>
    <row r="23" spans="1:24" ht="23.25" x14ac:dyDescent="0.3">
      <c r="A23" s="94" t="s">
        <v>52</v>
      </c>
      <c r="B23" s="94">
        <v>0.5</v>
      </c>
      <c r="C23" s="94">
        <v>190</v>
      </c>
      <c r="D23" s="94">
        <f t="shared" si="0"/>
        <v>95</v>
      </c>
      <c r="G23" s="94" t="s">
        <v>75</v>
      </c>
      <c r="H23" s="94">
        <v>0.8</v>
      </c>
      <c r="I23" s="94">
        <v>65</v>
      </c>
      <c r="J23" s="94">
        <f t="shared" si="3"/>
        <v>52</v>
      </c>
      <c r="L23" s="94" t="s">
        <v>48</v>
      </c>
      <c r="M23" s="94">
        <f>0.05*3</f>
        <v>0.15000000000000002</v>
      </c>
      <c r="N23" s="110">
        <v>160</v>
      </c>
      <c r="O23" s="94">
        <f t="shared" si="1"/>
        <v>24.000000000000004</v>
      </c>
      <c r="U23" s="66" t="s">
        <v>166</v>
      </c>
      <c r="V23" s="115">
        <v>9</v>
      </c>
      <c r="W23" s="115">
        <v>825</v>
      </c>
      <c r="X23" s="115">
        <f t="shared" si="2"/>
        <v>7425</v>
      </c>
    </row>
    <row r="24" spans="1:24" ht="23.25" x14ac:dyDescent="0.3">
      <c r="A24" s="94" t="s">
        <v>55</v>
      </c>
      <c r="B24" s="94">
        <v>0.5</v>
      </c>
      <c r="C24" s="94">
        <v>310</v>
      </c>
      <c r="D24" s="94">
        <f t="shared" si="0"/>
        <v>155</v>
      </c>
      <c r="G24" s="94" t="s">
        <v>53</v>
      </c>
      <c r="H24" s="94">
        <v>0.8</v>
      </c>
      <c r="I24" s="94">
        <v>310</v>
      </c>
      <c r="J24" s="94">
        <f t="shared" si="3"/>
        <v>248</v>
      </c>
      <c r="L24" s="94" t="s">
        <v>82</v>
      </c>
      <c r="M24" s="94">
        <f>0.04*3</f>
        <v>0.12</v>
      </c>
      <c r="N24" s="94">
        <v>120</v>
      </c>
      <c r="O24" s="94">
        <f t="shared" si="1"/>
        <v>14.399999999999999</v>
      </c>
      <c r="U24" s="66"/>
      <c r="V24" s="115"/>
      <c r="W24" s="115"/>
      <c r="X24" s="115"/>
    </row>
    <row r="25" spans="1:24" ht="23.25" x14ac:dyDescent="0.3">
      <c r="A25" s="94" t="s">
        <v>48</v>
      </c>
      <c r="B25" s="94">
        <v>2</v>
      </c>
      <c r="C25" s="110">
        <v>160</v>
      </c>
      <c r="D25" s="94">
        <f t="shared" si="0"/>
        <v>320</v>
      </c>
      <c r="G25" s="94" t="s">
        <v>123</v>
      </c>
      <c r="H25" s="94">
        <v>0.8</v>
      </c>
      <c r="I25" s="94">
        <v>310</v>
      </c>
      <c r="J25" s="94">
        <f t="shared" si="3"/>
        <v>248</v>
      </c>
      <c r="L25" s="94" t="s">
        <v>120</v>
      </c>
      <c r="M25" s="94">
        <f>0.14*3</f>
        <v>0.42000000000000004</v>
      </c>
      <c r="N25" s="94">
        <v>65</v>
      </c>
      <c r="O25" s="94">
        <f t="shared" si="1"/>
        <v>27.300000000000004</v>
      </c>
      <c r="U25" s="66"/>
      <c r="V25" s="115"/>
      <c r="W25" s="115"/>
      <c r="X25" s="115"/>
    </row>
    <row r="26" spans="1:24" ht="23.25" x14ac:dyDescent="0.3">
      <c r="A26" s="94" t="s">
        <v>124</v>
      </c>
      <c r="B26" s="94">
        <v>0.2</v>
      </c>
      <c r="C26" s="94">
        <v>190</v>
      </c>
      <c r="D26" s="94">
        <f t="shared" si="0"/>
        <v>38</v>
      </c>
      <c r="G26" s="94" t="s">
        <v>125</v>
      </c>
      <c r="H26" s="94">
        <v>0.09</v>
      </c>
      <c r="I26" s="94">
        <v>2500</v>
      </c>
      <c r="J26" s="94">
        <f t="shared" si="3"/>
        <v>225</v>
      </c>
      <c r="L26" s="94" t="s">
        <v>54</v>
      </c>
      <c r="M26" s="94">
        <f>1.4*3</f>
        <v>4.1999999999999993</v>
      </c>
      <c r="N26" s="94">
        <v>2.4</v>
      </c>
      <c r="O26" s="94">
        <f t="shared" si="1"/>
        <v>10.079999999999998</v>
      </c>
      <c r="U26" s="66"/>
      <c r="V26" s="115"/>
      <c r="W26" s="115"/>
      <c r="X26" s="115"/>
    </row>
    <row r="27" spans="1:24" ht="23.25" x14ac:dyDescent="0.3">
      <c r="A27" s="94" t="s">
        <v>72</v>
      </c>
      <c r="B27" s="94">
        <v>0.5</v>
      </c>
      <c r="C27" s="94">
        <v>295</v>
      </c>
      <c r="D27" s="94">
        <f t="shared" si="0"/>
        <v>147.5</v>
      </c>
      <c r="G27" s="94" t="s">
        <v>7</v>
      </c>
      <c r="H27" s="94">
        <f>SUM(H8:H26)</f>
        <v>430.09</v>
      </c>
      <c r="I27" s="94"/>
      <c r="J27" s="94">
        <f>SUM(J8:J26)</f>
        <v>10762.36</v>
      </c>
      <c r="L27" s="94" t="s">
        <v>126</v>
      </c>
      <c r="M27" s="94">
        <f>0.1*3</f>
        <v>0.30000000000000004</v>
      </c>
      <c r="N27" s="94">
        <v>140</v>
      </c>
      <c r="O27" s="94">
        <f t="shared" si="1"/>
        <v>42.000000000000007</v>
      </c>
      <c r="U27" s="66"/>
      <c r="V27" s="115"/>
      <c r="W27" s="115"/>
      <c r="X27" s="115"/>
    </row>
    <row r="28" spans="1:24" ht="23.25" x14ac:dyDescent="0.3">
      <c r="A28" s="94" t="s">
        <v>70</v>
      </c>
      <c r="B28" s="94">
        <v>0.5</v>
      </c>
      <c r="C28" s="94">
        <v>140</v>
      </c>
      <c r="D28" s="94">
        <f t="shared" si="0"/>
        <v>70</v>
      </c>
      <c r="G28" s="74" t="s">
        <v>127</v>
      </c>
      <c r="H28" s="51">
        <f>J27/H27</f>
        <v>25.023506707898349</v>
      </c>
      <c r="I28" s="51"/>
      <c r="J28" s="51"/>
      <c r="L28" s="94" t="s">
        <v>74</v>
      </c>
      <c r="M28" s="94">
        <v>0</v>
      </c>
      <c r="N28" s="94">
        <v>350</v>
      </c>
      <c r="O28" s="94">
        <f t="shared" si="1"/>
        <v>0</v>
      </c>
      <c r="U28" s="66"/>
      <c r="V28" s="115"/>
      <c r="W28" s="115"/>
      <c r="X28" s="115"/>
    </row>
    <row r="29" spans="1:24" ht="23.25" x14ac:dyDescent="0.3">
      <c r="A29" s="94" t="s">
        <v>7</v>
      </c>
      <c r="B29" s="118">
        <f>SUM(B6:B28)</f>
        <v>394.39</v>
      </c>
      <c r="C29" s="94"/>
      <c r="D29" s="94">
        <f>SUM(D6:D28)</f>
        <v>9913.32</v>
      </c>
      <c r="L29" s="94" t="s">
        <v>128</v>
      </c>
      <c r="M29" s="94">
        <v>0</v>
      </c>
      <c r="N29" s="94">
        <v>130</v>
      </c>
      <c r="O29" s="94">
        <f t="shared" si="1"/>
        <v>0</v>
      </c>
      <c r="U29" s="66"/>
      <c r="V29" s="115"/>
      <c r="W29" s="115"/>
      <c r="X29" s="115"/>
    </row>
    <row r="30" spans="1:24" ht="29.25" x14ac:dyDescent="0.4">
      <c r="A30" s="74" t="s">
        <v>127</v>
      </c>
      <c r="B30" s="51">
        <f>D29/B29</f>
        <v>25.135830015974037</v>
      </c>
      <c r="C30" s="51"/>
      <c r="D30" s="51">
        <f>213.6+D29</f>
        <v>10126.92</v>
      </c>
      <c r="L30" s="94" t="s">
        <v>72</v>
      </c>
      <c r="M30" s="94">
        <f>0.05*3</f>
        <v>0.15000000000000002</v>
      </c>
      <c r="N30" s="94">
        <v>270</v>
      </c>
      <c r="O30" s="94">
        <f t="shared" si="1"/>
        <v>40.500000000000007</v>
      </c>
      <c r="U30" s="119" t="s">
        <v>102</v>
      </c>
      <c r="V30" s="120">
        <f>SUM(V8:V29)</f>
        <v>1611</v>
      </c>
      <c r="W30" s="120"/>
      <c r="X30" s="120">
        <f>SUM(X8:X26)</f>
        <v>56790.126315789472</v>
      </c>
    </row>
    <row r="31" spans="1:24" ht="23.25" x14ac:dyDescent="0.3">
      <c r="A31" s="59" t="s">
        <v>130</v>
      </c>
      <c r="B31" s="59" t="s">
        <v>154</v>
      </c>
      <c r="C31" s="121" t="s">
        <v>86</v>
      </c>
      <c r="D31" s="59" t="s">
        <v>102</v>
      </c>
      <c r="G31" s="59" t="s">
        <v>130</v>
      </c>
      <c r="H31" s="59" t="s">
        <v>153</v>
      </c>
      <c r="I31" s="59" t="s">
        <v>86</v>
      </c>
      <c r="J31" s="59" t="s">
        <v>102</v>
      </c>
      <c r="L31" s="94" t="s">
        <v>55</v>
      </c>
      <c r="M31" s="94">
        <f>0.01*3</f>
        <v>0.03</v>
      </c>
      <c r="N31" s="94">
        <v>11</v>
      </c>
      <c r="O31" s="94">
        <f>M31*N31</f>
        <v>0.32999999999999996</v>
      </c>
      <c r="U31" s="150" t="s">
        <v>154</v>
      </c>
      <c r="V31" s="151"/>
      <c r="W31" s="151"/>
      <c r="X31" s="152"/>
    </row>
    <row r="32" spans="1:24" ht="23.25" x14ac:dyDescent="0.3">
      <c r="A32" s="59" t="s">
        <v>147</v>
      </c>
      <c r="B32" s="59">
        <f>B30*0.35</f>
        <v>8.7975405055909128</v>
      </c>
      <c r="C32" s="59">
        <f>B49</f>
        <v>5.1754545454545458</v>
      </c>
      <c r="D32" s="59">
        <f>B32+C32</f>
        <v>13.972995051045459</v>
      </c>
      <c r="G32" s="59" t="s">
        <v>151</v>
      </c>
      <c r="H32" s="59">
        <f>H28*0.38</f>
        <v>9.5089325490013721</v>
      </c>
      <c r="I32" s="59">
        <f>D49</f>
        <v>4.88</v>
      </c>
      <c r="J32" s="59">
        <f>I32+H32</f>
        <v>14.388932549001371</v>
      </c>
      <c r="L32" s="94" t="s">
        <v>117</v>
      </c>
      <c r="M32" s="94">
        <v>0.1</v>
      </c>
      <c r="N32" s="94">
        <v>2500</v>
      </c>
      <c r="O32" s="94">
        <f>M32*N32</f>
        <v>250</v>
      </c>
      <c r="T32" s="5"/>
      <c r="U32" s="66" t="s">
        <v>48</v>
      </c>
      <c r="V32" s="115">
        <v>0.5</v>
      </c>
      <c r="W32" s="115">
        <v>115.35</v>
      </c>
      <c r="X32" s="115">
        <f t="shared" ref="X32:X38" si="4">W32*V32</f>
        <v>57.674999999999997</v>
      </c>
    </row>
    <row r="33" spans="1:24" ht="23.25" x14ac:dyDescent="0.3">
      <c r="A33" s="59" t="s">
        <v>148</v>
      </c>
      <c r="B33" s="59">
        <f>B30*0.8</f>
        <v>20.108664012779229</v>
      </c>
      <c r="C33" s="59">
        <f>C49</f>
        <v>6.08</v>
      </c>
      <c r="D33" s="59">
        <f t="shared" ref="D33:D35" si="5">B33+C33</f>
        <v>26.188664012779228</v>
      </c>
      <c r="G33" s="59" t="s">
        <v>152</v>
      </c>
      <c r="H33" s="59">
        <f>H28*0.9</f>
        <v>22.521156037108515</v>
      </c>
      <c r="I33" s="59">
        <f>E49</f>
        <v>6.63</v>
      </c>
      <c r="J33" s="59">
        <f>I33+H33</f>
        <v>29.151156037108514</v>
      </c>
      <c r="L33" s="94" t="s">
        <v>7</v>
      </c>
      <c r="M33" s="122">
        <f>SUM(M7:M32)</f>
        <v>227.26000000000002</v>
      </c>
      <c r="N33" s="94"/>
      <c r="O33" s="94">
        <f>SUM(O7:O32)</f>
        <v>5391.3099999999995</v>
      </c>
      <c r="T33" s="5"/>
      <c r="U33" s="66" t="s">
        <v>176</v>
      </c>
      <c r="V33" s="115">
        <v>1.5</v>
      </c>
      <c r="W33" s="115">
        <v>70.59</v>
      </c>
      <c r="X33" s="115">
        <f t="shared" si="4"/>
        <v>105.88500000000001</v>
      </c>
    </row>
    <row r="34" spans="1:24" ht="23.25" x14ac:dyDescent="0.3">
      <c r="A34" s="59" t="s">
        <v>139</v>
      </c>
      <c r="B34" s="59">
        <f>B30*5</f>
        <v>125.67915007987018</v>
      </c>
      <c r="C34" s="59">
        <f>J49</f>
        <v>14.26</v>
      </c>
      <c r="D34" s="59">
        <f t="shared" si="5"/>
        <v>139.93915007987019</v>
      </c>
      <c r="G34" s="123" t="s">
        <v>186</v>
      </c>
      <c r="H34" s="123">
        <f>H28*0.4</f>
        <v>10.00940268315934</v>
      </c>
      <c r="I34" s="123">
        <v>4.22</v>
      </c>
      <c r="J34" s="59">
        <f>I34+H34</f>
        <v>14.229402683159339</v>
      </c>
      <c r="L34" s="74" t="s">
        <v>127</v>
      </c>
      <c r="M34" s="51">
        <f>O33/M33</f>
        <v>23.723092493179614</v>
      </c>
      <c r="N34" s="51"/>
      <c r="O34" s="51"/>
      <c r="T34" s="5"/>
      <c r="U34" s="66" t="s">
        <v>177</v>
      </c>
      <c r="V34" s="115">
        <v>2</v>
      </c>
      <c r="W34" s="115">
        <v>25.77</v>
      </c>
      <c r="X34" s="115">
        <f t="shared" si="4"/>
        <v>51.54</v>
      </c>
    </row>
    <row r="35" spans="1:24" ht="25.5" x14ac:dyDescent="0.35">
      <c r="A35" t="s">
        <v>188</v>
      </c>
      <c r="B35">
        <f>B30*0.9</f>
        <v>22.622247014376633</v>
      </c>
      <c r="C35">
        <v>5.0999999999999996</v>
      </c>
      <c r="D35" s="59">
        <f t="shared" si="5"/>
        <v>27.722247014376634</v>
      </c>
      <c r="E35">
        <f>D35*1.5</f>
        <v>41.583370521564952</v>
      </c>
      <c r="G35" s="80" t="s">
        <v>187</v>
      </c>
      <c r="H35" s="80">
        <f>H28*1</f>
        <v>25.023506707898349</v>
      </c>
      <c r="I35" s="80">
        <v>5.63</v>
      </c>
      <c r="J35" s="59">
        <f>I35+H35</f>
        <v>30.653506707898348</v>
      </c>
      <c r="M35" s="74" t="s">
        <v>129</v>
      </c>
      <c r="N35" s="51">
        <v>20</v>
      </c>
      <c r="O35" s="51"/>
      <c r="P35" s="52">
        <f>M34+N35</f>
        <v>43.723092493179614</v>
      </c>
      <c r="T35" s="5"/>
      <c r="U35" s="66" t="s">
        <v>178</v>
      </c>
      <c r="V35" s="115">
        <v>3</v>
      </c>
      <c r="W35" s="115">
        <v>120</v>
      </c>
      <c r="X35" s="115">
        <f t="shared" si="4"/>
        <v>360</v>
      </c>
    </row>
    <row r="36" spans="1:24" ht="23.25" x14ac:dyDescent="0.3">
      <c r="E36">
        <f>E35*1.25</f>
        <v>51.979213151956188</v>
      </c>
      <c r="G36" s="80" t="s">
        <v>242</v>
      </c>
      <c r="H36" s="80">
        <f>H28*0.8</f>
        <v>20.018805366318681</v>
      </c>
      <c r="I36">
        <v>5.6216666670000004</v>
      </c>
      <c r="J36" s="59">
        <f>I36+H36</f>
        <v>25.64047203331868</v>
      </c>
      <c r="T36" s="5"/>
      <c r="U36" s="66" t="s">
        <v>179</v>
      </c>
      <c r="V36" s="115">
        <v>1.5</v>
      </c>
      <c r="W36" s="115">
        <v>220</v>
      </c>
      <c r="X36" s="115">
        <f t="shared" si="4"/>
        <v>330</v>
      </c>
    </row>
    <row r="37" spans="1:24" ht="23.25" x14ac:dyDescent="0.3">
      <c r="E37">
        <f>E36/0.9</f>
        <v>57.754681279951321</v>
      </c>
      <c r="H37">
        <f>K34*1.25</f>
        <v>0</v>
      </c>
      <c r="I37">
        <f>H37/0.9</f>
        <v>0</v>
      </c>
      <c r="L37" s="59" t="s">
        <v>130</v>
      </c>
      <c r="M37" s="59" t="s">
        <v>154</v>
      </c>
      <c r="N37" s="59" t="s">
        <v>86</v>
      </c>
      <c r="O37" s="59" t="s">
        <v>102</v>
      </c>
      <c r="T37" s="5"/>
      <c r="U37" s="66" t="s">
        <v>170</v>
      </c>
      <c r="V37" s="115">
        <v>1</v>
      </c>
      <c r="W37" s="115">
        <v>550</v>
      </c>
      <c r="X37" s="115">
        <f t="shared" si="4"/>
        <v>550</v>
      </c>
    </row>
    <row r="38" spans="1:24" ht="23.25" x14ac:dyDescent="0.3">
      <c r="H38">
        <f>K35*1.25</f>
        <v>0</v>
      </c>
      <c r="I38">
        <f>H38/0.9</f>
        <v>0</v>
      </c>
      <c r="L38" s="59" t="s">
        <v>149</v>
      </c>
      <c r="M38" s="59">
        <f>P35*0.3</f>
        <v>13.116927747953884</v>
      </c>
      <c r="N38" s="59">
        <f>F49</f>
        <v>4.63</v>
      </c>
      <c r="O38" s="59">
        <f>N38+M38</f>
        <v>17.746927747953883</v>
      </c>
      <c r="T38" s="5"/>
      <c r="U38" s="66" t="s">
        <v>115</v>
      </c>
      <c r="V38" s="115">
        <v>7.5</v>
      </c>
      <c r="W38" s="115">
        <v>2</v>
      </c>
      <c r="X38" s="115">
        <f t="shared" si="4"/>
        <v>15</v>
      </c>
    </row>
    <row r="39" spans="1:24" ht="23.25" x14ac:dyDescent="0.3">
      <c r="A39" s="64" t="s">
        <v>130</v>
      </c>
      <c r="B39" s="64" t="s">
        <v>131</v>
      </c>
      <c r="C39" s="64" t="s">
        <v>132</v>
      </c>
      <c r="D39" s="64" t="s">
        <v>133</v>
      </c>
      <c r="E39" s="64" t="s">
        <v>134</v>
      </c>
      <c r="F39" s="64" t="s">
        <v>135</v>
      </c>
      <c r="G39" s="64" t="s">
        <v>136</v>
      </c>
      <c r="H39" s="64" t="s">
        <v>137</v>
      </c>
      <c r="I39" s="64" t="s">
        <v>138</v>
      </c>
      <c r="J39" s="64" t="s">
        <v>139</v>
      </c>
      <c r="L39" s="59" t="s">
        <v>150</v>
      </c>
      <c r="M39" s="59">
        <f>P35*0.7</f>
        <v>30.606164745225726</v>
      </c>
      <c r="N39" s="59">
        <f>G49</f>
        <v>5.99</v>
      </c>
      <c r="O39" s="59">
        <f t="shared" ref="O39:O41" si="6">N39+M39</f>
        <v>36.596164745225728</v>
      </c>
      <c r="T39" s="5"/>
      <c r="U39" s="66" t="s">
        <v>180</v>
      </c>
      <c r="V39" s="115">
        <v>1.5</v>
      </c>
      <c r="W39" s="115">
        <v>95</v>
      </c>
      <c r="X39" s="115">
        <f>W39*V39</f>
        <v>142.5</v>
      </c>
    </row>
    <row r="40" spans="1:24" ht="23.25" x14ac:dyDescent="0.3">
      <c r="A40" s="64" t="s">
        <v>140</v>
      </c>
      <c r="B40" s="64">
        <f>280/110</f>
        <v>2.5454545454545454</v>
      </c>
      <c r="C40" s="64">
        <v>2.5</v>
      </c>
      <c r="D40" s="64">
        <v>2</v>
      </c>
      <c r="E40" s="64">
        <v>2.75</v>
      </c>
      <c r="F40" s="64">
        <v>2</v>
      </c>
      <c r="G40" s="64">
        <v>2.5</v>
      </c>
      <c r="H40" s="64">
        <v>4</v>
      </c>
      <c r="I40" s="64">
        <v>4</v>
      </c>
      <c r="J40" s="64">
        <v>2.2000000000000002</v>
      </c>
      <c r="L40" s="59" t="s">
        <v>137</v>
      </c>
      <c r="M40" s="59">
        <f>P35*5</f>
        <v>218.61546246589808</v>
      </c>
      <c r="N40" s="59">
        <f>H49</f>
        <v>16.059999999999999</v>
      </c>
      <c r="O40" s="59">
        <f t="shared" si="6"/>
        <v>234.67546246589808</v>
      </c>
      <c r="T40" s="5"/>
      <c r="U40" s="66" t="s">
        <v>62</v>
      </c>
      <c r="V40" s="115">
        <v>0.5</v>
      </c>
      <c r="W40" s="115"/>
      <c r="X40" s="115"/>
    </row>
    <row r="41" spans="1:24" ht="23.25" x14ac:dyDescent="0.3">
      <c r="A41" s="64" t="s">
        <v>141</v>
      </c>
      <c r="B41" s="64">
        <v>0.76</v>
      </c>
      <c r="C41" s="64">
        <v>1.02</v>
      </c>
      <c r="D41" s="64">
        <v>0.76</v>
      </c>
      <c r="E41" s="64"/>
      <c r="F41" s="64">
        <v>0.76</v>
      </c>
      <c r="G41" s="64">
        <v>1.02</v>
      </c>
      <c r="H41" s="64"/>
      <c r="I41" s="64"/>
      <c r="J41" s="64"/>
      <c r="L41" s="59" t="s">
        <v>138</v>
      </c>
      <c r="M41" s="59">
        <f>M34*5</f>
        <v>118.61546246589808</v>
      </c>
      <c r="N41" s="59">
        <f>I49</f>
        <v>16.059999999999999</v>
      </c>
      <c r="O41" s="59">
        <f t="shared" si="6"/>
        <v>134.67546246589808</v>
      </c>
      <c r="T41" s="5"/>
      <c r="U41" s="66" t="s">
        <v>181</v>
      </c>
      <c r="V41" s="115">
        <f>SUM(V32:V40)</f>
        <v>19</v>
      </c>
      <c r="W41" s="115"/>
      <c r="X41" s="115">
        <f>SUM(X32:X39)</f>
        <v>1612.6</v>
      </c>
    </row>
    <row r="42" spans="1:24" ht="21" x14ac:dyDescent="0.3">
      <c r="A42" s="64" t="s">
        <v>142</v>
      </c>
      <c r="B42" s="64">
        <v>1.8</v>
      </c>
      <c r="C42" s="64">
        <v>2.4</v>
      </c>
      <c r="D42" s="64">
        <v>1.8</v>
      </c>
      <c r="E42" s="64">
        <v>2.4</v>
      </c>
      <c r="F42" s="64">
        <v>1.8</v>
      </c>
      <c r="G42" s="64">
        <v>2.4</v>
      </c>
      <c r="H42" s="59">
        <v>12</v>
      </c>
      <c r="I42" s="59">
        <v>12</v>
      </c>
      <c r="J42" s="59">
        <v>12</v>
      </c>
      <c r="L42" s="59"/>
      <c r="M42" s="59"/>
      <c r="N42" s="59"/>
      <c r="O42" s="59"/>
      <c r="U42" s="66" t="s">
        <v>127</v>
      </c>
      <c r="V42" s="115"/>
      <c r="W42" s="115"/>
      <c r="X42" s="115">
        <f>X41/V41</f>
        <v>84.873684210526307</v>
      </c>
    </row>
    <row r="43" spans="1:24" ht="21" x14ac:dyDescent="0.3">
      <c r="A43" s="64" t="s">
        <v>143</v>
      </c>
      <c r="B43" s="64">
        <v>7.0000000000000007E-2</v>
      </c>
      <c r="C43" s="64">
        <v>7.0000000000000007E-2</v>
      </c>
      <c r="D43" s="64">
        <v>7.0000000000000007E-2</v>
      </c>
      <c r="E43" s="64">
        <v>7.0000000000000007E-2</v>
      </c>
      <c r="F43" s="64">
        <v>7.0000000000000007E-2</v>
      </c>
      <c r="G43" s="64">
        <v>7.0000000000000007E-2</v>
      </c>
      <c r="H43" s="64"/>
      <c r="I43" s="64"/>
      <c r="J43" s="64"/>
      <c r="U43" s="66"/>
      <c r="V43" s="115"/>
      <c r="W43" s="115"/>
      <c r="X43" s="115"/>
    </row>
    <row r="44" spans="1:24" ht="21" x14ac:dyDescent="0.3">
      <c r="A44" s="64" t="s">
        <v>144</v>
      </c>
      <c r="B44" s="64"/>
      <c r="C44" s="64"/>
      <c r="D44" s="64"/>
      <c r="E44" s="64">
        <v>0.06</v>
      </c>
      <c r="F44" s="64"/>
      <c r="G44" s="64"/>
      <c r="H44" s="64">
        <v>0.06</v>
      </c>
      <c r="I44" s="64">
        <v>0.06</v>
      </c>
      <c r="J44" s="64">
        <v>0.06</v>
      </c>
      <c r="U44" s="66"/>
      <c r="V44" s="115"/>
      <c r="W44" s="115"/>
      <c r="X44" s="115"/>
    </row>
    <row r="45" spans="1:24" ht="21" x14ac:dyDescent="0.3">
      <c r="A45" s="64" t="s">
        <v>100</v>
      </c>
      <c r="B45" s="64"/>
      <c r="C45" s="64"/>
      <c r="D45" s="64">
        <v>0.25</v>
      </c>
      <c r="E45" s="64">
        <v>0.6</v>
      </c>
      <c r="F45" s="64"/>
      <c r="G45" s="64"/>
      <c r="H45" s="64"/>
      <c r="I45" s="64"/>
      <c r="J45" s="64"/>
      <c r="U45" s="66" t="s">
        <v>182</v>
      </c>
      <c r="V45" s="115"/>
      <c r="W45" s="115"/>
      <c r="X45" s="115"/>
    </row>
    <row r="46" spans="1:24" ht="21" x14ac:dyDescent="0.3">
      <c r="A46" s="64" t="s">
        <v>145</v>
      </c>
      <c r="B46" s="64"/>
      <c r="C46" s="64">
        <v>0.09</v>
      </c>
      <c r="D46" s="64"/>
      <c r="E46" s="64"/>
      <c r="F46" s="64"/>
      <c r="G46" s="64"/>
      <c r="H46" s="64"/>
      <c r="I46" s="64"/>
      <c r="J46" s="64"/>
      <c r="N46">
        <f>H27*3</f>
        <v>1290.27</v>
      </c>
      <c r="O46">
        <f>2*H27</f>
        <v>860.18</v>
      </c>
      <c r="U46" s="66"/>
      <c r="V46" s="115"/>
      <c r="W46" s="115"/>
      <c r="X46" s="115"/>
    </row>
    <row r="47" spans="1:24" ht="21" x14ac:dyDescent="0.3">
      <c r="A47" s="64" t="s">
        <v>146</v>
      </c>
      <c r="B47" s="64"/>
      <c r="C47" s="64"/>
      <c r="D47" s="64"/>
      <c r="E47" s="64">
        <v>0.75</v>
      </c>
      <c r="F47" s="64"/>
      <c r="G47" s="64"/>
      <c r="H47" s="64"/>
      <c r="I47" s="64"/>
      <c r="J47" s="64"/>
      <c r="N47">
        <f>N46*0.11</f>
        <v>141.9297</v>
      </c>
      <c r="O47">
        <f>O46*0.11</f>
        <v>94.619799999999998</v>
      </c>
      <c r="U47" s="66" t="s">
        <v>183</v>
      </c>
      <c r="V47" s="115">
        <v>9</v>
      </c>
      <c r="W47" s="115">
        <v>23.96</v>
      </c>
      <c r="X47" s="115">
        <f>W47*V47</f>
        <v>215.64000000000001</v>
      </c>
    </row>
    <row r="48" spans="1:24" ht="21" x14ac:dyDescent="0.3">
      <c r="A48" s="64"/>
      <c r="B48" s="64"/>
      <c r="C48" s="64"/>
      <c r="D48" s="64"/>
      <c r="E48" s="64"/>
      <c r="F48" s="64"/>
      <c r="G48" s="64"/>
      <c r="H48" s="64"/>
      <c r="I48" s="64"/>
      <c r="J48" s="64"/>
      <c r="U48" s="66" t="s">
        <v>184</v>
      </c>
      <c r="V48" s="115">
        <v>300</v>
      </c>
      <c r="W48" s="115">
        <v>18.3</v>
      </c>
      <c r="X48" s="115">
        <f>W48*V48</f>
        <v>5490</v>
      </c>
    </row>
    <row r="49" spans="1:24" ht="21" x14ac:dyDescent="0.3">
      <c r="A49" s="64" t="s">
        <v>102</v>
      </c>
      <c r="B49" s="64">
        <f>SUM(B40:B48)</f>
        <v>5.1754545454545458</v>
      </c>
      <c r="C49" s="64">
        <f t="shared" ref="C49:G49" si="7">SUM(C40:C48)</f>
        <v>6.08</v>
      </c>
      <c r="D49" s="64">
        <f t="shared" si="7"/>
        <v>4.88</v>
      </c>
      <c r="E49" s="64">
        <f t="shared" si="7"/>
        <v>6.63</v>
      </c>
      <c r="F49" s="64">
        <f t="shared" si="7"/>
        <v>4.63</v>
      </c>
      <c r="G49" s="64">
        <f t="shared" si="7"/>
        <v>5.99</v>
      </c>
      <c r="H49" s="64">
        <f>SUM(H40:H48)</f>
        <v>16.059999999999999</v>
      </c>
      <c r="I49" s="64">
        <f>SUM(I40:I48)</f>
        <v>16.059999999999999</v>
      </c>
      <c r="J49" s="64">
        <f>SUM(J40:J48)</f>
        <v>14.26</v>
      </c>
      <c r="U49" s="66" t="s">
        <v>185</v>
      </c>
      <c r="V49" s="115">
        <v>61.8</v>
      </c>
      <c r="W49" s="115">
        <v>165</v>
      </c>
      <c r="X49" s="115">
        <f>W49*V49</f>
        <v>10197</v>
      </c>
    </row>
    <row r="50" spans="1:24" ht="21" x14ac:dyDescent="0.3">
      <c r="B50">
        <v>385</v>
      </c>
      <c r="C50">
        <v>193</v>
      </c>
      <c r="D50">
        <v>138</v>
      </c>
      <c r="E50">
        <v>408</v>
      </c>
      <c r="F50">
        <v>131</v>
      </c>
      <c r="G50">
        <v>109</v>
      </c>
      <c r="U50" s="66"/>
      <c r="V50" s="115"/>
      <c r="W50" s="115"/>
      <c r="X50" s="115"/>
    </row>
    <row r="51" spans="1:24" ht="21" x14ac:dyDescent="0.3">
      <c r="B51">
        <f>B50*B49</f>
        <v>1992.5500000000002</v>
      </c>
      <c r="C51">
        <f>C49*C50</f>
        <v>1173.44</v>
      </c>
      <c r="D51">
        <f>D50*D49</f>
        <v>673.43999999999994</v>
      </c>
      <c r="E51">
        <f>E50*E49</f>
        <v>2705.04</v>
      </c>
      <c r="F51">
        <f>F50*F49</f>
        <v>606.53</v>
      </c>
      <c r="G51">
        <f>G50*G49</f>
        <v>652.91</v>
      </c>
      <c r="U51" s="66"/>
      <c r="V51" s="115"/>
      <c r="W51" s="115"/>
      <c r="X51" s="115"/>
    </row>
    <row r="52" spans="1:24" ht="21" x14ac:dyDescent="0.3">
      <c r="U52" s="66"/>
      <c r="V52" s="115"/>
      <c r="W52" s="115"/>
      <c r="X52" s="115"/>
    </row>
    <row r="53" spans="1:24" ht="21" x14ac:dyDescent="0.3">
      <c r="U53" s="66"/>
      <c r="V53" s="115"/>
      <c r="W53" s="115"/>
      <c r="X53" s="115"/>
    </row>
    <row r="54" spans="1:24" ht="21" x14ac:dyDescent="0.3">
      <c r="U54" s="66"/>
      <c r="V54" s="115"/>
      <c r="W54" s="115"/>
      <c r="X54" s="115"/>
    </row>
    <row r="55" spans="1:24" ht="21" x14ac:dyDescent="0.3">
      <c r="U55" s="66"/>
      <c r="V55" s="115"/>
      <c r="W55" s="115"/>
      <c r="X55" s="115"/>
    </row>
    <row r="56" spans="1:24" ht="21" x14ac:dyDescent="0.3">
      <c r="U56" s="66"/>
      <c r="V56" s="115"/>
      <c r="W56" s="115"/>
      <c r="X56" s="115"/>
    </row>
    <row r="57" spans="1:24" ht="21" x14ac:dyDescent="0.3">
      <c r="H57" s="49"/>
      <c r="I57" s="49"/>
      <c r="J57" s="49"/>
      <c r="K57" s="49"/>
      <c r="L57" s="49"/>
      <c r="M57" s="49"/>
      <c r="N57" s="49"/>
      <c r="U57" s="66"/>
      <c r="V57" s="115"/>
      <c r="W57" s="115"/>
      <c r="X57" s="115"/>
    </row>
    <row r="58" spans="1:24" ht="21" x14ac:dyDescent="0.3">
      <c r="H58" s="67" t="s">
        <v>127</v>
      </c>
      <c r="I58" s="67" t="s">
        <v>193</v>
      </c>
      <c r="J58" s="67" t="s">
        <v>192</v>
      </c>
      <c r="K58" s="67" t="s">
        <v>191</v>
      </c>
      <c r="L58" s="67" t="s">
        <v>190</v>
      </c>
      <c r="M58" s="67" t="s">
        <v>189</v>
      </c>
      <c r="N58" s="67" t="s">
        <v>130</v>
      </c>
      <c r="U58" s="66"/>
      <c r="V58" s="115"/>
      <c r="W58" s="115"/>
      <c r="X58" s="115"/>
    </row>
    <row r="59" spans="1:24" ht="21" x14ac:dyDescent="0.3">
      <c r="H59" s="67"/>
      <c r="I59" s="67"/>
      <c r="J59" s="67"/>
      <c r="K59" s="67"/>
      <c r="L59" s="67"/>
      <c r="M59" s="67"/>
      <c r="N59" s="67"/>
      <c r="U59" s="62"/>
      <c r="V59" s="112"/>
      <c r="W59" s="112"/>
      <c r="X59" s="112"/>
    </row>
    <row r="60" spans="1:24" ht="18.75" x14ac:dyDescent="0.25">
      <c r="H60" s="67">
        <f>I60/0.4</f>
        <v>27.8</v>
      </c>
      <c r="I60" s="67">
        <f>J60-D49</f>
        <v>11.120000000000001</v>
      </c>
      <c r="J60" s="67">
        <f>K60/1.5</f>
        <v>16</v>
      </c>
      <c r="K60" s="67">
        <v>24</v>
      </c>
      <c r="L60" s="67">
        <f>K60*1.25</f>
        <v>30</v>
      </c>
      <c r="M60" s="67">
        <f>L60/0.9</f>
        <v>33.333333333333336</v>
      </c>
      <c r="N60" s="67" t="s">
        <v>92</v>
      </c>
    </row>
    <row r="61" spans="1:24" ht="18.75" x14ac:dyDescent="0.25">
      <c r="H61" s="67"/>
      <c r="I61" s="67"/>
      <c r="J61" s="67">
        <f t="shared" ref="J61:J70" si="8">K61/1.5</f>
        <v>0</v>
      </c>
      <c r="K61" s="67"/>
      <c r="L61" s="67"/>
      <c r="M61" s="67"/>
      <c r="N61" s="67"/>
    </row>
    <row r="62" spans="1:24" ht="18.75" x14ac:dyDescent="0.25">
      <c r="H62" s="67"/>
      <c r="I62" s="67">
        <f>J62-E49-0.2</f>
        <v>29.836666666666666</v>
      </c>
      <c r="J62" s="67">
        <f t="shared" si="8"/>
        <v>36.666666666666664</v>
      </c>
      <c r="K62" s="67">
        <v>55</v>
      </c>
      <c r="L62" s="67">
        <f>K62*1.25</f>
        <v>68.75</v>
      </c>
      <c r="M62" s="67">
        <f>L62/0.9</f>
        <v>76.388888888888886</v>
      </c>
      <c r="N62" s="67" t="s">
        <v>194</v>
      </c>
    </row>
    <row r="63" spans="1:24" ht="18.75" x14ac:dyDescent="0.25">
      <c r="H63" s="67"/>
      <c r="I63" s="67"/>
      <c r="J63" s="67">
        <f t="shared" si="8"/>
        <v>0</v>
      </c>
      <c r="K63" s="67"/>
      <c r="L63" s="67"/>
      <c r="M63" s="67"/>
      <c r="N63" s="67"/>
    </row>
    <row r="64" spans="1:24" ht="18.75" x14ac:dyDescent="0.25">
      <c r="H64" s="67">
        <f>I64/0.35</f>
        <v>27.117748917748916</v>
      </c>
      <c r="I64" s="67">
        <f>J64-B49</f>
        <v>9.4912121212121203</v>
      </c>
      <c r="J64" s="67">
        <f t="shared" si="8"/>
        <v>14.666666666666666</v>
      </c>
      <c r="K64" s="67">
        <v>22</v>
      </c>
      <c r="L64" s="67">
        <f>K64*1.25</f>
        <v>27.5</v>
      </c>
      <c r="M64" s="67">
        <f>L64/0.9</f>
        <v>30.555555555555554</v>
      </c>
      <c r="N64" s="67" t="s">
        <v>90</v>
      </c>
    </row>
    <row r="65" spans="1:14" ht="18.75" x14ac:dyDescent="0.25">
      <c r="H65" s="67"/>
      <c r="I65" s="67"/>
      <c r="J65" s="67">
        <f t="shared" si="8"/>
        <v>0</v>
      </c>
      <c r="K65" s="67"/>
      <c r="L65" s="67"/>
      <c r="M65" s="67"/>
      <c r="N65" s="67"/>
    </row>
    <row r="66" spans="1:14" ht="18.75" x14ac:dyDescent="0.25">
      <c r="H66" s="67">
        <f>I66/0.9</f>
        <v>31.022222222222222</v>
      </c>
      <c r="I66" s="67">
        <f>J66-C49</f>
        <v>27.92</v>
      </c>
      <c r="J66" s="67">
        <f t="shared" si="8"/>
        <v>34</v>
      </c>
      <c r="K66" s="67">
        <v>51</v>
      </c>
      <c r="L66" s="67">
        <f>K66*1.25</f>
        <v>63.75</v>
      </c>
      <c r="M66" s="67">
        <f>L66/0.9</f>
        <v>70.833333333333329</v>
      </c>
      <c r="N66" s="67" t="s">
        <v>195</v>
      </c>
    </row>
    <row r="67" spans="1:14" ht="18.75" x14ac:dyDescent="0.25">
      <c r="H67" s="67"/>
      <c r="I67" s="67"/>
      <c r="J67" s="67">
        <f t="shared" si="8"/>
        <v>0</v>
      </c>
      <c r="K67" s="67"/>
      <c r="L67" s="67"/>
      <c r="M67" s="67"/>
      <c r="N67" s="67"/>
    </row>
    <row r="68" spans="1:14" ht="18.75" x14ac:dyDescent="0.25">
      <c r="H68" s="67">
        <f>I68/0.4</f>
        <v>46.758333333333333</v>
      </c>
      <c r="I68" s="67">
        <f>J68-F49</f>
        <v>18.703333333333333</v>
      </c>
      <c r="J68" s="67">
        <f t="shared" si="8"/>
        <v>23.333333333333332</v>
      </c>
      <c r="K68" s="67">
        <v>35</v>
      </c>
      <c r="L68" s="67">
        <f>K68*1.25</f>
        <v>43.75</v>
      </c>
      <c r="M68" s="67">
        <f>L68/0.9</f>
        <v>48.611111111111107</v>
      </c>
      <c r="N68" s="67" t="s">
        <v>87</v>
      </c>
    </row>
    <row r="69" spans="1:14" ht="18.75" x14ac:dyDescent="0.25">
      <c r="H69" s="49"/>
      <c r="I69" s="49"/>
      <c r="J69" s="49">
        <f t="shared" si="8"/>
        <v>0</v>
      </c>
      <c r="K69" s="49"/>
      <c r="L69" s="49"/>
      <c r="M69" s="49"/>
      <c r="N69" s="49"/>
    </row>
    <row r="70" spans="1:14" x14ac:dyDescent="0.2">
      <c r="H70">
        <f>H68*0.7</f>
        <v>32.730833333333329</v>
      </c>
      <c r="J70">
        <f t="shared" si="8"/>
        <v>0</v>
      </c>
    </row>
    <row r="71" spans="1:14" x14ac:dyDescent="0.2">
      <c r="H71">
        <f>H70+G49</f>
        <v>38.720833333333331</v>
      </c>
    </row>
    <row r="72" spans="1:14" x14ac:dyDescent="0.2">
      <c r="H72">
        <f>H71*1.5</f>
        <v>58.081249999999997</v>
      </c>
    </row>
    <row r="73" spans="1:14" x14ac:dyDescent="0.2">
      <c r="G73">
        <f>H68*5</f>
        <v>233.79166666666666</v>
      </c>
      <c r="H73">
        <f>H72*1.25</f>
        <v>72.6015625</v>
      </c>
    </row>
    <row r="75" spans="1:14" x14ac:dyDescent="0.2">
      <c r="G75">
        <f>G73+H49</f>
        <v>249.85166666666666</v>
      </c>
    </row>
    <row r="76" spans="1:14" x14ac:dyDescent="0.2">
      <c r="G76">
        <f>G75*1.33</f>
        <v>332.3027166666667</v>
      </c>
    </row>
    <row r="78" spans="1:14" x14ac:dyDescent="0.2">
      <c r="A78" t="s">
        <v>35</v>
      </c>
    </row>
    <row r="79" spans="1:14" ht="57" x14ac:dyDescent="0.8">
      <c r="B79" s="124"/>
      <c r="C79" s="153" t="s">
        <v>207</v>
      </c>
      <c r="D79" s="153"/>
      <c r="E79" s="124"/>
      <c r="F79" s="124"/>
    </row>
    <row r="80" spans="1:14" ht="57" x14ac:dyDescent="0.8">
      <c r="B80" s="125" t="s">
        <v>130</v>
      </c>
      <c r="C80" s="125" t="str">
        <f>M37</f>
        <v>الخلطة</v>
      </c>
      <c r="D80" s="125" t="str">
        <f>N37</f>
        <v>تغليف</v>
      </c>
      <c r="E80" s="125" t="str">
        <f>O37</f>
        <v>الاجمالى</v>
      </c>
      <c r="F80" s="124"/>
    </row>
    <row r="81" spans="2:6" ht="57" x14ac:dyDescent="0.8">
      <c r="B81" s="125" t="s">
        <v>149</v>
      </c>
      <c r="C81" s="125">
        <f>M38</f>
        <v>13.116927747953884</v>
      </c>
      <c r="D81" s="125">
        <f>N38</f>
        <v>4.63</v>
      </c>
      <c r="E81" s="125">
        <f>O38</f>
        <v>17.746927747953883</v>
      </c>
      <c r="F81" s="124"/>
    </row>
    <row r="82" spans="2:6" ht="57" x14ac:dyDescent="0.8">
      <c r="B82" s="125" t="s">
        <v>150</v>
      </c>
      <c r="C82" s="125">
        <f>M39</f>
        <v>30.606164745225726</v>
      </c>
      <c r="D82" s="125">
        <f>N39</f>
        <v>5.99</v>
      </c>
      <c r="E82" s="125">
        <f>O39</f>
        <v>36.596164745225728</v>
      </c>
      <c r="F82" s="124"/>
    </row>
    <row r="83" spans="2:6" ht="57" x14ac:dyDescent="0.8">
      <c r="B83" s="125" t="s">
        <v>137</v>
      </c>
      <c r="C83" s="125">
        <f>M40</f>
        <v>218.61546246589808</v>
      </c>
      <c r="D83" s="125">
        <f>N40</f>
        <v>16.059999999999999</v>
      </c>
      <c r="E83" s="125">
        <f>O40</f>
        <v>234.67546246589808</v>
      </c>
      <c r="F83" s="124"/>
    </row>
    <row r="84" spans="2:6" ht="57" x14ac:dyDescent="0.8">
      <c r="B84" s="125" t="s">
        <v>138</v>
      </c>
      <c r="C84" s="125">
        <f>M41</f>
        <v>118.61546246589808</v>
      </c>
      <c r="D84" s="125">
        <f>N41</f>
        <v>16.059999999999999</v>
      </c>
      <c r="E84" s="125">
        <f>O41</f>
        <v>134.67546246589808</v>
      </c>
      <c r="F84" s="124"/>
    </row>
    <row r="85" spans="2:6" ht="57" x14ac:dyDescent="0.8">
      <c r="B85" s="125"/>
      <c r="C85" s="125"/>
      <c r="D85" s="125"/>
      <c r="E85" s="125"/>
      <c r="F85" s="124"/>
    </row>
    <row r="86" spans="2:6" ht="57" x14ac:dyDescent="0.8">
      <c r="B86" s="125" t="s">
        <v>130</v>
      </c>
      <c r="C86" s="125" t="s">
        <v>154</v>
      </c>
      <c r="D86" s="125" t="s">
        <v>86</v>
      </c>
      <c r="E86" s="125" t="s">
        <v>102</v>
      </c>
      <c r="F86" s="124"/>
    </row>
    <row r="87" spans="2:6" ht="57" x14ac:dyDescent="0.8">
      <c r="B87" s="125" t="s">
        <v>147</v>
      </c>
      <c r="C87" s="125">
        <f>B32</f>
        <v>8.7975405055909128</v>
      </c>
      <c r="D87" s="125">
        <f>C32</f>
        <v>5.1754545454545458</v>
      </c>
      <c r="E87" s="125">
        <f>D32</f>
        <v>13.972995051045459</v>
      </c>
      <c r="F87" s="124"/>
    </row>
    <row r="88" spans="2:6" ht="57" x14ac:dyDescent="0.8">
      <c r="B88" s="125" t="s">
        <v>148</v>
      </c>
      <c r="C88" s="125">
        <f>B33</f>
        <v>20.108664012779229</v>
      </c>
      <c r="D88" s="125">
        <f>C33</f>
        <v>6.08</v>
      </c>
      <c r="E88" s="125">
        <f>D33</f>
        <v>26.188664012779228</v>
      </c>
      <c r="F88" s="124"/>
    </row>
    <row r="89" spans="2:6" ht="57" x14ac:dyDescent="0.8">
      <c r="B89" s="125" t="s">
        <v>139</v>
      </c>
      <c r="C89" s="125">
        <f>B34</f>
        <v>125.67915007987018</v>
      </c>
      <c r="D89" s="125">
        <f>C34</f>
        <v>14.26</v>
      </c>
      <c r="E89" s="125">
        <f>D34</f>
        <v>139.93915007987019</v>
      </c>
      <c r="F89" s="124"/>
    </row>
    <row r="90" spans="2:6" ht="57" x14ac:dyDescent="0.8">
      <c r="B90" s="125"/>
      <c r="C90" s="125"/>
      <c r="D90" s="125"/>
      <c r="E90" s="125"/>
      <c r="F90" s="124"/>
    </row>
    <row r="91" spans="2:6" ht="57" x14ac:dyDescent="0.8">
      <c r="B91" s="125" t="s">
        <v>130</v>
      </c>
      <c r="C91" s="125" t="s">
        <v>153</v>
      </c>
      <c r="D91" s="125" t="s">
        <v>86</v>
      </c>
      <c r="E91" s="125" t="s">
        <v>102</v>
      </c>
      <c r="F91" s="124"/>
    </row>
    <row r="92" spans="2:6" ht="57" x14ac:dyDescent="0.8">
      <c r="B92" s="125" t="s">
        <v>151</v>
      </c>
      <c r="C92" s="125">
        <f>H32</f>
        <v>9.5089325490013721</v>
      </c>
      <c r="D92" s="125">
        <f>I32</f>
        <v>4.88</v>
      </c>
      <c r="E92" s="125">
        <f>J32</f>
        <v>14.388932549001371</v>
      </c>
      <c r="F92" s="124"/>
    </row>
    <row r="93" spans="2:6" ht="57" x14ac:dyDescent="0.8">
      <c r="B93" s="125" t="s">
        <v>152</v>
      </c>
      <c r="C93" s="125">
        <f>H33</f>
        <v>22.521156037108515</v>
      </c>
      <c r="D93" s="125">
        <f>I33</f>
        <v>6.63</v>
      </c>
      <c r="E93" s="125">
        <f>J33</f>
        <v>29.151156037108514</v>
      </c>
      <c r="F93" s="124"/>
    </row>
    <row r="94" spans="2:6" ht="57" hidden="1" x14ac:dyDescent="0.8">
      <c r="B94" s="125"/>
      <c r="C94" s="125"/>
      <c r="D94" s="125"/>
      <c r="E94" s="125"/>
      <c r="F94" s="124"/>
    </row>
    <row r="95" spans="2:6" ht="57" hidden="1" x14ac:dyDescent="0.8">
      <c r="B95" s="125"/>
      <c r="C95" s="125"/>
      <c r="D95" s="125"/>
      <c r="E95" s="125"/>
      <c r="F95" s="124"/>
    </row>
    <row r="96" spans="2:6" ht="57" hidden="1" x14ac:dyDescent="0.2">
      <c r="B96" s="126"/>
      <c r="C96" s="126"/>
      <c r="D96" s="126"/>
      <c r="E96" s="126"/>
      <c r="F96" s="124"/>
    </row>
    <row r="97" spans="1:6" ht="57" x14ac:dyDescent="0.8">
      <c r="B97" s="126"/>
      <c r="C97" s="154" t="s">
        <v>208</v>
      </c>
      <c r="D97" s="154"/>
      <c r="E97" s="126"/>
      <c r="F97" s="124"/>
    </row>
    <row r="98" spans="1:6" ht="57" x14ac:dyDescent="0.8">
      <c r="B98" s="127" t="s">
        <v>130</v>
      </c>
      <c r="C98" s="127" t="s">
        <v>154</v>
      </c>
      <c r="D98" s="127" t="s">
        <v>86</v>
      </c>
      <c r="E98" s="127" t="s">
        <v>102</v>
      </c>
      <c r="F98" s="124"/>
    </row>
    <row r="99" spans="1:6" ht="57" x14ac:dyDescent="0.8">
      <c r="A99" s="128">
        <f>'اسبشيال 2026'!C30</f>
        <v>24.917771748776591</v>
      </c>
      <c r="B99" s="127" t="s">
        <v>247</v>
      </c>
      <c r="C99" s="127">
        <v>9.9671086995106375</v>
      </c>
      <c r="D99" s="127">
        <v>5.5</v>
      </c>
      <c r="E99" s="127">
        <v>15.467108699510639</v>
      </c>
      <c r="F99" s="124"/>
    </row>
    <row r="100" spans="1:6" ht="57" x14ac:dyDescent="0.8">
      <c r="B100" s="127" t="s">
        <v>248</v>
      </c>
      <c r="C100" s="127">
        <v>24.917771748776591</v>
      </c>
      <c r="D100" s="127">
        <v>6.7</v>
      </c>
      <c r="E100" s="127">
        <v>31.617771748776601</v>
      </c>
      <c r="F100" s="124"/>
    </row>
    <row r="101" spans="1:6" ht="57" x14ac:dyDescent="0.8">
      <c r="B101" s="125"/>
      <c r="C101" s="125"/>
      <c r="D101" s="125"/>
      <c r="E101" s="125"/>
      <c r="F101" s="124"/>
    </row>
    <row r="102" spans="1:6" ht="57" x14ac:dyDescent="0.8">
      <c r="B102" s="125" t="s">
        <v>130</v>
      </c>
      <c r="C102" s="125" t="s">
        <v>153</v>
      </c>
      <c r="D102" s="125" t="s">
        <v>86</v>
      </c>
      <c r="E102" s="125" t="s">
        <v>102</v>
      </c>
      <c r="F102" s="124"/>
    </row>
    <row r="103" spans="1:6" ht="57" x14ac:dyDescent="0.8">
      <c r="A103" s="128">
        <f>'اسبشيال 2026'!J32</f>
        <v>16.666666666666668</v>
      </c>
      <c r="B103" s="125" t="s">
        <v>250</v>
      </c>
      <c r="C103" s="125">
        <v>12.90806479940775</v>
      </c>
      <c r="D103" s="125">
        <v>5.2</v>
      </c>
      <c r="E103" s="125">
        <v>18.108064799407799</v>
      </c>
      <c r="F103" s="124"/>
    </row>
    <row r="104" spans="1:6" ht="57" x14ac:dyDescent="0.8">
      <c r="B104" s="125" t="s">
        <v>251</v>
      </c>
      <c r="C104" s="125">
        <v>30.118817865284747</v>
      </c>
      <c r="D104" s="125">
        <v>7.2</v>
      </c>
      <c r="E104" s="125">
        <v>37.3188178652847</v>
      </c>
      <c r="F104" s="124"/>
    </row>
    <row r="105" spans="1:6" ht="57" x14ac:dyDescent="0.2">
      <c r="B105" s="126" t="s">
        <v>252</v>
      </c>
      <c r="C105" s="126">
        <v>215.1344133234625</v>
      </c>
      <c r="D105" s="126">
        <v>14</v>
      </c>
      <c r="E105" s="126">
        <v>229.13441332346301</v>
      </c>
      <c r="F105" s="124"/>
    </row>
    <row r="106" spans="1:6" ht="57" x14ac:dyDescent="0.8">
      <c r="B106" s="125" t="s">
        <v>130</v>
      </c>
      <c r="C106" s="125" t="s">
        <v>154</v>
      </c>
      <c r="D106" s="125" t="s">
        <v>86</v>
      </c>
      <c r="E106" s="125" t="s">
        <v>102</v>
      </c>
      <c r="F106" s="124"/>
    </row>
    <row r="107" spans="1:6" ht="57" x14ac:dyDescent="0.8">
      <c r="A107" s="128">
        <f>'اسبشيال 2026'!O35</f>
        <v>30.560673234811166</v>
      </c>
      <c r="B107" s="125" t="s">
        <v>253</v>
      </c>
      <c r="C107" s="125">
        <f>'اسبشيال 2026'!O39</f>
        <v>10.696235632183907</v>
      </c>
      <c r="D107" s="125">
        <f>'اسبشيال 2026'!P39</f>
        <v>5.5</v>
      </c>
      <c r="E107" s="125">
        <f>'اسبشيال 2026'!Q39</f>
        <v>16.196235632183907</v>
      </c>
      <c r="F107" s="124"/>
    </row>
    <row r="108" spans="1:6" ht="57" x14ac:dyDescent="0.8">
      <c r="B108" s="125" t="s">
        <v>244</v>
      </c>
      <c r="C108" s="125">
        <f>'اسبشيال 2026'!O40</f>
        <v>27.504605911330049</v>
      </c>
      <c r="D108" s="125">
        <f>'اسبشيال 2026'!P40</f>
        <v>7.2</v>
      </c>
      <c r="E108" s="125">
        <f>'اسبشيال 2026'!Q40</f>
        <v>34.704605911330049</v>
      </c>
      <c r="F108" s="124"/>
    </row>
    <row r="109" spans="1:6" ht="57" hidden="1" x14ac:dyDescent="0.2">
      <c r="B109" s="126"/>
      <c r="C109" s="126"/>
      <c r="D109" s="126"/>
      <c r="E109" s="126"/>
      <c r="F109" s="124"/>
    </row>
    <row r="110" spans="1:6" ht="57" x14ac:dyDescent="0.2">
      <c r="B110" s="126"/>
      <c r="C110" s="126" t="s">
        <v>257</v>
      </c>
      <c r="D110" s="126"/>
      <c r="E110" s="126"/>
      <c r="F110" s="124"/>
    </row>
    <row r="111" spans="1:6" ht="57" x14ac:dyDescent="0.2">
      <c r="B111" s="126"/>
      <c r="C111" s="126"/>
      <c r="D111" s="126"/>
      <c r="E111" s="126"/>
      <c r="F111" s="124"/>
    </row>
    <row r="112" spans="1:6" ht="57" x14ac:dyDescent="0.8">
      <c r="B112" s="129" t="s">
        <v>36</v>
      </c>
      <c r="C112" s="129" t="s">
        <v>37</v>
      </c>
      <c r="D112" s="129" t="s">
        <v>38</v>
      </c>
      <c r="E112" s="130" t="s">
        <v>7</v>
      </c>
      <c r="F112" s="124"/>
    </row>
    <row r="113" spans="2:6" ht="57" x14ac:dyDescent="0.8">
      <c r="B113" s="125" t="s">
        <v>258</v>
      </c>
      <c r="C113" s="125">
        <v>31.346069747027371</v>
      </c>
      <c r="D113" s="125">
        <v>4.99</v>
      </c>
      <c r="E113" s="131">
        <v>36.336069747027402</v>
      </c>
      <c r="F113" s="124"/>
    </row>
    <row r="114" spans="2:6" ht="57" x14ac:dyDescent="0.8">
      <c r="B114" s="125" t="s">
        <v>259</v>
      </c>
      <c r="C114" s="125">
        <v>62.692139494054743</v>
      </c>
      <c r="D114" s="125">
        <v>0</v>
      </c>
      <c r="E114" s="131">
        <v>62.6921394940547</v>
      </c>
      <c r="F114" s="124"/>
    </row>
    <row r="115" spans="2:6" ht="57" x14ac:dyDescent="0.8">
      <c r="B115" s="129" t="s">
        <v>260</v>
      </c>
      <c r="C115" s="125">
        <v>43.100845902162639</v>
      </c>
      <c r="D115" s="125">
        <v>5.99</v>
      </c>
      <c r="E115" s="131">
        <v>49.090845902162599</v>
      </c>
      <c r="F115" s="124"/>
    </row>
    <row r="116" spans="2:6" ht="57" x14ac:dyDescent="0.8">
      <c r="B116" s="129" t="s">
        <v>44</v>
      </c>
      <c r="C116" s="125">
        <v>78.365174367568429</v>
      </c>
      <c r="D116" s="125">
        <v>5.6</v>
      </c>
      <c r="E116" s="131">
        <v>83.965174367568395</v>
      </c>
      <c r="F116" s="124"/>
    </row>
    <row r="117" spans="2:6" ht="57" x14ac:dyDescent="0.8">
      <c r="B117" s="125" t="s">
        <v>46</v>
      </c>
      <c r="C117" s="125">
        <v>94.038209241082114</v>
      </c>
      <c r="D117" s="125">
        <v>6.18</v>
      </c>
      <c r="E117" s="131">
        <v>100.21820924108209</v>
      </c>
      <c r="F117" s="124"/>
    </row>
    <row r="118" spans="2:6" ht="57" x14ac:dyDescent="0.8">
      <c r="B118" s="125">
        <v>1.5</v>
      </c>
      <c r="C118" s="125">
        <v>117.54776155135264</v>
      </c>
      <c r="D118" s="125">
        <v>6.068888888888889</v>
      </c>
      <c r="E118" s="131">
        <v>123.6166504402419</v>
      </c>
      <c r="F118" s="124"/>
    </row>
    <row r="119" spans="2:6" ht="57" hidden="1" x14ac:dyDescent="0.2">
      <c r="B119" s="126"/>
      <c r="C119" s="126"/>
      <c r="D119" s="126"/>
      <c r="E119" s="126"/>
      <c r="F119" s="124"/>
    </row>
    <row r="120" spans="2:6" ht="57" hidden="1" x14ac:dyDescent="0.2">
      <c r="B120" s="126"/>
      <c r="C120" s="126"/>
      <c r="D120" s="126"/>
      <c r="E120" s="126"/>
      <c r="F120" s="124"/>
    </row>
    <row r="121" spans="2:6" ht="57" x14ac:dyDescent="0.2">
      <c r="B121" s="126"/>
      <c r="C121" s="126"/>
      <c r="D121" s="126"/>
      <c r="E121" s="126"/>
      <c r="F121" s="124"/>
    </row>
    <row r="122" spans="2:6" ht="57" x14ac:dyDescent="0.8">
      <c r="B122" s="129" t="s">
        <v>36</v>
      </c>
      <c r="C122" s="129" t="s">
        <v>37</v>
      </c>
      <c r="D122" s="129" t="s">
        <v>38</v>
      </c>
      <c r="E122" s="132" t="s">
        <v>7</v>
      </c>
      <c r="F122" s="124"/>
    </row>
    <row r="123" spans="2:6" ht="57" x14ac:dyDescent="0.8">
      <c r="B123" s="125" t="s">
        <v>246</v>
      </c>
      <c r="C123" s="125">
        <v>31.599444287273169</v>
      </c>
      <c r="D123" s="125">
        <v>4.67</v>
      </c>
      <c r="E123" s="133">
        <v>36.269444287273203</v>
      </c>
      <c r="F123" s="124"/>
    </row>
    <row r="124" spans="2:6" ht="57" x14ac:dyDescent="0.8">
      <c r="B124" s="125" t="s">
        <v>42</v>
      </c>
      <c r="C124" s="125">
        <v>72.227301228052966</v>
      </c>
      <c r="D124" s="125">
        <v>6.27</v>
      </c>
      <c r="E124" s="133">
        <v>78.49730122805299</v>
      </c>
      <c r="F124" s="124"/>
    </row>
    <row r="125" spans="2:6" ht="57" x14ac:dyDescent="0.8">
      <c r="B125" s="125" t="s">
        <v>47</v>
      </c>
      <c r="C125" s="125">
        <v>270.85237960519862</v>
      </c>
      <c r="D125" s="125">
        <v>9.2300000000000022</v>
      </c>
      <c r="E125" s="133">
        <v>280.08237960519904</v>
      </c>
      <c r="F125" s="124"/>
    </row>
    <row r="126" spans="2:6" ht="57" x14ac:dyDescent="0.8">
      <c r="B126" s="125" t="s">
        <v>49</v>
      </c>
      <c r="C126" s="125">
        <v>451.42063267533103</v>
      </c>
      <c r="D126" s="125">
        <v>2.5</v>
      </c>
      <c r="E126" s="133">
        <v>453.92063267533098</v>
      </c>
      <c r="F126" s="124"/>
    </row>
    <row r="127" spans="2:6" ht="57" x14ac:dyDescent="0.2">
      <c r="B127" s="126"/>
      <c r="C127" s="126"/>
      <c r="D127" s="126"/>
      <c r="E127" s="126"/>
      <c r="F127" s="124"/>
    </row>
    <row r="128" spans="2:6" ht="57" hidden="1" x14ac:dyDescent="0.2">
      <c r="B128" s="126"/>
      <c r="C128" s="126"/>
      <c r="D128" s="126"/>
      <c r="E128" s="126"/>
      <c r="F128" s="124"/>
    </row>
    <row r="129" spans="2:6" ht="57" hidden="1" x14ac:dyDescent="0.2">
      <c r="B129" s="126"/>
      <c r="C129" s="126"/>
      <c r="D129" s="126"/>
      <c r="E129" s="126"/>
      <c r="F129" s="124"/>
    </row>
    <row r="130" spans="2:6" ht="57" x14ac:dyDescent="0.8">
      <c r="B130" s="125" t="s">
        <v>36</v>
      </c>
      <c r="C130" s="125" t="s">
        <v>37</v>
      </c>
      <c r="D130" s="125" t="s">
        <v>38</v>
      </c>
      <c r="E130" s="125" t="s">
        <v>7</v>
      </c>
      <c r="F130" s="124"/>
    </row>
    <row r="131" spans="2:6" ht="57" x14ac:dyDescent="0.8">
      <c r="B131" s="125" t="s">
        <v>40</v>
      </c>
      <c r="C131" s="125">
        <v>30.053194993412379</v>
      </c>
      <c r="D131" s="125">
        <v>4.5</v>
      </c>
      <c r="E131" s="134">
        <v>34.553194993412404</v>
      </c>
      <c r="F131" s="124"/>
    </row>
    <row r="132" spans="2:6" ht="31.5" x14ac:dyDescent="0.45">
      <c r="B132" s="135" t="s">
        <v>42</v>
      </c>
      <c r="C132" s="135">
        <v>68.693017127799735</v>
      </c>
      <c r="D132" s="135">
        <v>5.35</v>
      </c>
      <c r="E132" s="136">
        <v>74.0430171277997</v>
      </c>
    </row>
    <row r="133" spans="2:6" ht="31.5" x14ac:dyDescent="0.2">
      <c r="B133" s="137"/>
      <c r="C133" s="137"/>
      <c r="D133" s="137"/>
      <c r="E133" s="137"/>
    </row>
  </sheetData>
  <mergeCells count="3">
    <mergeCell ref="U31:X31"/>
    <mergeCell ref="C79:D79"/>
    <mergeCell ref="C97:D97"/>
  </mergeCells>
  <pageMargins left="0.7" right="0.7" top="0.75" bottom="0.75" header="0.3" footer="0.3"/>
  <pageSetup paperSize="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D57"/>
  <sheetViews>
    <sheetView rightToLeft="1" tabSelected="1" zoomScale="30" workbookViewId="0">
      <selection activeCell="A30" sqref="A30:D32"/>
    </sheetView>
  </sheetViews>
  <sheetFormatPr defaultColWidth="9.01171875" defaultRowHeight="15" x14ac:dyDescent="0.2"/>
  <cols>
    <col min="1" max="1" width="61.33984375" customWidth="1"/>
    <col min="2" max="2" width="55.01953125" customWidth="1"/>
    <col min="3" max="4" width="45.6015625" bestFit="1" customWidth="1"/>
  </cols>
  <sheetData>
    <row r="3" spans="1:4" ht="57" x14ac:dyDescent="0.8">
      <c r="A3" s="124"/>
      <c r="B3" s="153" t="s">
        <v>207</v>
      </c>
      <c r="C3" s="153"/>
      <c r="D3" s="124"/>
    </row>
    <row r="4" spans="1:4" ht="57" x14ac:dyDescent="0.8">
      <c r="A4" s="125" t="s">
        <v>130</v>
      </c>
      <c r="B4" s="125" t="s">
        <v>154</v>
      </c>
      <c r="C4" s="125" t="s">
        <v>86</v>
      </c>
      <c r="D4" s="125" t="s">
        <v>102</v>
      </c>
    </row>
    <row r="5" spans="1:4" ht="57" x14ac:dyDescent="0.8">
      <c r="A5" s="125" t="s">
        <v>149</v>
      </c>
      <c r="B5" s="125">
        <v>13.116927747953879</v>
      </c>
      <c r="C5" s="125">
        <v>4.63</v>
      </c>
      <c r="D5" s="125">
        <v>17.746927747953901</v>
      </c>
    </row>
    <row r="6" spans="1:4" ht="57" x14ac:dyDescent="0.8">
      <c r="A6" s="125" t="s">
        <v>150</v>
      </c>
      <c r="B6" s="125">
        <v>30.606164745225719</v>
      </c>
      <c r="C6" s="125">
        <v>5.99</v>
      </c>
      <c r="D6" s="125">
        <v>36.5961647452257</v>
      </c>
    </row>
    <row r="7" spans="1:4" ht="57" x14ac:dyDescent="0.8">
      <c r="A7" s="125" t="s">
        <v>137</v>
      </c>
      <c r="B7" s="125">
        <v>218.61546246589799</v>
      </c>
      <c r="C7" s="125">
        <v>16.059999999999999</v>
      </c>
      <c r="D7" s="125">
        <v>234.67546246589799</v>
      </c>
    </row>
    <row r="8" spans="1:4" ht="57" x14ac:dyDescent="0.8">
      <c r="A8" s="125" t="s">
        <v>138</v>
      </c>
      <c r="B8" s="125">
        <v>118.61546246589808</v>
      </c>
      <c r="C8" s="125">
        <v>16.059999999999999</v>
      </c>
      <c r="D8" s="125">
        <v>134.67546246589799</v>
      </c>
    </row>
    <row r="9" spans="1:4" ht="57" x14ac:dyDescent="0.8">
      <c r="A9" s="125"/>
      <c r="B9" s="125"/>
      <c r="C9" s="125"/>
      <c r="D9" s="125"/>
    </row>
    <row r="10" spans="1:4" ht="57" x14ac:dyDescent="0.8">
      <c r="A10" s="125" t="s">
        <v>130</v>
      </c>
      <c r="B10" s="125" t="s">
        <v>154</v>
      </c>
      <c r="C10" s="125" t="s">
        <v>86</v>
      </c>
      <c r="D10" s="125" t="s">
        <v>102</v>
      </c>
    </row>
    <row r="11" spans="1:4" ht="57" x14ac:dyDescent="0.8">
      <c r="A11" s="125" t="s">
        <v>147</v>
      </c>
      <c r="B11" s="125">
        <v>8.7975405055909128</v>
      </c>
      <c r="C11" s="125">
        <v>4.63</v>
      </c>
      <c r="D11" s="125">
        <v>13.427540505590908</v>
      </c>
    </row>
    <row r="12" spans="1:4" ht="57" x14ac:dyDescent="0.8">
      <c r="A12" s="125" t="s">
        <v>148</v>
      </c>
      <c r="B12" s="125">
        <v>20.108664012779229</v>
      </c>
      <c r="C12" s="125">
        <v>6.08</v>
      </c>
      <c r="D12" s="125">
        <v>26.188664012779199</v>
      </c>
    </row>
    <row r="13" spans="1:4" ht="57" x14ac:dyDescent="0.8">
      <c r="A13" s="125" t="s">
        <v>139</v>
      </c>
      <c r="B13" s="125">
        <v>125.67915007987018</v>
      </c>
      <c r="C13" s="125">
        <v>14.26</v>
      </c>
      <c r="D13" s="125">
        <v>139.93915007986999</v>
      </c>
    </row>
    <row r="14" spans="1:4" ht="57" x14ac:dyDescent="0.8">
      <c r="A14" s="125"/>
      <c r="B14" s="125"/>
      <c r="C14" s="125"/>
      <c r="D14" s="125"/>
    </row>
    <row r="15" spans="1:4" ht="57" x14ac:dyDescent="0.8">
      <c r="A15" s="125" t="s">
        <v>130</v>
      </c>
      <c r="B15" s="125" t="s">
        <v>153</v>
      </c>
      <c r="C15" s="125" t="s">
        <v>86</v>
      </c>
      <c r="D15" s="125" t="s">
        <v>102</v>
      </c>
    </row>
    <row r="16" spans="1:4" ht="57" x14ac:dyDescent="0.8">
      <c r="A16" s="125" t="s">
        <v>151</v>
      </c>
      <c r="B16" s="125">
        <v>9.5089325490013721</v>
      </c>
      <c r="C16" s="125">
        <v>4.88</v>
      </c>
      <c r="D16" s="125">
        <v>14.388932549001371</v>
      </c>
    </row>
    <row r="17" spans="1:4" ht="57" x14ac:dyDescent="0.8">
      <c r="A17" s="125" t="s">
        <v>152</v>
      </c>
      <c r="B17" s="125">
        <v>22.521156037108515</v>
      </c>
      <c r="C17" s="125">
        <v>6.63</v>
      </c>
      <c r="D17" s="125">
        <v>29.1511560371085</v>
      </c>
    </row>
    <row r="18" spans="1:4" ht="57" x14ac:dyDescent="0.8">
      <c r="A18" s="125"/>
      <c r="B18" s="125"/>
      <c r="C18" s="125"/>
      <c r="D18" s="125"/>
    </row>
    <row r="19" spans="1:4" ht="57" x14ac:dyDescent="0.8">
      <c r="A19" s="125"/>
      <c r="B19" s="125"/>
      <c r="C19" s="125"/>
      <c r="D19" s="125"/>
    </row>
    <row r="20" spans="1:4" ht="57" x14ac:dyDescent="0.2">
      <c r="A20" s="126"/>
      <c r="B20" s="126"/>
      <c r="C20" s="126"/>
      <c r="D20" s="126"/>
    </row>
    <row r="21" spans="1:4" ht="57" x14ac:dyDescent="0.8">
      <c r="A21" s="126"/>
      <c r="B21" s="154" t="s">
        <v>208</v>
      </c>
      <c r="C21" s="154"/>
      <c r="D21" s="126"/>
    </row>
    <row r="22" spans="1:4" ht="57" x14ac:dyDescent="0.8">
      <c r="A22" s="127" t="s">
        <v>130</v>
      </c>
      <c r="B22" s="127" t="s">
        <v>154</v>
      </c>
      <c r="C22" s="127" t="s">
        <v>86</v>
      </c>
      <c r="D22" s="127" t="s">
        <v>102</v>
      </c>
    </row>
    <row r="23" spans="1:4" ht="57" x14ac:dyDescent="0.8">
      <c r="A23" s="127" t="s">
        <v>247</v>
      </c>
      <c r="B23" s="127">
        <v>9.9671086995106375</v>
      </c>
      <c r="C23" s="127">
        <v>5.5</v>
      </c>
      <c r="D23" s="127">
        <v>15.467108699510639</v>
      </c>
    </row>
    <row r="24" spans="1:4" ht="57" x14ac:dyDescent="0.8">
      <c r="A24" s="127" t="s">
        <v>248</v>
      </c>
      <c r="B24" s="127">
        <v>24.917771748776591</v>
      </c>
      <c r="C24" s="127">
        <v>6.7</v>
      </c>
      <c r="D24" s="127">
        <v>31.617771748776601</v>
      </c>
    </row>
    <row r="25" spans="1:4" ht="57" x14ac:dyDescent="0.8">
      <c r="A25" s="125"/>
      <c r="B25" s="125"/>
      <c r="C25" s="125"/>
      <c r="D25" s="125"/>
    </row>
    <row r="26" spans="1:4" ht="57" x14ac:dyDescent="0.8">
      <c r="A26" s="125" t="s">
        <v>130</v>
      </c>
      <c r="B26" s="125" t="s">
        <v>153</v>
      </c>
      <c r="C26" s="125" t="s">
        <v>86</v>
      </c>
      <c r="D26" s="125" t="s">
        <v>102</v>
      </c>
    </row>
    <row r="27" spans="1:4" ht="57" x14ac:dyDescent="0.8">
      <c r="A27" s="125" t="s">
        <v>250</v>
      </c>
      <c r="B27" s="125">
        <v>12.90806479940775</v>
      </c>
      <c r="C27" s="125">
        <v>5.2</v>
      </c>
      <c r="D27" s="125">
        <v>18.108064799407799</v>
      </c>
    </row>
    <row r="28" spans="1:4" ht="57" x14ac:dyDescent="0.8">
      <c r="A28" s="125" t="s">
        <v>251</v>
      </c>
      <c r="B28" s="125">
        <v>30.118817865284747</v>
      </c>
      <c r="C28" s="125">
        <v>7.2</v>
      </c>
      <c r="D28" s="125">
        <v>37.3188178652847</v>
      </c>
    </row>
    <row r="29" spans="1:4" ht="57" x14ac:dyDescent="0.2">
      <c r="A29" s="126" t="s">
        <v>252</v>
      </c>
      <c r="B29" s="126">
        <v>215.1344133234625</v>
      </c>
      <c r="C29" s="126">
        <v>14</v>
      </c>
      <c r="D29" s="126">
        <v>229.13441332346301</v>
      </c>
    </row>
    <row r="30" spans="1:4" ht="57" x14ac:dyDescent="0.8">
      <c r="A30" s="138" t="s">
        <v>130</v>
      </c>
      <c r="B30" s="138" t="s">
        <v>154</v>
      </c>
      <c r="C30" s="138" t="s">
        <v>86</v>
      </c>
      <c r="D30" s="138" t="s">
        <v>102</v>
      </c>
    </row>
    <row r="31" spans="1:4" ht="57" x14ac:dyDescent="0.8">
      <c r="A31" s="138" t="s">
        <v>253</v>
      </c>
      <c r="B31" s="138">
        <v>10.696235632183907</v>
      </c>
      <c r="C31" s="138">
        <v>5.5</v>
      </c>
      <c r="D31" s="138">
        <v>16.1962356321839</v>
      </c>
    </row>
    <row r="32" spans="1:4" ht="57" x14ac:dyDescent="0.8">
      <c r="A32" s="138" t="s">
        <v>244</v>
      </c>
      <c r="B32" s="138">
        <v>27.504605911330049</v>
      </c>
      <c r="C32" s="138">
        <v>7.2</v>
      </c>
      <c r="D32" s="138">
        <v>34.704605911330098</v>
      </c>
    </row>
    <row r="33" spans="1:4" ht="57" x14ac:dyDescent="0.2">
      <c r="A33" s="126"/>
      <c r="B33" s="126"/>
      <c r="C33" s="126"/>
      <c r="D33" s="126"/>
    </row>
    <row r="34" spans="1:4" ht="57" x14ac:dyDescent="0.2">
      <c r="A34" s="126"/>
      <c r="B34" s="126" t="s">
        <v>257</v>
      </c>
      <c r="C34" s="126"/>
      <c r="D34" s="126"/>
    </row>
    <row r="35" spans="1:4" ht="57" x14ac:dyDescent="0.2">
      <c r="A35" s="126"/>
      <c r="B35" s="126"/>
      <c r="C35" s="126"/>
      <c r="D35" s="126"/>
    </row>
    <row r="36" spans="1:4" ht="57" x14ac:dyDescent="0.8">
      <c r="A36" s="129" t="s">
        <v>36</v>
      </c>
      <c r="B36" s="129" t="s">
        <v>37</v>
      </c>
      <c r="C36" s="129" t="s">
        <v>38</v>
      </c>
      <c r="D36" s="130" t="s">
        <v>7</v>
      </c>
    </row>
    <row r="37" spans="1:4" ht="57" x14ac:dyDescent="0.8">
      <c r="A37" s="125" t="s">
        <v>258</v>
      </c>
      <c r="B37" s="125">
        <v>31.346069747027371</v>
      </c>
      <c r="C37" s="125">
        <v>4.99</v>
      </c>
      <c r="D37" s="131">
        <v>36.336069747027402</v>
      </c>
    </row>
    <row r="38" spans="1:4" ht="57" x14ac:dyDescent="0.8">
      <c r="A38" s="125" t="s">
        <v>259</v>
      </c>
      <c r="B38" s="125">
        <v>62.692139494054743</v>
      </c>
      <c r="C38" s="125">
        <v>0</v>
      </c>
      <c r="D38" s="131">
        <v>62.6921394940547</v>
      </c>
    </row>
    <row r="39" spans="1:4" ht="57" x14ac:dyDescent="0.8">
      <c r="A39" s="129" t="s">
        <v>260</v>
      </c>
      <c r="B39" s="125">
        <v>43.100845902162639</v>
      </c>
      <c r="C39" s="125">
        <v>5.99</v>
      </c>
      <c r="D39" s="131">
        <v>49.090845902162599</v>
      </c>
    </row>
    <row r="40" spans="1:4" ht="57" x14ac:dyDescent="0.8">
      <c r="A40" s="129" t="s">
        <v>44</v>
      </c>
      <c r="B40" s="125">
        <v>78.365174367568429</v>
      </c>
      <c r="C40" s="125">
        <v>5.6</v>
      </c>
      <c r="D40" s="131">
        <v>83.965174367568395</v>
      </c>
    </row>
    <row r="41" spans="1:4" ht="57" x14ac:dyDescent="0.8">
      <c r="A41" s="125" t="s">
        <v>46</v>
      </c>
      <c r="B41" s="125">
        <v>94.038209241082114</v>
      </c>
      <c r="C41" s="125">
        <v>6.18</v>
      </c>
      <c r="D41" s="131">
        <v>100.21820924108209</v>
      </c>
    </row>
    <row r="42" spans="1:4" ht="57" x14ac:dyDescent="0.8">
      <c r="A42" s="125">
        <v>1.5</v>
      </c>
      <c r="B42" s="125">
        <v>117.54776155135264</v>
      </c>
      <c r="C42" s="125">
        <v>6.068888888888889</v>
      </c>
      <c r="D42" s="131">
        <v>123.6166504402419</v>
      </c>
    </row>
    <row r="43" spans="1:4" ht="57" x14ac:dyDescent="0.2">
      <c r="A43" s="126"/>
      <c r="B43" s="126"/>
      <c r="C43" s="126"/>
      <c r="D43" s="126"/>
    </row>
    <row r="44" spans="1:4" ht="57" x14ac:dyDescent="0.2">
      <c r="A44" s="126"/>
      <c r="B44" s="126"/>
      <c r="C44" s="126"/>
      <c r="D44" s="126"/>
    </row>
    <row r="45" spans="1:4" ht="57" x14ac:dyDescent="0.2">
      <c r="A45" s="126"/>
      <c r="B45" s="126"/>
      <c r="C45" s="126"/>
      <c r="D45" s="126"/>
    </row>
    <row r="46" spans="1:4" ht="57" x14ac:dyDescent="0.8">
      <c r="A46" s="129" t="s">
        <v>36</v>
      </c>
      <c r="B46" s="129" t="s">
        <v>37</v>
      </c>
      <c r="C46" s="129" t="s">
        <v>38</v>
      </c>
      <c r="D46" s="132" t="s">
        <v>7</v>
      </c>
    </row>
    <row r="47" spans="1:4" ht="57" x14ac:dyDescent="0.8">
      <c r="A47" s="125" t="s">
        <v>246</v>
      </c>
      <c r="B47" s="125">
        <v>31.599444287273169</v>
      </c>
      <c r="C47" s="125">
        <v>4.67</v>
      </c>
      <c r="D47" s="133">
        <v>36.269444287273203</v>
      </c>
    </row>
    <row r="48" spans="1:4" ht="57" x14ac:dyDescent="0.8">
      <c r="A48" s="125" t="s">
        <v>42</v>
      </c>
      <c r="B48" s="125">
        <v>72.227301228052966</v>
      </c>
      <c r="C48" s="125">
        <v>6.27</v>
      </c>
      <c r="D48" s="133">
        <v>78.49730122805299</v>
      </c>
    </row>
    <row r="49" spans="1:4" ht="57" x14ac:dyDescent="0.8">
      <c r="A49" s="125" t="s">
        <v>47</v>
      </c>
      <c r="B49" s="125">
        <v>270.85237960519862</v>
      </c>
      <c r="C49" s="125">
        <v>9.2300000000000022</v>
      </c>
      <c r="D49" s="133">
        <v>280.08237960519904</v>
      </c>
    </row>
    <row r="50" spans="1:4" ht="57" x14ac:dyDescent="0.8">
      <c r="A50" s="125" t="s">
        <v>49</v>
      </c>
      <c r="B50" s="125">
        <v>451.42063267533103</v>
      </c>
      <c r="C50" s="125">
        <v>2.5</v>
      </c>
      <c r="D50" s="133">
        <v>453.92063267533098</v>
      </c>
    </row>
    <row r="51" spans="1:4" ht="57" x14ac:dyDescent="0.2">
      <c r="A51" s="126"/>
      <c r="B51" s="126"/>
      <c r="C51" s="126"/>
      <c r="D51" s="126"/>
    </row>
    <row r="52" spans="1:4" ht="57" x14ac:dyDescent="0.2">
      <c r="A52" s="126"/>
      <c r="B52" s="126"/>
      <c r="C52" s="126"/>
      <c r="D52" s="126"/>
    </row>
    <row r="53" spans="1:4" ht="57" x14ac:dyDescent="0.2">
      <c r="A53" s="126"/>
      <c r="B53" s="126"/>
      <c r="C53" s="126"/>
      <c r="D53" s="126"/>
    </row>
    <row r="54" spans="1:4" ht="57" x14ac:dyDescent="0.8">
      <c r="A54" s="125" t="s">
        <v>36</v>
      </c>
      <c r="B54" s="125" t="s">
        <v>37</v>
      </c>
      <c r="C54" s="125" t="s">
        <v>38</v>
      </c>
      <c r="D54" s="125" t="s">
        <v>7</v>
      </c>
    </row>
    <row r="55" spans="1:4" ht="57" x14ac:dyDescent="0.8">
      <c r="A55" s="125" t="s">
        <v>40</v>
      </c>
      <c r="B55" s="125">
        <v>30.053194993412379</v>
      </c>
      <c r="C55" s="125">
        <v>4.5</v>
      </c>
      <c r="D55" s="134">
        <v>34.553194993412404</v>
      </c>
    </row>
    <row r="56" spans="1:4" ht="31.5" x14ac:dyDescent="0.45">
      <c r="A56" s="135" t="s">
        <v>42</v>
      </c>
      <c r="B56" s="135">
        <v>68.693017127799735</v>
      </c>
      <c r="C56" s="135">
        <v>5.35</v>
      </c>
      <c r="D56" s="136">
        <v>74.0430171277997</v>
      </c>
    </row>
    <row r="57" spans="1:4" ht="31.5" x14ac:dyDescent="0.2">
      <c r="A57" s="137"/>
      <c r="B57" s="137"/>
      <c r="C57" s="137"/>
      <c r="D57" s="137"/>
    </row>
  </sheetData>
  <mergeCells count="2">
    <mergeCell ref="B21:C21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النطاقات المسماة</vt:lpstr>
      </vt:variant>
      <vt:variant>
        <vt:i4>5</vt:i4>
      </vt:variant>
    </vt:vector>
  </HeadingPairs>
  <TitlesOfParts>
    <vt:vector size="12" baseType="lpstr">
      <vt:lpstr>الهاشم</vt:lpstr>
      <vt:lpstr>اسبشيل غير صالح </vt:lpstr>
      <vt:lpstr>اسبشيال 2026</vt:lpstr>
      <vt:lpstr>Sheet2</vt:lpstr>
      <vt:lpstr>Sheet1</vt:lpstr>
      <vt:lpstr>الهنا</vt:lpstr>
      <vt:lpstr>ورقة1</vt:lpstr>
      <vt:lpstr>Sheet1!Print_Area</vt:lpstr>
      <vt:lpstr>Sheet2!Print_Area</vt:lpstr>
      <vt:lpstr>اسبشيل غير صالح !Print_Area</vt:lpstr>
      <vt:lpstr>الهاشم!Print_Area</vt:lpstr>
      <vt:lpstr>الهنا!Print_Area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 m</cp:lastModifiedBy>
  <dcterms:created xsi:type="dcterms:W3CDTF">2015-06-05T04:17:20Z</dcterms:created>
  <dcterms:modified xsi:type="dcterms:W3CDTF">2026-07-03T12:12:49Z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059522ba8e8e4950a2c9e1a5a53ed815</vt:lpwstr>
  </property>
</Properties>
</file>