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xr:revisionPtr revIDLastSave="0" documentId="13_ncr:1000001_{754157B2-A1A7-1440-89AD-EF81F422E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.S." sheetId="1" r:id="rId1"/>
    <sheet name="اصول متداولة اخرى " sheetId="2" r:id="rId2"/>
    <sheet name="I.S." sheetId="3" r:id="rId3"/>
    <sheet name="OPS &amp; NON-OPS" sheetId="4" r:id="rId4"/>
    <sheet name="CASH FLOW" sheetId="5" r:id="rId5"/>
    <sheet name="RATIOS" sheetId="6" r:id="rId6"/>
  </sheets>
  <definedNames>
    <definedName name="_xlnm._FilterDatabase" localSheetId="0" hidden="1">'B.S.'!$A$3:$L$8</definedName>
    <definedName name="_xlnm.Print_Area" localSheetId="2">'I.S.'!$A$9:$D$28</definedName>
    <definedName name="_xlnm.Print_Area" localSheetId="1">'اصول متداولة اخرى '!$G$4:$H$25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N23" i="3"/>
  <c r="N25" i="3"/>
  <c r="N28" i="3"/>
  <c r="H12" i="6"/>
  <c r="H52" i="6"/>
  <c r="L13" i="3"/>
  <c r="L23" i="3"/>
  <c r="L25" i="3"/>
  <c r="L28" i="3"/>
  <c r="G12" i="6"/>
  <c r="G52" i="6"/>
  <c r="J13" i="3"/>
  <c r="J23" i="3"/>
  <c r="J25" i="3"/>
  <c r="J28" i="3"/>
  <c r="F12" i="6"/>
  <c r="F52" i="6"/>
  <c r="H13" i="3"/>
  <c r="H23" i="3"/>
  <c r="H25" i="3"/>
  <c r="H28" i="3"/>
  <c r="E12" i="6"/>
  <c r="F60" i="1"/>
  <c r="H33" i="3"/>
  <c r="H35" i="3"/>
  <c r="H59" i="1"/>
  <c r="H60" i="1"/>
  <c r="H46" i="3"/>
  <c r="H42" i="3"/>
  <c r="E52" i="6"/>
  <c r="F13" i="3"/>
  <c r="F23" i="3"/>
  <c r="F25" i="3"/>
  <c r="F28" i="3"/>
  <c r="D12" i="6"/>
  <c r="D55" i="1"/>
  <c r="D58" i="1"/>
  <c r="D60" i="1"/>
  <c r="F33" i="3"/>
  <c r="F35" i="3"/>
  <c r="F46" i="3"/>
  <c r="F42" i="3"/>
  <c r="D52" i="6"/>
  <c r="D13" i="3"/>
  <c r="D23" i="3"/>
  <c r="D25" i="3"/>
  <c r="D28" i="3"/>
  <c r="C12" i="6"/>
  <c r="D35" i="3"/>
  <c r="D46" i="3"/>
  <c r="D42" i="3"/>
  <c r="C52" i="6"/>
  <c r="H51" i="6"/>
  <c r="G51" i="6"/>
  <c r="F51" i="6"/>
  <c r="E51" i="6"/>
  <c r="D51" i="6"/>
  <c r="C51" i="6"/>
  <c r="N60" i="1"/>
  <c r="H13" i="6"/>
  <c r="H50" i="6"/>
  <c r="L60" i="1"/>
  <c r="G13" i="6"/>
  <c r="G50" i="6"/>
  <c r="J60" i="1"/>
  <c r="F13" i="6"/>
  <c r="F50" i="6"/>
  <c r="E13" i="6"/>
  <c r="H52" i="1"/>
  <c r="E50" i="6"/>
  <c r="D13" i="6"/>
  <c r="F52" i="1"/>
  <c r="D50" i="6"/>
  <c r="C13" i="6"/>
  <c r="D52" i="1"/>
  <c r="C50" i="6"/>
  <c r="H49" i="6"/>
  <c r="G49" i="6"/>
  <c r="F49" i="6"/>
  <c r="H39" i="1"/>
  <c r="H45" i="1"/>
  <c r="H53" i="1"/>
  <c r="E49" i="6"/>
  <c r="F45" i="1"/>
  <c r="F53" i="1"/>
  <c r="D49" i="6"/>
  <c r="D45" i="1"/>
  <c r="D53" i="1"/>
  <c r="C49" i="6"/>
  <c r="N45" i="1"/>
  <c r="H46" i="6"/>
  <c r="L45" i="1"/>
  <c r="G46" i="6"/>
  <c r="J45" i="1"/>
  <c r="F46" i="6"/>
  <c r="H23" i="1"/>
  <c r="H26" i="1"/>
  <c r="H28" i="1"/>
  <c r="E46" i="6"/>
  <c r="F28" i="1"/>
  <c r="D46" i="6"/>
  <c r="D26" i="1"/>
  <c r="D28" i="1"/>
  <c r="C46" i="6"/>
  <c r="H45" i="6"/>
  <c r="G45" i="6"/>
  <c r="F45" i="6"/>
  <c r="E45" i="6"/>
  <c r="D45" i="6"/>
  <c r="C45" i="6"/>
  <c r="H41" i="6"/>
  <c r="H42" i="6"/>
  <c r="H43" i="6"/>
  <c r="H44" i="6"/>
  <c r="G41" i="6"/>
  <c r="G42" i="6"/>
  <c r="G43" i="6"/>
  <c r="G44" i="6"/>
  <c r="F41" i="6"/>
  <c r="F42" i="6"/>
  <c r="F43" i="6"/>
  <c r="F44" i="6"/>
  <c r="E41" i="6"/>
  <c r="E42" i="6"/>
  <c r="E43" i="6"/>
  <c r="E44" i="6"/>
  <c r="D41" i="6"/>
  <c r="D42" i="6"/>
  <c r="D43" i="6"/>
  <c r="D44" i="6"/>
  <c r="C41" i="6"/>
  <c r="C42" i="6"/>
  <c r="C43" i="6"/>
  <c r="C44" i="6"/>
  <c r="H40" i="6"/>
  <c r="G40" i="6"/>
  <c r="F40" i="6"/>
  <c r="E40" i="6"/>
  <c r="D40" i="6"/>
  <c r="C40" i="6"/>
  <c r="H39" i="6"/>
  <c r="G39" i="6"/>
  <c r="F39" i="6"/>
  <c r="H29" i="1"/>
  <c r="E39" i="6"/>
  <c r="D29" i="1"/>
  <c r="F29" i="1"/>
  <c r="D39" i="6"/>
  <c r="C39" i="6"/>
  <c r="H36" i="6"/>
  <c r="G36" i="6"/>
  <c r="F36" i="6"/>
  <c r="E36" i="6"/>
  <c r="D36" i="6"/>
  <c r="C36" i="6"/>
  <c r="O13" i="3"/>
  <c r="H35" i="6"/>
  <c r="M13" i="3"/>
  <c r="G35" i="6"/>
  <c r="K13" i="3"/>
  <c r="F35" i="6"/>
  <c r="I13" i="3"/>
  <c r="E35" i="6"/>
  <c r="G13" i="3"/>
  <c r="D35" i="6"/>
  <c r="E13" i="3"/>
  <c r="C35" i="6"/>
  <c r="H34" i="6"/>
  <c r="G34" i="6"/>
  <c r="F34" i="6"/>
  <c r="E34" i="6"/>
  <c r="D34" i="6"/>
  <c r="C34" i="6"/>
  <c r="N28" i="1"/>
  <c r="N35" i="1"/>
  <c r="N36" i="1"/>
  <c r="H33" i="6"/>
  <c r="L28" i="1"/>
  <c r="L35" i="1"/>
  <c r="L36" i="1"/>
  <c r="G33" i="6"/>
  <c r="J28" i="1"/>
  <c r="J35" i="1"/>
  <c r="J36" i="1"/>
  <c r="F33" i="6"/>
  <c r="H35" i="1"/>
  <c r="H36" i="1"/>
  <c r="E33" i="6"/>
  <c r="F35" i="1"/>
  <c r="F36" i="1"/>
  <c r="D33" i="6"/>
  <c r="D35" i="1"/>
  <c r="D36" i="1"/>
  <c r="C33" i="6"/>
  <c r="O28" i="3"/>
  <c r="H32" i="6"/>
  <c r="M28" i="3"/>
  <c r="G32" i="6"/>
  <c r="K28" i="3"/>
  <c r="F32" i="6"/>
  <c r="I28" i="3"/>
  <c r="E32" i="6"/>
  <c r="G28" i="3"/>
  <c r="D32" i="6"/>
  <c r="E28" i="3"/>
  <c r="C32" i="6"/>
  <c r="H29" i="6"/>
  <c r="G29" i="6"/>
  <c r="F29" i="6"/>
  <c r="E29" i="6"/>
  <c r="D29" i="6"/>
  <c r="H28" i="6"/>
  <c r="G28" i="6"/>
  <c r="F28" i="6"/>
  <c r="E28" i="6"/>
  <c r="D28" i="6"/>
  <c r="N33" i="3"/>
  <c r="N35" i="3"/>
  <c r="N46" i="3"/>
  <c r="N37" i="3"/>
  <c r="H27" i="6"/>
  <c r="L33" i="3"/>
  <c r="L35" i="3"/>
  <c r="L46" i="3"/>
  <c r="L37" i="3"/>
  <c r="G27" i="6"/>
  <c r="J33" i="3"/>
  <c r="J35" i="3"/>
  <c r="J46" i="3"/>
  <c r="J37" i="3"/>
  <c r="F27" i="6"/>
  <c r="H37" i="3"/>
  <c r="E27" i="6"/>
  <c r="F37" i="3"/>
  <c r="D27" i="6"/>
  <c r="H48" i="5"/>
  <c r="H49" i="5"/>
  <c r="H26" i="6"/>
  <c r="G48" i="5"/>
  <c r="G49" i="5"/>
  <c r="G26" i="6"/>
  <c r="F48" i="5"/>
  <c r="F49" i="5"/>
  <c r="F26" i="6"/>
  <c r="E48" i="5"/>
  <c r="E49" i="5"/>
  <c r="E26" i="6"/>
  <c r="D48" i="5"/>
  <c r="D49" i="5"/>
  <c r="D26" i="6"/>
  <c r="I9" i="4"/>
  <c r="I10" i="4"/>
  <c r="I11" i="4"/>
  <c r="I12" i="4"/>
  <c r="H25" i="6"/>
  <c r="H9" i="4"/>
  <c r="H10" i="4"/>
  <c r="H11" i="4"/>
  <c r="H12" i="4"/>
  <c r="G25" i="6"/>
  <c r="G9" i="4"/>
  <c r="G10" i="4"/>
  <c r="G11" i="4"/>
  <c r="G12" i="4"/>
  <c r="F25" i="6"/>
  <c r="F9" i="4"/>
  <c r="F10" i="4"/>
  <c r="F11" i="4"/>
  <c r="F12" i="4"/>
  <c r="E25" i="6"/>
  <c r="E9" i="4"/>
  <c r="E10" i="4"/>
  <c r="E11" i="4"/>
  <c r="E12" i="4"/>
  <c r="D25" i="6"/>
  <c r="I15" i="4"/>
  <c r="I16" i="4"/>
  <c r="I17" i="4"/>
  <c r="I18" i="4"/>
  <c r="I19" i="4"/>
  <c r="I20" i="4"/>
  <c r="I23" i="4"/>
  <c r="I24" i="4"/>
  <c r="I25" i="4"/>
  <c r="I26" i="4"/>
  <c r="I27" i="4"/>
  <c r="I28" i="4"/>
  <c r="I29" i="4"/>
  <c r="I31" i="4"/>
  <c r="H24" i="6"/>
  <c r="H15" i="4"/>
  <c r="H16" i="4"/>
  <c r="H17" i="4"/>
  <c r="H18" i="4"/>
  <c r="H19" i="4"/>
  <c r="H20" i="4"/>
  <c r="H23" i="4"/>
  <c r="H24" i="4"/>
  <c r="H25" i="4"/>
  <c r="H26" i="4"/>
  <c r="H27" i="4"/>
  <c r="H28" i="4"/>
  <c r="H29" i="4"/>
  <c r="H31" i="4"/>
  <c r="G24" i="6"/>
  <c r="G15" i="4"/>
  <c r="G16" i="4"/>
  <c r="G17" i="4"/>
  <c r="G18" i="4"/>
  <c r="G19" i="4"/>
  <c r="G20" i="4"/>
  <c r="G23" i="4"/>
  <c r="G24" i="4"/>
  <c r="G25" i="4"/>
  <c r="G26" i="4"/>
  <c r="G27" i="4"/>
  <c r="G28" i="4"/>
  <c r="G29" i="4"/>
  <c r="G31" i="4"/>
  <c r="F24" i="6"/>
  <c r="F15" i="4"/>
  <c r="F16" i="4"/>
  <c r="F17" i="4"/>
  <c r="F18" i="4"/>
  <c r="F19" i="4"/>
  <c r="F20" i="4"/>
  <c r="F23" i="4"/>
  <c r="F24" i="4"/>
  <c r="F25" i="4"/>
  <c r="F26" i="4"/>
  <c r="F27" i="4"/>
  <c r="F28" i="4"/>
  <c r="F29" i="4"/>
  <c r="F31" i="4"/>
  <c r="E24" i="6"/>
  <c r="E15" i="4"/>
  <c r="E16" i="4"/>
  <c r="E17" i="4"/>
  <c r="E18" i="4"/>
  <c r="E19" i="4"/>
  <c r="E20" i="4"/>
  <c r="E23" i="4"/>
  <c r="E24" i="4"/>
  <c r="E25" i="4"/>
  <c r="E26" i="4"/>
  <c r="E27" i="4"/>
  <c r="E28" i="4"/>
  <c r="E29" i="4"/>
  <c r="E31" i="4"/>
  <c r="D24" i="6"/>
  <c r="H21" i="6"/>
  <c r="G21" i="6"/>
  <c r="F21" i="6"/>
  <c r="E21" i="6"/>
  <c r="D21" i="6"/>
  <c r="H20" i="6"/>
  <c r="G20" i="6"/>
  <c r="F20" i="6"/>
  <c r="E20" i="6"/>
  <c r="D20" i="6"/>
  <c r="H19" i="6"/>
  <c r="G19" i="6"/>
  <c r="F19" i="6"/>
  <c r="E19" i="6"/>
  <c r="D19" i="6"/>
  <c r="H18" i="6"/>
  <c r="G18" i="6"/>
  <c r="F18" i="6"/>
  <c r="E18" i="6"/>
  <c r="D18" i="6"/>
  <c r="H15" i="6"/>
  <c r="G15" i="6"/>
  <c r="F15" i="6"/>
  <c r="E15" i="6"/>
  <c r="D15" i="6"/>
  <c r="C15" i="6"/>
  <c r="H14" i="6"/>
  <c r="G14" i="6"/>
  <c r="F14" i="6"/>
  <c r="E14" i="6"/>
  <c r="D14" i="6"/>
  <c r="C14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G5" i="6"/>
  <c r="F5" i="6"/>
  <c r="E5" i="6"/>
  <c r="D5" i="6"/>
  <c r="C5" i="6"/>
  <c r="E4" i="6"/>
  <c r="D4" i="6"/>
  <c r="C4" i="6"/>
  <c r="E3" i="6"/>
  <c r="D3" i="6"/>
  <c r="C3" i="6"/>
  <c r="G2" i="6"/>
  <c r="E2" i="6"/>
  <c r="B2" i="6"/>
  <c r="G1" i="6"/>
  <c r="E1" i="6"/>
  <c r="B1" i="6"/>
  <c r="H61" i="5"/>
  <c r="G61" i="5"/>
  <c r="F61" i="5"/>
  <c r="E61" i="5"/>
  <c r="D61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10" i="5"/>
  <c r="H11" i="5"/>
  <c r="H12" i="5"/>
  <c r="H35" i="5"/>
  <c r="N55" i="3"/>
  <c r="N50" i="3"/>
  <c r="N52" i="3"/>
  <c r="N54" i="3"/>
  <c r="N56" i="3"/>
  <c r="H39" i="5"/>
  <c r="H40" i="5"/>
  <c r="H41" i="5"/>
  <c r="H43" i="5"/>
  <c r="H47" i="5"/>
  <c r="H50" i="5"/>
  <c r="N42" i="3"/>
  <c r="H51" i="5"/>
  <c r="H53" i="5"/>
  <c r="H55" i="5"/>
  <c r="H58" i="5"/>
  <c r="H59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10" i="5"/>
  <c r="G11" i="5"/>
  <c r="G12" i="5"/>
  <c r="G35" i="5"/>
  <c r="L55" i="3"/>
  <c r="L50" i="3"/>
  <c r="L52" i="3"/>
  <c r="L54" i="3"/>
  <c r="L56" i="3"/>
  <c r="G39" i="5"/>
  <c r="G40" i="5"/>
  <c r="G41" i="5"/>
  <c r="G43" i="5"/>
  <c r="G47" i="5"/>
  <c r="G50" i="5"/>
  <c r="L42" i="3"/>
  <c r="G51" i="5"/>
  <c r="G53" i="5"/>
  <c r="G55" i="5"/>
  <c r="G58" i="5"/>
  <c r="G59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10" i="5"/>
  <c r="F11" i="5"/>
  <c r="F12" i="5"/>
  <c r="F35" i="5"/>
  <c r="J55" i="3"/>
  <c r="J50" i="3"/>
  <c r="J52" i="3"/>
  <c r="J54" i="3"/>
  <c r="J56" i="3"/>
  <c r="F39" i="5"/>
  <c r="F40" i="5"/>
  <c r="F41" i="5"/>
  <c r="F43" i="5"/>
  <c r="F47" i="5"/>
  <c r="F50" i="5"/>
  <c r="J42" i="3"/>
  <c r="F51" i="5"/>
  <c r="F53" i="5"/>
  <c r="F55" i="5"/>
  <c r="F58" i="5"/>
  <c r="F59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10" i="5"/>
  <c r="E11" i="5"/>
  <c r="E12" i="5"/>
  <c r="E35" i="5"/>
  <c r="H55" i="3"/>
  <c r="H50" i="3"/>
  <c r="H52" i="3"/>
  <c r="H54" i="3"/>
  <c r="H56" i="3"/>
  <c r="E39" i="5"/>
  <c r="E40" i="5"/>
  <c r="E41" i="5"/>
  <c r="E43" i="5"/>
  <c r="E47" i="5"/>
  <c r="E50" i="5"/>
  <c r="E51" i="5"/>
  <c r="E53" i="5"/>
  <c r="E55" i="5"/>
  <c r="E58" i="5"/>
  <c r="E59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10" i="5"/>
  <c r="D11" i="5"/>
  <c r="D12" i="5"/>
  <c r="D35" i="5"/>
  <c r="F55" i="3"/>
  <c r="F50" i="3"/>
  <c r="F52" i="3"/>
  <c r="F54" i="3"/>
  <c r="F56" i="3"/>
  <c r="D39" i="5"/>
  <c r="D40" i="5"/>
  <c r="D41" i="5"/>
  <c r="D43" i="5"/>
  <c r="D47" i="5"/>
  <c r="D50" i="5"/>
  <c r="D51" i="5"/>
  <c r="D53" i="5"/>
  <c r="D55" i="5"/>
  <c r="D58" i="5"/>
  <c r="D59" i="5"/>
  <c r="B40" i="5"/>
  <c r="B33" i="5"/>
  <c r="B32" i="5"/>
  <c r="B30" i="5"/>
  <c r="B29" i="5"/>
  <c r="B28" i="5"/>
  <c r="B27" i="5"/>
  <c r="B26" i="5"/>
  <c r="B25" i="5"/>
  <c r="B24" i="5"/>
  <c r="B23" i="5"/>
  <c r="B22" i="5"/>
  <c r="B21" i="5"/>
  <c r="B20" i="5"/>
  <c r="B19" i="5"/>
  <c r="B17" i="5"/>
  <c r="B16" i="5"/>
  <c r="G6" i="5"/>
  <c r="E4" i="5"/>
  <c r="D4" i="5"/>
  <c r="C4" i="5"/>
  <c r="E3" i="5"/>
  <c r="D3" i="5"/>
  <c r="C3" i="5"/>
  <c r="G2" i="5"/>
  <c r="E2" i="5"/>
  <c r="C2" i="3"/>
  <c r="B2" i="5"/>
  <c r="G1" i="5"/>
  <c r="E1" i="5"/>
  <c r="C1" i="3"/>
  <c r="B1" i="5"/>
  <c r="I59" i="4"/>
  <c r="H59" i="4"/>
  <c r="G59" i="4"/>
  <c r="F59" i="4"/>
  <c r="E59" i="4"/>
  <c r="N60" i="3"/>
  <c r="I35" i="4"/>
  <c r="I36" i="4"/>
  <c r="I37" i="4"/>
  <c r="I38" i="4"/>
  <c r="I39" i="4"/>
  <c r="I40" i="4"/>
  <c r="I41" i="4"/>
  <c r="I42" i="4"/>
  <c r="I43" i="4"/>
  <c r="I44" i="4"/>
  <c r="I45" i="4"/>
  <c r="I48" i="4"/>
  <c r="I49" i="4"/>
  <c r="I50" i="4"/>
  <c r="I51" i="4"/>
  <c r="I52" i="4"/>
  <c r="I53" i="4"/>
  <c r="I54" i="4"/>
  <c r="I55" i="4"/>
  <c r="I56" i="4"/>
  <c r="I58" i="4"/>
  <c r="L60" i="3"/>
  <c r="H35" i="4"/>
  <c r="H36" i="4"/>
  <c r="H37" i="4"/>
  <c r="H38" i="4"/>
  <c r="H39" i="4"/>
  <c r="H40" i="4"/>
  <c r="H41" i="4"/>
  <c r="H42" i="4"/>
  <c r="H43" i="4"/>
  <c r="H44" i="4"/>
  <c r="H45" i="4"/>
  <c r="H48" i="4"/>
  <c r="H49" i="4"/>
  <c r="H50" i="4"/>
  <c r="H51" i="4"/>
  <c r="H52" i="4"/>
  <c r="H53" i="4"/>
  <c r="H54" i="4"/>
  <c r="H55" i="4"/>
  <c r="H56" i="4"/>
  <c r="H58" i="4"/>
  <c r="J60" i="3"/>
  <c r="G35" i="4"/>
  <c r="G36" i="4"/>
  <c r="G37" i="4"/>
  <c r="G38" i="4"/>
  <c r="G39" i="4"/>
  <c r="G40" i="4"/>
  <c r="G41" i="4"/>
  <c r="G42" i="4"/>
  <c r="G43" i="4"/>
  <c r="G44" i="4"/>
  <c r="G45" i="4"/>
  <c r="G48" i="4"/>
  <c r="G49" i="4"/>
  <c r="G50" i="4"/>
  <c r="G51" i="4"/>
  <c r="G52" i="4"/>
  <c r="G53" i="4"/>
  <c r="G54" i="4"/>
  <c r="G55" i="4"/>
  <c r="G56" i="4"/>
  <c r="G58" i="4"/>
  <c r="H60" i="3"/>
  <c r="F35" i="4"/>
  <c r="F36" i="4"/>
  <c r="F37" i="4"/>
  <c r="F38" i="4"/>
  <c r="F39" i="4"/>
  <c r="F40" i="4"/>
  <c r="F41" i="4"/>
  <c r="F42" i="4"/>
  <c r="F43" i="4"/>
  <c r="F44" i="4"/>
  <c r="F45" i="4"/>
  <c r="F48" i="4"/>
  <c r="F49" i="4"/>
  <c r="F50" i="4"/>
  <c r="F51" i="4"/>
  <c r="F52" i="4"/>
  <c r="F53" i="4"/>
  <c r="F54" i="4"/>
  <c r="F55" i="4"/>
  <c r="F56" i="4"/>
  <c r="F58" i="4"/>
  <c r="F60" i="3"/>
  <c r="E35" i="4"/>
  <c r="E36" i="4"/>
  <c r="E37" i="4"/>
  <c r="E38" i="4"/>
  <c r="E39" i="4"/>
  <c r="E40" i="4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8" i="4"/>
  <c r="C55" i="4"/>
  <c r="C54" i="4"/>
  <c r="C44" i="4"/>
  <c r="C43" i="4"/>
  <c r="C42" i="4"/>
  <c r="C41" i="4"/>
  <c r="C40" i="4"/>
  <c r="C35" i="4"/>
  <c r="C28" i="4"/>
  <c r="C27" i="4"/>
  <c r="C26" i="4"/>
  <c r="C25" i="4"/>
  <c r="C24" i="4"/>
  <c r="C23" i="4"/>
  <c r="C19" i="4"/>
  <c r="C18" i="4"/>
  <c r="C16" i="4"/>
  <c r="C15" i="4"/>
  <c r="H6" i="4"/>
  <c r="F6" i="4"/>
  <c r="E6" i="4"/>
  <c r="D6" i="4"/>
  <c r="F4" i="4"/>
  <c r="E4" i="4"/>
  <c r="D4" i="4"/>
  <c r="F3" i="4"/>
  <c r="E3" i="4"/>
  <c r="D3" i="4"/>
  <c r="H2" i="4"/>
  <c r="F2" i="4"/>
  <c r="C2" i="4"/>
  <c r="H1" i="4"/>
  <c r="F1" i="4"/>
  <c r="D55" i="3"/>
  <c r="D52" i="3"/>
  <c r="D54" i="3"/>
  <c r="D56" i="3"/>
  <c r="D60" i="3"/>
  <c r="N39" i="3"/>
  <c r="N44" i="3"/>
  <c r="N45" i="3"/>
  <c r="L39" i="3"/>
  <c r="L44" i="3"/>
  <c r="L45" i="3"/>
  <c r="J39" i="3"/>
  <c r="J44" i="3"/>
  <c r="J45" i="3"/>
  <c r="H39" i="3"/>
  <c r="H44" i="3"/>
  <c r="H45" i="3"/>
  <c r="F39" i="3"/>
  <c r="F44" i="3"/>
  <c r="F45" i="3"/>
  <c r="D37" i="3"/>
  <c r="D39" i="3"/>
  <c r="D44" i="3"/>
  <c r="D45" i="3"/>
  <c r="O27" i="3"/>
  <c r="M27" i="3"/>
  <c r="K27" i="3"/>
  <c r="I27" i="3"/>
  <c r="G27" i="3"/>
  <c r="E27" i="3"/>
  <c r="O26" i="3"/>
  <c r="M26" i="3"/>
  <c r="K26" i="3"/>
  <c r="I26" i="3"/>
  <c r="G26" i="3"/>
  <c r="E26" i="3"/>
  <c r="O25" i="3"/>
  <c r="M25" i="3"/>
  <c r="K25" i="3"/>
  <c r="I25" i="3"/>
  <c r="G25" i="3"/>
  <c r="E25" i="3"/>
  <c r="O24" i="3"/>
  <c r="M24" i="3"/>
  <c r="K24" i="3"/>
  <c r="I24" i="3"/>
  <c r="G24" i="3"/>
  <c r="E24" i="3"/>
  <c r="O23" i="3"/>
  <c r="M23" i="3"/>
  <c r="K23" i="3"/>
  <c r="I23" i="3"/>
  <c r="G23" i="3"/>
  <c r="E23" i="3"/>
  <c r="O22" i="3"/>
  <c r="M22" i="3"/>
  <c r="K22" i="3"/>
  <c r="I22" i="3"/>
  <c r="G22" i="3"/>
  <c r="E22" i="3"/>
  <c r="O21" i="3"/>
  <c r="M21" i="3"/>
  <c r="K21" i="3"/>
  <c r="I21" i="3"/>
  <c r="G21" i="3"/>
  <c r="E21" i="3"/>
  <c r="O20" i="3"/>
  <c r="M20" i="3"/>
  <c r="K20" i="3"/>
  <c r="I20" i="3"/>
  <c r="G20" i="3"/>
  <c r="E20" i="3"/>
  <c r="O19" i="3"/>
  <c r="M19" i="3"/>
  <c r="K19" i="3"/>
  <c r="I19" i="3"/>
  <c r="G19" i="3"/>
  <c r="O18" i="3"/>
  <c r="M18" i="3"/>
  <c r="K18" i="3"/>
  <c r="I18" i="3"/>
  <c r="G18" i="3"/>
  <c r="E18" i="3"/>
  <c r="O17" i="3"/>
  <c r="M17" i="3"/>
  <c r="K17" i="3"/>
  <c r="I17" i="3"/>
  <c r="G17" i="3"/>
  <c r="E17" i="3"/>
  <c r="O16" i="3"/>
  <c r="M16" i="3"/>
  <c r="K16" i="3"/>
  <c r="I16" i="3"/>
  <c r="G16" i="3"/>
  <c r="E16" i="3"/>
  <c r="O15" i="3"/>
  <c r="M15" i="3"/>
  <c r="K15" i="3"/>
  <c r="I15" i="3"/>
  <c r="G15" i="3"/>
  <c r="E15" i="3"/>
  <c r="O14" i="3"/>
  <c r="M14" i="3"/>
  <c r="K14" i="3"/>
  <c r="I14" i="3"/>
  <c r="G14" i="3"/>
  <c r="E14" i="3"/>
  <c r="O12" i="3"/>
  <c r="M12" i="3"/>
  <c r="K12" i="3"/>
  <c r="I12" i="3"/>
  <c r="G12" i="3"/>
  <c r="E12" i="3"/>
  <c r="O11" i="3"/>
  <c r="M11" i="3"/>
  <c r="K11" i="3"/>
  <c r="I11" i="3"/>
  <c r="G11" i="3"/>
  <c r="E11" i="3"/>
  <c r="O10" i="3"/>
  <c r="M10" i="3"/>
  <c r="K10" i="3"/>
  <c r="I10" i="3"/>
  <c r="G10" i="3"/>
  <c r="E10" i="3"/>
  <c r="H6" i="3"/>
  <c r="F6" i="3"/>
  <c r="D6" i="3"/>
  <c r="H4" i="3"/>
  <c r="F4" i="3"/>
  <c r="D4" i="3"/>
  <c r="H3" i="3"/>
  <c r="F3" i="3"/>
  <c r="D3" i="3"/>
  <c r="L2" i="3"/>
  <c r="H2" i="3"/>
  <c r="O1" i="3"/>
  <c r="N1" i="3"/>
  <c r="M1" i="3"/>
  <c r="L1" i="3"/>
  <c r="H1" i="3"/>
  <c r="AJ27" i="2"/>
  <c r="H21" i="2"/>
  <c r="M19" i="2"/>
  <c r="P12" i="2"/>
  <c r="H12" i="2"/>
  <c r="P11" i="2"/>
  <c r="N52" i="1"/>
  <c r="N53" i="1"/>
  <c r="N61" i="1"/>
  <c r="N62" i="1"/>
  <c r="L52" i="1"/>
  <c r="L53" i="1"/>
  <c r="L61" i="1"/>
  <c r="L62" i="1"/>
  <c r="J52" i="1"/>
  <c r="J53" i="1"/>
  <c r="J61" i="1"/>
  <c r="J62" i="1"/>
  <c r="H61" i="1"/>
  <c r="H62" i="1"/>
  <c r="F61" i="1"/>
  <c r="F62" i="1"/>
  <c r="D61" i="1"/>
  <c r="D62" i="1"/>
  <c r="O61" i="1"/>
  <c r="M61" i="1"/>
  <c r="K61" i="1"/>
  <c r="I61" i="1"/>
  <c r="G61" i="1"/>
  <c r="E61" i="1"/>
  <c r="O60" i="1"/>
  <c r="M60" i="1"/>
  <c r="K60" i="1"/>
  <c r="I60" i="1"/>
  <c r="G60" i="1"/>
  <c r="E60" i="1"/>
  <c r="O59" i="1"/>
  <c r="M59" i="1"/>
  <c r="K59" i="1"/>
  <c r="I59" i="1"/>
  <c r="G59" i="1"/>
  <c r="E59" i="1"/>
  <c r="O58" i="1"/>
  <c r="M58" i="1"/>
  <c r="K58" i="1"/>
  <c r="I58" i="1"/>
  <c r="G58" i="1"/>
  <c r="E58" i="1"/>
  <c r="O57" i="1"/>
  <c r="M57" i="1"/>
  <c r="K57" i="1"/>
  <c r="I57" i="1"/>
  <c r="G57" i="1"/>
  <c r="E57" i="1"/>
  <c r="O56" i="1"/>
  <c r="M56" i="1"/>
  <c r="K56" i="1"/>
  <c r="I56" i="1"/>
  <c r="G56" i="1"/>
  <c r="E56" i="1"/>
  <c r="O55" i="1"/>
  <c r="M55" i="1"/>
  <c r="K55" i="1"/>
  <c r="I55" i="1"/>
  <c r="G55" i="1"/>
  <c r="E55" i="1"/>
  <c r="O54" i="1"/>
  <c r="M54" i="1"/>
  <c r="K54" i="1"/>
  <c r="I54" i="1"/>
  <c r="G54" i="1"/>
  <c r="E54" i="1"/>
  <c r="O53" i="1"/>
  <c r="M53" i="1"/>
  <c r="K53" i="1"/>
  <c r="I53" i="1"/>
  <c r="G53" i="1"/>
  <c r="E53" i="1"/>
  <c r="O52" i="1"/>
  <c r="M52" i="1"/>
  <c r="K52" i="1"/>
  <c r="I52" i="1"/>
  <c r="G52" i="1"/>
  <c r="E52" i="1"/>
  <c r="O51" i="1"/>
  <c r="M51" i="1"/>
  <c r="K51" i="1"/>
  <c r="I51" i="1"/>
  <c r="G51" i="1"/>
  <c r="E51" i="1"/>
  <c r="O50" i="1"/>
  <c r="M50" i="1"/>
  <c r="K50" i="1"/>
  <c r="I50" i="1"/>
  <c r="G50" i="1"/>
  <c r="E50" i="1"/>
  <c r="O49" i="1"/>
  <c r="M49" i="1"/>
  <c r="K49" i="1"/>
  <c r="I49" i="1"/>
  <c r="G49" i="1"/>
  <c r="E49" i="1"/>
  <c r="O48" i="1"/>
  <c r="M48" i="1"/>
  <c r="K48" i="1"/>
  <c r="I48" i="1"/>
  <c r="G48" i="1"/>
  <c r="E48" i="1"/>
  <c r="O47" i="1"/>
  <c r="M47" i="1"/>
  <c r="K47" i="1"/>
  <c r="I47" i="1"/>
  <c r="G47" i="1"/>
  <c r="E47" i="1"/>
  <c r="O46" i="1"/>
  <c r="M46" i="1"/>
  <c r="K46" i="1"/>
  <c r="I46" i="1"/>
  <c r="G46" i="1"/>
  <c r="E46" i="1"/>
  <c r="O45" i="1"/>
  <c r="M45" i="1"/>
  <c r="K45" i="1"/>
  <c r="I45" i="1"/>
  <c r="G45" i="1"/>
  <c r="E45" i="1"/>
  <c r="O44" i="1"/>
  <c r="M44" i="1"/>
  <c r="K44" i="1"/>
  <c r="I44" i="1"/>
  <c r="G44" i="1"/>
  <c r="E44" i="1"/>
  <c r="O43" i="1"/>
  <c r="M43" i="1"/>
  <c r="K43" i="1"/>
  <c r="I43" i="1"/>
  <c r="G43" i="1"/>
  <c r="E43" i="1"/>
  <c r="O42" i="1"/>
  <c r="M42" i="1"/>
  <c r="K42" i="1"/>
  <c r="I42" i="1"/>
  <c r="G42" i="1"/>
  <c r="E42" i="1"/>
  <c r="O41" i="1"/>
  <c r="M41" i="1"/>
  <c r="K41" i="1"/>
  <c r="I41" i="1"/>
  <c r="G41" i="1"/>
  <c r="E41" i="1"/>
  <c r="O40" i="1"/>
  <c r="M40" i="1"/>
  <c r="K40" i="1"/>
  <c r="I40" i="1"/>
  <c r="G40" i="1"/>
  <c r="E40" i="1"/>
  <c r="O39" i="1"/>
  <c r="M39" i="1"/>
  <c r="K39" i="1"/>
  <c r="I39" i="1"/>
  <c r="G39" i="1"/>
  <c r="E39" i="1"/>
  <c r="O38" i="1"/>
  <c r="M38" i="1"/>
  <c r="K38" i="1"/>
  <c r="I38" i="1"/>
  <c r="G38" i="1"/>
  <c r="E38" i="1"/>
  <c r="O37" i="1"/>
  <c r="M37" i="1"/>
  <c r="K37" i="1"/>
  <c r="I37" i="1"/>
  <c r="G37" i="1"/>
  <c r="E37" i="1"/>
  <c r="O36" i="1"/>
  <c r="M36" i="1"/>
  <c r="K36" i="1"/>
  <c r="I36" i="1"/>
  <c r="G36" i="1"/>
  <c r="E36" i="1"/>
  <c r="O35" i="1"/>
  <c r="M35" i="1"/>
  <c r="K35" i="1"/>
  <c r="I35" i="1"/>
  <c r="G35" i="1"/>
  <c r="E35" i="1"/>
  <c r="O34" i="1"/>
  <c r="M34" i="1"/>
  <c r="K34" i="1"/>
  <c r="I34" i="1"/>
  <c r="G34" i="1"/>
  <c r="E34" i="1"/>
  <c r="O33" i="1"/>
  <c r="M33" i="1"/>
  <c r="K33" i="1"/>
  <c r="I33" i="1"/>
  <c r="G33" i="1"/>
  <c r="E33" i="1"/>
  <c r="O32" i="1"/>
  <c r="M32" i="1"/>
  <c r="K32" i="1"/>
  <c r="I32" i="1"/>
  <c r="G32" i="1"/>
  <c r="E32" i="1"/>
  <c r="O31" i="1"/>
  <c r="M31" i="1"/>
  <c r="K31" i="1"/>
  <c r="I31" i="1"/>
  <c r="G31" i="1"/>
  <c r="E31" i="1"/>
  <c r="O30" i="1"/>
  <c r="M30" i="1"/>
  <c r="K30" i="1"/>
  <c r="I30" i="1"/>
  <c r="G30" i="1"/>
  <c r="E30" i="1"/>
  <c r="O29" i="1"/>
  <c r="M29" i="1"/>
  <c r="K29" i="1"/>
  <c r="I29" i="1"/>
  <c r="G29" i="1"/>
  <c r="E29" i="1"/>
  <c r="O28" i="1"/>
  <c r="M28" i="1"/>
  <c r="K28" i="1"/>
  <c r="I28" i="1"/>
  <c r="G28" i="1"/>
  <c r="E28" i="1"/>
  <c r="O27" i="1"/>
  <c r="M27" i="1"/>
  <c r="K27" i="1"/>
  <c r="I27" i="1"/>
  <c r="G27" i="1"/>
  <c r="E27" i="1"/>
  <c r="O26" i="1"/>
  <c r="M26" i="1"/>
  <c r="K26" i="1"/>
  <c r="I26" i="1"/>
  <c r="G26" i="1"/>
  <c r="E26" i="1"/>
  <c r="O25" i="1"/>
  <c r="M25" i="1"/>
  <c r="K25" i="1"/>
  <c r="I25" i="1"/>
  <c r="G25" i="1"/>
  <c r="E25" i="1"/>
  <c r="O24" i="1"/>
  <c r="M24" i="1"/>
  <c r="K24" i="1"/>
  <c r="I24" i="1"/>
  <c r="G24" i="1"/>
  <c r="E24" i="1"/>
  <c r="O23" i="1"/>
  <c r="M23" i="1"/>
  <c r="K23" i="1"/>
  <c r="I23" i="1"/>
  <c r="G23" i="1"/>
  <c r="E23" i="1"/>
  <c r="O22" i="1"/>
  <c r="M22" i="1"/>
  <c r="K22" i="1"/>
  <c r="I22" i="1"/>
  <c r="G22" i="1"/>
  <c r="E22" i="1"/>
  <c r="O21" i="1"/>
  <c r="M21" i="1"/>
  <c r="K21" i="1"/>
  <c r="I21" i="1"/>
  <c r="G21" i="1"/>
  <c r="E21" i="1"/>
</calcChain>
</file>

<file path=xl/sharedStrings.xml><?xml version="1.0" encoding="utf-8"?>
<sst xmlns="http://schemas.openxmlformats.org/spreadsheetml/2006/main" count="659" uniqueCount="324">
  <si>
    <t>NAME:</t>
  </si>
  <si>
    <t>LOCATION:</t>
  </si>
  <si>
    <t xml:space="preserve">Auditor: </t>
  </si>
  <si>
    <t>AMOUNTS IN:</t>
  </si>
  <si>
    <t>D A T E :</t>
  </si>
  <si>
    <t>Audited or Direct (Specify)</t>
  </si>
  <si>
    <t>Audited</t>
  </si>
  <si>
    <t>Unqualified or Qualified (Specify)</t>
  </si>
  <si>
    <t>Unqualified</t>
  </si>
  <si>
    <t>Unqualifed</t>
  </si>
  <si>
    <t>DATE (Day, Month, Year)</t>
  </si>
  <si>
    <t>D E S C R I P T I O N</t>
  </si>
  <si>
    <t xml:space="preserve"> AMOUNT</t>
  </si>
  <si>
    <t>%</t>
  </si>
  <si>
    <t>REASONS FOR QUALIFICATION (IF ANY)</t>
  </si>
  <si>
    <t>BALANCE SHEET</t>
  </si>
  <si>
    <t>01</t>
  </si>
  <si>
    <t>02</t>
  </si>
  <si>
    <t>A</t>
  </si>
  <si>
    <t>03</t>
  </si>
  <si>
    <t>S</t>
  </si>
  <si>
    <t>04</t>
  </si>
  <si>
    <t>05</t>
  </si>
  <si>
    <t>E</t>
  </si>
  <si>
    <t>06</t>
  </si>
  <si>
    <t>T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</si>
  <si>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</si>
  <si>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</si>
  <si>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</si>
  <si>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</si>
  <si>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</si>
  <si>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</si>
  <si>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</si>
  <si>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</si>
  <si>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</si>
  <si>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</si>
  <si>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</si>
  <si>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</si>
  <si>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</t>
  </si>
  <si>
    <t>19</t>
  </si>
  <si>
    <t>I</t>
  </si>
  <si>
    <t>20</t>
  </si>
  <si>
    <t>21</t>
  </si>
  <si>
    <t>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</si>
  <si>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</si>
  <si>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</si>
  <si>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</si>
  <si>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</si>
  <si>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</si>
  <si>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</si>
  <si>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</si>
  <si>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</si>
  <si>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</si>
  <si>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</si>
  <si>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</si>
  <si>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</si>
  <si>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</si>
  <si>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N</t>
  </si>
  <si>
    <t>36</t>
  </si>
  <si>
    <t>37</t>
  </si>
  <si>
    <t>38</t>
  </si>
  <si>
    <t>W</t>
  </si>
  <si>
    <t>39</t>
  </si>
  <si>
    <t>O</t>
  </si>
  <si>
    <t>40</t>
  </si>
  <si>
    <t>R</t>
  </si>
  <si>
    <t>41</t>
  </si>
  <si>
    <t>42</t>
  </si>
  <si>
    <t>H</t>
  </si>
  <si>
    <t>INCOME STATEMENT</t>
  </si>
  <si>
    <t>BALANCE   SHEET   RECONCILIATION</t>
  </si>
  <si>
    <t>NET WORTH</t>
  </si>
  <si>
    <t>FIXED ASSETS</t>
  </si>
  <si>
    <t>OPERATING / NON-OPERATING      (CASH GENERATION STATEMENT)</t>
  </si>
  <si>
    <t/>
  </si>
  <si>
    <t xml:space="preserve"> </t>
  </si>
  <si>
    <t>P</t>
  </si>
  <si>
    <t>G</t>
  </si>
  <si>
    <t>C</t>
  </si>
  <si>
    <t>CONSOLIDATED STATEMENT OF CASH FLOWS</t>
  </si>
  <si>
    <t>OPERATING ACTIVITIES</t>
  </si>
  <si>
    <t>FINANCIAL SUMMARY</t>
  </si>
  <si>
    <t>KEY FIGURES</t>
  </si>
  <si>
    <t>C. ANALYST:</t>
  </si>
  <si>
    <t>NO. OF MONTHS</t>
  </si>
  <si>
    <t>FREQUENCY/CYCLE</t>
  </si>
  <si>
    <t>النقديه</t>
  </si>
  <si>
    <t>ودائع لاجل</t>
  </si>
  <si>
    <t>المخزون</t>
  </si>
  <si>
    <t xml:space="preserve">اصول متداوله اخرى </t>
  </si>
  <si>
    <t xml:space="preserve">اجمالى اصول متداوله </t>
  </si>
  <si>
    <t>اصول اخرى غير متداوله</t>
  </si>
  <si>
    <t xml:space="preserve">اجمالى الاصول الغير متداوله </t>
  </si>
  <si>
    <t xml:space="preserve">بنوك قصيرة الاجل </t>
  </si>
  <si>
    <t xml:space="preserve">موردون واوراق دفع </t>
  </si>
  <si>
    <t>مصروفات مستحقه</t>
  </si>
  <si>
    <t xml:space="preserve">ارصده دائنه اخرى </t>
  </si>
  <si>
    <t xml:space="preserve">ايرادات مؤجله </t>
  </si>
  <si>
    <t xml:space="preserve">مخصصات </t>
  </si>
  <si>
    <t xml:space="preserve">قسط قرض طويل الاجل </t>
  </si>
  <si>
    <t xml:space="preserve">اجمالى خصوم متداوله </t>
  </si>
  <si>
    <t xml:space="preserve">مخصص ضرائب </t>
  </si>
  <si>
    <t xml:space="preserve">مخصصات اخرى </t>
  </si>
  <si>
    <t xml:space="preserve">اجمالى الالتزامات طويلة الاجل </t>
  </si>
  <si>
    <t>اجمالى الالتزامات</t>
  </si>
  <si>
    <t xml:space="preserve">راس المال المصدر والمدفوع </t>
  </si>
  <si>
    <t>جارى حساب الشركاء</t>
  </si>
  <si>
    <t xml:space="preserve">احتياطيات </t>
  </si>
  <si>
    <t xml:space="preserve">ارباح او خسائر مرحله </t>
  </si>
  <si>
    <t xml:space="preserve">اجمالى حقوق المساهمين </t>
  </si>
  <si>
    <t xml:space="preserve">اجمالى الالتزامات وحقوق المنافسين </t>
  </si>
  <si>
    <t xml:space="preserve">التطابق بين( الاصول والخصوم وح0م) </t>
  </si>
  <si>
    <t xml:space="preserve">صافى المبيعات </t>
  </si>
  <si>
    <t xml:space="preserve">تكلفة المبيعات </t>
  </si>
  <si>
    <t xml:space="preserve">مصاريف اداريه وعموميه </t>
  </si>
  <si>
    <t xml:space="preserve">ارباح التشغيل </t>
  </si>
  <si>
    <t xml:space="preserve">الاهلاك </t>
  </si>
  <si>
    <t xml:space="preserve">فوائد محصله </t>
  </si>
  <si>
    <t xml:space="preserve">ارباح او خسائر استثمارات </t>
  </si>
  <si>
    <t xml:space="preserve">مصروفات اخرى </t>
  </si>
  <si>
    <t xml:space="preserve">ايرادات اخرى </t>
  </si>
  <si>
    <t xml:space="preserve">ارباح او خسائر فروق عمله </t>
  </si>
  <si>
    <t xml:space="preserve">الارباح قبل الضرائب ومصاريف التمويل </t>
  </si>
  <si>
    <t xml:space="preserve">مصروفات تمويليه </t>
  </si>
  <si>
    <t xml:space="preserve">الربح قبل الضرائب </t>
  </si>
  <si>
    <t xml:space="preserve">مخصص الضرائب </t>
  </si>
  <si>
    <t xml:space="preserve">ارباح او خسائر غير عاديه (+) </t>
  </si>
  <si>
    <t xml:space="preserve">صافى الربح </t>
  </si>
  <si>
    <t xml:space="preserve">صافى حقوق الملكيه اول المده </t>
  </si>
  <si>
    <t xml:space="preserve">يضاف اليه (+) </t>
  </si>
  <si>
    <t xml:space="preserve">صافى الدخل </t>
  </si>
  <si>
    <t xml:space="preserve">فروق اعادة تقييم استثمارات </t>
  </si>
  <si>
    <t xml:space="preserve">الزياده فى راس المال </t>
  </si>
  <si>
    <t xml:space="preserve">اضافات اخرى </t>
  </si>
  <si>
    <t xml:space="preserve">اجمالى الزياده </t>
  </si>
  <si>
    <t xml:space="preserve">يخصم منه(-) </t>
  </si>
  <si>
    <t xml:space="preserve">توزيعات </t>
  </si>
  <si>
    <t xml:space="preserve">مسحوبات </t>
  </si>
  <si>
    <t xml:space="preserve">اعادة تقييم استثمارات </t>
  </si>
  <si>
    <t xml:space="preserve">اجمالى النقص </t>
  </si>
  <si>
    <t xml:space="preserve">صافى التغير فى حقوق الملكيه </t>
  </si>
  <si>
    <t xml:space="preserve">صافى حقوق الملكيه النهائى </t>
  </si>
  <si>
    <t xml:space="preserve">صافى الاصول الثابته اول المده </t>
  </si>
  <si>
    <t xml:space="preserve">يطرح منه(-) </t>
  </si>
  <si>
    <t xml:space="preserve">النقص فى اعادة تقييم الاصول </t>
  </si>
  <si>
    <t xml:space="preserve">مجموع فرعى </t>
  </si>
  <si>
    <t xml:space="preserve">صافى الاصول الثابته النهائى </t>
  </si>
  <si>
    <t xml:space="preserve">مصاريف راسماليه </t>
  </si>
  <si>
    <t xml:space="preserve">يضاف اليه(+) </t>
  </si>
  <si>
    <t xml:space="preserve">بيع اصول ثابته </t>
  </si>
  <si>
    <t xml:space="preserve">اعادة تقييم اصول </t>
  </si>
  <si>
    <t xml:space="preserve">اجمالى المصروفات الراسماليه </t>
  </si>
  <si>
    <t xml:space="preserve">مصاريف غير نقديه </t>
  </si>
  <si>
    <t xml:space="preserve">اجمالى النقديه المتولده من انشطة التشغيل </t>
  </si>
  <si>
    <t xml:space="preserve">مقدار الزياده او النقص </t>
  </si>
  <si>
    <t xml:space="preserve">استخدامات النقديه من الانشطه التشغيليه </t>
  </si>
  <si>
    <t xml:space="preserve">مدفوعات مقدمه للموردين </t>
  </si>
  <si>
    <t xml:space="preserve">اجمالى الاحتياجات التشغيليه </t>
  </si>
  <si>
    <t xml:space="preserve">مصادر النقديه المتولده من الانشطه التشغيليه </t>
  </si>
  <si>
    <t xml:space="preserve">اجمالى مصادر التشغيل </t>
  </si>
  <si>
    <t xml:space="preserve">صافى النقديه من الانشطه التشغيليه </t>
  </si>
  <si>
    <t xml:space="preserve">استخدامات غير تشغيليه </t>
  </si>
  <si>
    <t xml:space="preserve">النقص فى الالتزامات طويلة الاجل </t>
  </si>
  <si>
    <t xml:space="preserve">النقص فى الالتزامات قصيرة الاجل </t>
  </si>
  <si>
    <t xml:space="preserve">النقص فى صافى حقوق الملكيه </t>
  </si>
  <si>
    <t xml:space="preserve">اجمالى الاستخدامات غير التشغيليه </t>
  </si>
  <si>
    <t xml:space="preserve">مقدار الزياده او النقص (+/-) </t>
  </si>
  <si>
    <t xml:space="preserve">مصادر غير تشغيليه </t>
  </si>
  <si>
    <t xml:space="preserve">النقص فى حقوق الملكيه </t>
  </si>
  <si>
    <t xml:space="preserve">الزياده فى الالتزامات طويلة الاجل </t>
  </si>
  <si>
    <t xml:space="preserve">الزياده فى الالتزامات قصيرة الاجل </t>
  </si>
  <si>
    <t xml:space="preserve">النقص فى الاصول </t>
  </si>
  <si>
    <t xml:space="preserve">الزياده فى حقوق الملكيه </t>
  </si>
  <si>
    <t xml:space="preserve">اجمالى المصادر الغير تشغيليه </t>
  </si>
  <si>
    <t xml:space="preserve">صافى الزياده او النقص فى النقديه </t>
  </si>
  <si>
    <t xml:space="preserve">الزياده او النقص الفعلى فى النقديه </t>
  </si>
  <si>
    <t xml:space="preserve">التغيرات فى عمليات </t>
  </si>
  <si>
    <t xml:space="preserve">الاصول والخصوم </t>
  </si>
  <si>
    <t xml:space="preserve">صافى التدفقات النقديه من الانشطه التشغيليه </t>
  </si>
  <si>
    <t xml:space="preserve">انشطه استثماريه </t>
  </si>
  <si>
    <t xml:space="preserve">اضافات للاصول الثابته </t>
  </si>
  <si>
    <t xml:space="preserve">صافى التدفقات النقديه الناتجه من الاستثمار </t>
  </si>
  <si>
    <t xml:space="preserve">انشطه تمويليه </t>
  </si>
  <si>
    <t xml:space="preserve">ديون طويلة الاجل </t>
  </si>
  <si>
    <t xml:space="preserve">ديون قصيرة الاجل </t>
  </si>
  <si>
    <t xml:space="preserve">تغيرات اخرى فى صافى حقوق الملكيه </t>
  </si>
  <si>
    <t xml:space="preserve">صافى التدفقات النقديه الناتجه من التمويل </t>
  </si>
  <si>
    <t xml:space="preserve">صافى التدفقات النقديه الاجماليه </t>
  </si>
  <si>
    <t xml:space="preserve">النقديه والودائع </t>
  </si>
  <si>
    <t xml:space="preserve">النقديه اول المده </t>
  </si>
  <si>
    <t xml:space="preserve">النقديه اخر المده </t>
  </si>
  <si>
    <t xml:space="preserve">الرصيد الفعلى اخر المده </t>
  </si>
  <si>
    <t xml:space="preserve">الارباح قبل الضرائب </t>
  </si>
  <si>
    <t>صافى الدخل</t>
  </si>
  <si>
    <t xml:space="preserve">صافى حقوق الملكيه الملموسه </t>
  </si>
  <si>
    <t xml:space="preserve">اجمالى الاصول </t>
  </si>
  <si>
    <t xml:space="preserve">راس المال العامل </t>
  </si>
  <si>
    <t xml:space="preserve">التغير السنوى(%) </t>
  </si>
  <si>
    <t xml:space="preserve">التدفقات النقديه </t>
  </si>
  <si>
    <t xml:space="preserve">صافى النقديه من التشغيل </t>
  </si>
  <si>
    <t xml:space="preserve">اجمالى النقديه من التشغيل </t>
  </si>
  <si>
    <t xml:space="preserve">سلفيات جديده </t>
  </si>
  <si>
    <t xml:space="preserve">حقوق ملكيه جديده </t>
  </si>
  <si>
    <t xml:space="preserve">نسبة التغطيه </t>
  </si>
  <si>
    <t xml:space="preserve">خدمة الدين </t>
  </si>
  <si>
    <t xml:space="preserve">النسب الماليه (%) </t>
  </si>
  <si>
    <t xml:space="preserve">صافى الدخل / المبيعات </t>
  </si>
  <si>
    <t xml:space="preserve">صافى الدخل / اجمالى الاصول </t>
  </si>
  <si>
    <t xml:space="preserve">صافى الدخل / حقوق الملكيه الملموسه </t>
  </si>
  <si>
    <t xml:space="preserve">ارباح التشغيل / المبيعات </t>
  </si>
  <si>
    <t xml:space="preserve">ارباح التشغيل / الاصول السريعه </t>
  </si>
  <si>
    <t xml:space="preserve">كفائة معدلات الدوران </t>
  </si>
  <si>
    <t>صافى المبيعات / صافى الاصول الثابته</t>
  </si>
  <si>
    <t xml:space="preserve">متوسط فترة تحصيل اوراق القبض الحاليه </t>
  </si>
  <si>
    <t xml:space="preserve">متوسط فترة التحصيل الاجماليه لاوراق القبض </t>
  </si>
  <si>
    <t xml:space="preserve">متوسط فترة التخزين </t>
  </si>
  <si>
    <t xml:space="preserve">متوسط فترة سداد اوراق الدفع </t>
  </si>
  <si>
    <t xml:space="preserve">صافى النقديه الناتجه من تحول الاصول </t>
  </si>
  <si>
    <t xml:space="preserve">معدل التداول </t>
  </si>
  <si>
    <t xml:space="preserve">معدل السيوله السريعه </t>
  </si>
  <si>
    <t xml:space="preserve">معدلات الرافعه الماليه </t>
  </si>
  <si>
    <t xml:space="preserve">اجمالى الالتزامات / حقوق الملكيه </t>
  </si>
  <si>
    <t xml:space="preserve">اجمالى الالتزامات طويلة الاجل / حقوق الملكيه </t>
  </si>
  <si>
    <t xml:space="preserve">تغطية الفائده = الربح قبل الفوائد والضرائب / م0 التمويل </t>
  </si>
  <si>
    <t xml:space="preserve">المسحوبات / صافى الربـــــــح </t>
  </si>
  <si>
    <t>مستحق لشركات تابعه</t>
  </si>
  <si>
    <t>دائنو توزيعات</t>
  </si>
  <si>
    <t>اسهم خزانه</t>
  </si>
  <si>
    <t>مخصصات انتفى الغرض منها</t>
  </si>
  <si>
    <t xml:space="preserve">                                                                                                                                </t>
  </si>
  <si>
    <t>استثمارات في شركات تابعة</t>
  </si>
  <si>
    <t>جاري شركات تابعة</t>
  </si>
  <si>
    <t>استثمارات طويلة الأجل</t>
  </si>
  <si>
    <t>مصروفات مقدمة</t>
  </si>
  <si>
    <t>مصاريف أخري غير نقدية</t>
  </si>
  <si>
    <t>IMC</t>
  </si>
  <si>
    <t>EGP</t>
  </si>
  <si>
    <t>ME</t>
  </si>
  <si>
    <t>صافي الاصول الثابتة</t>
  </si>
  <si>
    <t>جاري مصلحة الضرائب</t>
  </si>
  <si>
    <t xml:space="preserve">  </t>
  </si>
  <si>
    <t>31/7/2025</t>
  </si>
  <si>
    <t>31/8/2025</t>
  </si>
  <si>
    <t>31/12/2025</t>
  </si>
  <si>
    <t>30/09/2028</t>
  </si>
  <si>
    <t>hanno pop</t>
  </si>
  <si>
    <t xml:space="preserve"> (قرض السيلارة ) التزامات اخرى طويلة الاجل </t>
  </si>
  <si>
    <t xml:space="preserve"> (قرض المبادرة ) التزامات طويلة الاجل ذات امتياز </t>
  </si>
  <si>
    <t>اوراق القبض+ رصيد العملاء</t>
  </si>
  <si>
    <t xml:space="preserve"> (شهرة ) اصول غير ملموسه</t>
  </si>
  <si>
    <t xml:space="preserve">صافى ارباح  </t>
  </si>
  <si>
    <t>باقى فلوس القرض</t>
  </si>
  <si>
    <t xml:space="preserve">سلفيات طويلة الاجل </t>
  </si>
  <si>
    <t xml:space="preserve">عهد ثابتة </t>
  </si>
  <si>
    <t>عهد فودافون كاش وانستا</t>
  </si>
  <si>
    <t xml:space="preserve">ساهر انستا </t>
  </si>
  <si>
    <t>ساهر فودافون كاش</t>
  </si>
  <si>
    <t xml:space="preserve">محمد طه فودافون كاش </t>
  </si>
  <si>
    <t xml:space="preserve">هانى </t>
  </si>
  <si>
    <t>أصول متداولة أخرى 3</t>
  </si>
  <si>
    <t>مهند</t>
  </si>
  <si>
    <t xml:space="preserve">أسامة الاعصر </t>
  </si>
  <si>
    <t xml:space="preserve">شعبان </t>
  </si>
  <si>
    <t>نوح</t>
  </si>
  <si>
    <t>أ هيثم فودافون كاش</t>
  </si>
  <si>
    <t>محمد السائق</t>
  </si>
  <si>
    <t>عهد سفريات وصيانة</t>
  </si>
  <si>
    <t>محمد امام</t>
  </si>
  <si>
    <t xml:space="preserve">شعبان النعمانى </t>
  </si>
  <si>
    <t>مصطفى السائق</t>
  </si>
  <si>
    <t>محمد طه</t>
  </si>
  <si>
    <t>بنوك ونقدية قرض</t>
  </si>
  <si>
    <t xml:space="preserve">ساهر </t>
  </si>
  <si>
    <t xml:space="preserve">خالد </t>
  </si>
  <si>
    <t>سامح</t>
  </si>
  <si>
    <t xml:space="preserve">محمد بشرى </t>
  </si>
  <si>
    <t xml:space="preserve">رصيد بنك اهلى 1017 </t>
  </si>
  <si>
    <t xml:space="preserve">مخصص ديون معدومة </t>
  </si>
  <si>
    <t>جارى شركاء</t>
  </si>
  <si>
    <t>خالد</t>
  </si>
  <si>
    <t>مدين</t>
  </si>
  <si>
    <t>مصروف مقدم</t>
  </si>
  <si>
    <t>نصف ايجار مصنع شهر 8</t>
  </si>
  <si>
    <t>مصروف مستحق</t>
  </si>
  <si>
    <t xml:space="preserve">مرتبات </t>
  </si>
  <si>
    <t>عمالة خارجية</t>
  </si>
  <si>
    <t>عمولة البيع</t>
  </si>
  <si>
    <t>ايجار عربية 1842</t>
  </si>
  <si>
    <t>بدل ايجار عربية هيثم</t>
  </si>
  <si>
    <t xml:space="preserve">رصيد مبادرة </t>
  </si>
  <si>
    <t>ارصدة نهاية 7</t>
  </si>
  <si>
    <t>ارصدة نهاية 8</t>
  </si>
  <si>
    <t>رصيد مبادرة 1013</t>
  </si>
  <si>
    <t xml:space="preserve">امام </t>
  </si>
  <si>
    <t>أبو جمال</t>
  </si>
  <si>
    <t xml:space="preserve">سيد </t>
  </si>
  <si>
    <t>ارصدة نهاية 9</t>
  </si>
  <si>
    <t>ارصدة نهاية 12 2025.</t>
  </si>
  <si>
    <t xml:space="preserve">عبد الله الاعصر </t>
  </si>
  <si>
    <t>انور السائق</t>
  </si>
  <si>
    <t>سيف السائق</t>
  </si>
  <si>
    <t xml:space="preserve">مهند. فودافون كاش </t>
  </si>
  <si>
    <t xml:space="preserve">مهند </t>
  </si>
  <si>
    <t>أ خالد نقدى</t>
  </si>
  <si>
    <t xml:space="preserve">غفرة رمضان </t>
  </si>
  <si>
    <t xml:space="preserve">مكتب المحاسبة </t>
  </si>
  <si>
    <t>ي</t>
  </si>
  <si>
    <t>12/2025</t>
  </si>
  <si>
    <t>قروض أ خالد و الحاج اسامة</t>
  </si>
  <si>
    <t>ارصدة نهاية فبراير  2026</t>
  </si>
  <si>
    <t xml:space="preserve">ايمن </t>
  </si>
  <si>
    <t>مصطفى النهضة</t>
  </si>
  <si>
    <t>محمد حامد</t>
  </si>
  <si>
    <t>تاكى للتوابل</t>
  </si>
  <si>
    <t xml:space="preserve">تعديل .حساب العملاء </t>
  </si>
  <si>
    <t>باقى العملاء</t>
  </si>
  <si>
    <t>قروض</t>
  </si>
  <si>
    <t xml:space="preserve">المبادرة </t>
  </si>
  <si>
    <t>السياؤة</t>
  </si>
  <si>
    <t xml:space="preserve">قروض قصيرة </t>
  </si>
  <si>
    <t xml:space="preserve">أ خالد </t>
  </si>
  <si>
    <t xml:space="preserve">الحاج اسامة </t>
  </si>
  <si>
    <t>28/2/2026</t>
  </si>
  <si>
    <t>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</si>
</sst>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_-;#,##0.00\-"/>
    <numFmt numFmtId="165" formatCode="mm\-dd\-yy"/>
    <numFmt numFmtId="166" formatCode="[$-1010000]d/m/yyyy;@"/>
    <numFmt numFmtId="167" formatCode="dd\-mmm\-yy_)"/>
    <numFmt numFmtId="168" formatCode="#,##0;[Red]\(#,##0\)"/>
    <numFmt numFmtId="169" formatCode="0.0%"/>
    <numFmt numFmtId="170" formatCode="#,##0_-;[Red]#,##0\-"/>
    <numFmt numFmtId="171" formatCode="dd/mm/yy"/>
    <numFmt numFmtId="172" formatCode="#,##0_-;#,##0\-"/>
    <numFmt numFmtId="173" formatCode="0.0"/>
    <numFmt numFmtId="174" formatCode="#,##0.00;[Red]\(#,##0.00\)"/>
  </numFmts>
  <fonts count="56" x14ac:knownFonts="1">
    <font>
      <sz val="10"/>
      <name val="Arial"/>
    </font>
    <font>
      <sz val="10"/>
      <color indexed="12"/>
      <name val="Arial"/>
    </font>
    <font>
      <sz val="10"/>
      <name val="Arial"/>
      <charset val="178"/>
    </font>
    <font>
      <b/>
      <sz val="7"/>
      <color indexed="12"/>
      <name val="Times New Roman"/>
    </font>
    <font>
      <b/>
      <sz val="12"/>
      <color indexed="16"/>
      <name val="Times New Roman"/>
      <charset val="178"/>
    </font>
    <font>
      <b/>
      <i/>
      <sz val="11"/>
      <color indexed="12"/>
      <name val="Times New Roman"/>
      <charset val="178"/>
    </font>
    <font>
      <sz val="12"/>
      <color indexed="12"/>
      <name val="Times New Roman"/>
    </font>
    <font>
      <b/>
      <sz val="12"/>
      <color indexed="12"/>
      <name val="Times New Roman"/>
    </font>
    <font>
      <sz val="12"/>
      <color indexed="12"/>
      <name val="Impact"/>
    </font>
    <font>
      <sz val="12"/>
      <color indexed="10"/>
      <name val="Impact"/>
    </font>
    <font>
      <sz val="9"/>
      <color indexed="12"/>
      <name val="Arial"/>
      <charset val="178"/>
    </font>
    <font>
      <b/>
      <i/>
      <sz val="12"/>
      <color indexed="12"/>
      <name val="Times New Roman"/>
    </font>
    <font>
      <b/>
      <i/>
      <sz val="10"/>
      <color indexed="12"/>
      <name val="Times New Roman"/>
      <charset val="178"/>
    </font>
    <font>
      <sz val="7"/>
      <color indexed="12"/>
      <name val="Times New Roman"/>
    </font>
    <font>
      <b/>
      <sz val="12"/>
      <color indexed="12"/>
      <name val="Times New Roman"/>
    </font>
    <font>
      <sz val="10"/>
      <color indexed="12"/>
      <name val="Arial"/>
      <charset val="178"/>
    </font>
    <font>
      <b/>
      <sz val="7"/>
      <color indexed="12"/>
      <name val="Times New Roman"/>
      <charset val="178"/>
    </font>
    <font>
      <b/>
      <sz val="8"/>
      <color indexed="12"/>
      <name val="Times New Roman"/>
      <charset val="178"/>
    </font>
    <font>
      <sz val="12"/>
      <name val="Braggadocio"/>
      <charset val="178"/>
    </font>
    <font>
      <b/>
      <sz val="9"/>
      <color indexed="12"/>
      <name val="Times New Roman"/>
    </font>
    <font>
      <b/>
      <sz val="9"/>
      <color indexed="12"/>
      <name val="Arial"/>
      <charset val="178"/>
    </font>
    <font>
      <b/>
      <u/>
      <sz val="10"/>
      <color indexed="12"/>
      <name val="Times New Roman"/>
      <charset val="178"/>
    </font>
    <font>
      <b/>
      <u/>
      <sz val="11"/>
      <color indexed="12"/>
      <name val="Times New Roman"/>
      <charset val="178"/>
    </font>
    <font>
      <b/>
      <sz val="10"/>
      <color indexed="12"/>
      <name val="Arial"/>
      <charset val="178"/>
    </font>
    <font>
      <b/>
      <sz val="12"/>
      <name val="Braggadocio"/>
      <charset val="178"/>
    </font>
    <font>
      <b/>
      <sz val="8"/>
      <color indexed="12"/>
      <name val="Arial"/>
      <charset val="178"/>
    </font>
    <font>
      <sz val="8"/>
      <color indexed="12"/>
      <name val="Arial"/>
      <charset val="178"/>
    </font>
    <font>
      <sz val="10"/>
      <name val="Arial"/>
    </font>
    <font>
      <sz val="7"/>
      <color indexed="12"/>
      <name val="Arial"/>
      <charset val="178"/>
    </font>
    <font>
      <sz val="16"/>
      <name val="Arial"/>
    </font>
    <font>
      <sz val="10"/>
      <name val="Arial"/>
    </font>
    <font>
      <sz val="8"/>
      <name val="Times New Roman"/>
      <charset val="178"/>
    </font>
    <font>
      <b/>
      <sz val="12"/>
      <color indexed="16"/>
      <name val="Times New Roman"/>
    </font>
    <font>
      <b/>
      <i/>
      <sz val="8"/>
      <color indexed="12"/>
      <name val="Times New Roman"/>
      <charset val="178"/>
    </font>
    <font>
      <b/>
      <i/>
      <sz val="12"/>
      <color indexed="12"/>
      <name val="Times New Roman"/>
      <charset val="178"/>
    </font>
    <font>
      <sz val="8"/>
      <color indexed="12"/>
      <name val="Times New Roman"/>
      <charset val="178"/>
    </font>
    <font>
      <b/>
      <i/>
      <sz val="11"/>
      <color indexed="10"/>
      <name val="Times New Roman"/>
      <charset val="178"/>
    </font>
    <font>
      <sz val="12"/>
      <name val="Braggadocio"/>
      <charset val="178"/>
    </font>
    <font>
      <sz val="8"/>
      <color indexed="12"/>
      <name val="Times New Roman"/>
    </font>
    <font>
      <b/>
      <sz val="8"/>
      <color indexed="12"/>
      <name val="Times New Roman"/>
    </font>
    <font>
      <sz val="12"/>
      <color indexed="12"/>
      <name val="Braggadocio"/>
      <charset val="178"/>
    </font>
    <font>
      <sz val="7"/>
      <name val="Times New Roman"/>
    </font>
    <font>
      <b/>
      <sz val="18"/>
      <name val="Brush Script MT"/>
      <charset val="178"/>
    </font>
    <font>
      <b/>
      <i/>
      <u/>
      <sz val="8"/>
      <color indexed="12"/>
      <name val="Arial"/>
    </font>
    <font>
      <b/>
      <sz val="10"/>
      <name val="Arial"/>
    </font>
    <font>
      <b/>
      <i/>
      <u/>
      <sz val="8"/>
      <color indexed="12"/>
      <name val="Arial"/>
      <charset val="178"/>
    </font>
    <font>
      <b/>
      <sz val="9"/>
      <color indexed="12"/>
      <name val="Times New Roman"/>
      <charset val="178"/>
    </font>
    <font>
      <b/>
      <i/>
      <sz val="10"/>
      <color indexed="12"/>
      <name val="Times New Roman"/>
    </font>
    <font>
      <sz val="12"/>
      <color indexed="10"/>
      <name val="Impact"/>
      <charset val="178"/>
    </font>
    <font>
      <b/>
      <sz val="12"/>
      <color indexed="12"/>
      <name val="Braggadocio"/>
      <charset val="178"/>
    </font>
    <font>
      <sz val="12"/>
      <color indexed="12"/>
      <name val="Times New Roman"/>
      <charset val="178"/>
    </font>
    <font>
      <b/>
      <sz val="9"/>
      <name val="Arial"/>
    </font>
    <font>
      <b/>
      <i/>
      <sz val="8"/>
      <color indexed="12"/>
      <name val="Arial"/>
      <charset val="178"/>
    </font>
    <font>
      <sz val="8"/>
      <color indexed="12"/>
      <name val="Arial"/>
    </font>
    <font>
      <sz val="10"/>
      <color indexed="12"/>
      <name val="Times New Roman"/>
      <charset val="178"/>
    </font>
    <font>
      <sz val="9"/>
      <color indexed="12"/>
      <name val="Times New Roman"/>
      <charset val="178"/>
    </font>
  </fonts>
  <fills count="19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8"/>
      </patternFill>
    </fill>
    <fill>
      <patternFill patternType="solid">
        <fgColor indexed="9"/>
        <bgColor indexed="8"/>
      </patternFill>
    </fill>
    <fill>
      <patternFill patternType="gray125">
        <fgColor indexed="8"/>
        <bgColor indexed="9"/>
      </patternFill>
    </fill>
    <fill>
      <patternFill patternType="solid">
        <fgColor indexed="42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2"/>
        <bgColor indexed="29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125"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3"/>
        <bgColor indexed="8"/>
      </patternFill>
    </fill>
  </fills>
  <borders count="1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3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5" fillId="0" borderId="5" xfId="0" applyFont="1" applyBorder="1" applyAlignment="1">
      <alignment horizontal="left"/>
    </xf>
    <xf numFmtId="0" fontId="6" fillId="0" borderId="2" xfId="0" applyFont="1" applyBorder="1" applyAlignment="1"/>
    <xf numFmtId="0" fontId="7" fillId="0" borderId="2" xfId="0" applyFont="1" applyBorder="1" applyAlignment="1">
      <alignment horizontal="left"/>
    </xf>
    <xf numFmtId="0" fontId="3" fillId="0" borderId="6" xfId="0" applyFont="1" applyBorder="1" applyAlignment="1"/>
    <xf numFmtId="0" fontId="5" fillId="0" borderId="7" xfId="0" applyFont="1" applyBorder="1" applyAlignment="1">
      <alignment horizontal="left"/>
    </xf>
    <xf numFmtId="0" fontId="8" fillId="0" borderId="3" xfId="0" applyFont="1" applyBorder="1" applyAlignment="1" applyProtection="1">
      <alignment horizontal="centerContinuous"/>
      <protection locked="0"/>
    </xf>
    <xf numFmtId="0" fontId="10" fillId="0" borderId="9" xfId="0" applyFont="1" applyBorder="1" applyAlignment="1">
      <alignment horizontal="left"/>
    </xf>
    <xf numFmtId="0" fontId="3" fillId="0" borderId="10" xfId="0" applyFont="1" applyBorder="1" applyAlignment="1"/>
    <xf numFmtId="0" fontId="12" fillId="0" borderId="12" xfId="0" applyFont="1" applyBorder="1" applyAlignment="1">
      <alignment horizontal="left"/>
    </xf>
    <xf numFmtId="0" fontId="11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/>
    <xf numFmtId="164" fontId="5" fillId="0" borderId="10" xfId="0" applyNumberFormat="1" applyFont="1" applyBorder="1" applyAlignment="1">
      <alignment horizontal="left"/>
    </xf>
    <xf numFmtId="164" fontId="13" fillId="0" borderId="10" xfId="0" applyNumberFormat="1" applyFont="1" applyBorder="1" applyAlignment="1" applyProtection="1">
      <protection locked="0"/>
    </xf>
    <xf numFmtId="49" fontId="14" fillId="0" borderId="10" xfId="0" applyNumberFormat="1" applyFont="1" applyBorder="1" applyAlignment="1" applyProtection="1">
      <alignment horizontal="centerContinuous"/>
      <protection locked="0"/>
    </xf>
    <xf numFmtId="49" fontId="3" fillId="0" borderId="10" xfId="0" applyNumberFormat="1" applyFont="1" applyBorder="1" applyAlignment="1" applyProtection="1">
      <alignment horizontal="centerContinuous"/>
      <protection locked="0"/>
    </xf>
    <xf numFmtId="164" fontId="13" fillId="0" borderId="10" xfId="0" applyNumberFormat="1" applyFont="1" applyBorder="1" applyAlignment="1" applyProtection="1">
      <alignment horizontal="centerContinuous"/>
      <protection locked="0"/>
    </xf>
    <xf numFmtId="164" fontId="13" fillId="0" borderId="13" xfId="0" applyNumberFormat="1" applyFont="1" applyBorder="1" applyAlignment="1" applyProtection="1">
      <alignment horizontal="centerContinuous"/>
      <protection locked="0"/>
    </xf>
    <xf numFmtId="0" fontId="15" fillId="0" borderId="14" xfId="0" applyFont="1" applyBorder="1" applyAlignment="1"/>
    <xf numFmtId="0" fontId="3" fillId="0" borderId="15" xfId="0" applyFont="1" applyBorder="1" applyAlignment="1"/>
    <xf numFmtId="0" fontId="16" fillId="0" borderId="15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16" fillId="0" borderId="15" xfId="0" applyFont="1" applyBorder="1" applyAlignment="1"/>
    <xf numFmtId="49" fontId="17" fillId="0" borderId="15" xfId="0" applyNumberFormat="1" applyFont="1" applyBorder="1" applyAlignment="1" applyProtection="1">
      <alignment horizontal="center"/>
      <protection locked="0"/>
    </xf>
    <xf numFmtId="49" fontId="3" fillId="0" borderId="15" xfId="0" applyNumberFormat="1" applyFont="1" applyBorder="1" applyAlignment="1" applyProtection="1">
      <alignment horizontal="center"/>
      <protection locked="0"/>
    </xf>
    <xf numFmtId="165" fontId="3" fillId="0" borderId="15" xfId="0" applyNumberFormat="1" applyFont="1" applyBorder="1" applyAlignment="1" applyProtection="1">
      <alignment horizontal="center"/>
      <protection locked="0"/>
    </xf>
    <xf numFmtId="166" fontId="17" fillId="0" borderId="15" xfId="0" applyNumberFormat="1" applyFont="1" applyBorder="1" applyAlignment="1" applyProtection="1">
      <alignment horizontal="center"/>
      <protection locked="0"/>
    </xf>
    <xf numFmtId="167" fontId="17" fillId="0" borderId="15" xfId="0" applyNumberFormat="1" applyFont="1" applyBorder="1" applyAlignment="1" applyProtection="1">
      <alignment horizontal="center"/>
      <protection locked="0"/>
    </xf>
    <xf numFmtId="165" fontId="3" fillId="0" borderId="16" xfId="0" applyNumberFormat="1" applyFont="1" applyBorder="1" applyAlignment="1" applyProtection="1">
      <alignment horizontal="center"/>
      <protection locked="0"/>
    </xf>
    <xf numFmtId="0" fontId="15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16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8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9" fillId="0" borderId="1" xfId="0" applyFont="1" applyBorder="1" applyAlignment="1">
      <alignment horizontal="left"/>
    </xf>
    <xf numFmtId="0" fontId="19" fillId="0" borderId="21" xfId="0" applyFont="1" applyBorder="1" applyAlignment="1"/>
    <xf numFmtId="0" fontId="3" fillId="0" borderId="21" xfId="0" applyFont="1" applyBorder="1" applyAlignment="1"/>
    <xf numFmtId="168" fontId="20" fillId="0" borderId="21" xfId="0" applyNumberFormat="1" applyFont="1" applyBorder="1" applyAlignment="1"/>
    <xf numFmtId="168" fontId="10" fillId="0" borderId="21" xfId="0" applyNumberFormat="1" applyFont="1" applyBorder="1" applyAlignment="1"/>
    <xf numFmtId="168" fontId="20" fillId="0" borderId="22" xfId="0" applyNumberFormat="1" applyFont="1" applyBorder="1" applyAlignment="1"/>
    <xf numFmtId="0" fontId="19" fillId="0" borderId="23" xfId="0" applyFont="1" applyBorder="1" applyAlignment="1">
      <alignment horizontal="left"/>
    </xf>
    <xf numFmtId="0" fontId="21" fillId="0" borderId="0" xfId="0" applyFont="1" applyAlignment="1"/>
    <xf numFmtId="168" fontId="20" fillId="0" borderId="0" xfId="0" applyNumberFormat="1" applyFont="1" applyAlignment="1"/>
    <xf numFmtId="168" fontId="20" fillId="0" borderId="24" xfId="0" applyNumberFormat="1" applyFont="1" applyBorder="1" applyAlignment="1"/>
    <xf numFmtId="0" fontId="22" fillId="0" borderId="0" xfId="0" applyFont="1" applyAlignment="1"/>
    <xf numFmtId="0" fontId="23" fillId="0" borderId="0" xfId="0" applyFont="1" applyAlignment="1"/>
    <xf numFmtId="169" fontId="20" fillId="0" borderId="0" xfId="0" applyNumberFormat="1" applyFont="1" applyAlignment="1"/>
    <xf numFmtId="169" fontId="20" fillId="0" borderId="0" xfId="0" applyNumberFormat="1" applyFont="1" applyAlignment="1">
      <alignment horizontal="left"/>
    </xf>
    <xf numFmtId="169" fontId="20" fillId="0" borderId="24" xfId="0" applyNumberFormat="1" applyFont="1" applyBorder="1" applyAlignment="1"/>
    <xf numFmtId="0" fontId="19" fillId="0" borderId="0" xfId="0" applyFont="1" applyAlignment="1"/>
    <xf numFmtId="2" fontId="20" fillId="0" borderId="0" xfId="0" applyNumberFormat="1" applyFont="1" applyAlignment="1"/>
    <xf numFmtId="2" fontId="20" fillId="0" borderId="0" xfId="0" applyNumberFormat="1" applyFont="1" applyAlignment="1">
      <alignment horizontal="center"/>
    </xf>
    <xf numFmtId="2" fontId="20" fillId="0" borderId="24" xfId="0" applyNumberFormat="1" applyFont="1" applyBorder="1" applyAlignment="1"/>
    <xf numFmtId="170" fontId="20" fillId="0" borderId="0" xfId="0" applyNumberFormat="1" applyFont="1" applyAlignment="1"/>
    <xf numFmtId="170" fontId="20" fillId="0" borderId="24" xfId="0" applyNumberFormat="1" applyFont="1" applyBorder="1" applyAlignment="1"/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/>
    <xf numFmtId="2" fontId="20" fillId="0" borderId="18" xfId="0" applyNumberFormat="1" applyFont="1" applyBorder="1" applyAlignment="1"/>
    <xf numFmtId="2" fontId="20" fillId="0" borderId="25" xfId="0" applyNumberFormat="1" applyFont="1" applyBorder="1" applyAlignment="1"/>
    <xf numFmtId="0" fontId="24" fillId="0" borderId="0" xfId="0" applyFont="1" applyAlignment="1">
      <alignment horizontal="centerContinuous"/>
    </xf>
    <xf numFmtId="0" fontId="13" fillId="0" borderId="26" xfId="0" quotePrefix="1" applyFont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26" fillId="0" borderId="28" xfId="0" applyFont="1" applyBorder="1" applyAlignment="1">
      <alignment horizontal="left"/>
    </xf>
    <xf numFmtId="168" fontId="20" fillId="0" borderId="29" xfId="0" applyNumberFormat="1" applyFont="1" applyBorder="1" applyAlignment="1" applyProtection="1">
      <protection locked="0"/>
    </xf>
    <xf numFmtId="9" fontId="20" fillId="0" borderId="6" xfId="0" applyNumberFormat="1" applyFont="1" applyBorder="1" applyAlignment="1" applyProtection="1">
      <protection locked="0"/>
    </xf>
    <xf numFmtId="168" fontId="20" fillId="0" borderId="6" xfId="0" applyNumberFormat="1" applyFont="1" applyBorder="1" applyAlignment="1" applyProtection="1">
      <protection locked="0"/>
    </xf>
    <xf numFmtId="9" fontId="20" fillId="0" borderId="30" xfId="0" applyNumberFormat="1" applyFont="1" applyBorder="1" applyAlignment="1" applyProtection="1">
      <protection locked="0"/>
    </xf>
    <xf numFmtId="0" fontId="13" fillId="0" borderId="31" xfId="0" applyFont="1" applyBorder="1" applyAlignment="1">
      <alignment horizontal="center"/>
    </xf>
    <xf numFmtId="0" fontId="25" fillId="2" borderId="32" xfId="0" applyFont="1" applyFill="1" applyBorder="1" applyAlignment="1">
      <alignment horizontal="center"/>
    </xf>
    <xf numFmtId="0" fontId="26" fillId="0" borderId="33" xfId="0" applyFont="1" applyBorder="1" applyAlignment="1">
      <alignment horizontal="left"/>
    </xf>
    <xf numFmtId="9" fontId="20" fillId="0" borderId="34" xfId="0" applyNumberFormat="1" applyFont="1" applyBorder="1" applyAlignment="1" applyProtection="1">
      <protection locked="0"/>
    </xf>
    <xf numFmtId="168" fontId="20" fillId="0" borderId="34" xfId="0" applyNumberFormat="1" applyFont="1" applyBorder="1" applyAlignment="1" applyProtection="1">
      <protection locked="0"/>
    </xf>
    <xf numFmtId="9" fontId="20" fillId="0" borderId="35" xfId="0" applyNumberFormat="1" applyFont="1" applyBorder="1" applyAlignment="1" applyProtection="1">
      <protection locked="0"/>
    </xf>
    <xf numFmtId="0" fontId="27" fillId="0" borderId="0" xfId="0" applyFont="1" applyAlignment="1"/>
    <xf numFmtId="0" fontId="26" fillId="0" borderId="36" xfId="0" applyFont="1" applyBorder="1" applyAlignment="1">
      <alignment horizontal="left"/>
    </xf>
    <xf numFmtId="9" fontId="20" fillId="0" borderId="37" xfId="0" applyNumberFormat="1" applyFont="1" applyBorder="1" applyAlignment="1" applyProtection="1">
      <protection locked="0"/>
    </xf>
    <xf numFmtId="168" fontId="20" fillId="0" borderId="37" xfId="0" applyNumberFormat="1" applyFont="1" applyBorder="1" applyAlignment="1" applyProtection="1">
      <protection locked="0"/>
    </xf>
    <xf numFmtId="9" fontId="20" fillId="0" borderId="38" xfId="0" applyNumberFormat="1" applyFont="1" applyBorder="1" applyAlignment="1" applyProtection="1">
      <protection locked="0"/>
    </xf>
    <xf numFmtId="168" fontId="20" fillId="3" borderId="29" xfId="0" applyNumberFormat="1" applyFont="1" applyFill="1" applyBorder="1" applyAlignment="1" applyProtection="1">
      <protection locked="0"/>
    </xf>
    <xf numFmtId="168" fontId="20" fillId="4" borderId="29" xfId="0" applyNumberFormat="1" applyFont="1" applyFill="1" applyBorder="1" applyAlignment="1" applyProtection="1">
      <protection locked="0"/>
    </xf>
    <xf numFmtId="0" fontId="26" fillId="0" borderId="32" xfId="0" applyFont="1" applyBorder="1" applyAlignment="1" applyProtection="1">
      <alignment horizontal="left"/>
      <protection locked="0"/>
    </xf>
    <xf numFmtId="9" fontId="20" fillId="0" borderId="39" xfId="0" applyNumberFormat="1" applyFont="1" applyBorder="1" applyAlignment="1" applyProtection="1">
      <protection locked="0"/>
    </xf>
    <xf numFmtId="168" fontId="20" fillId="0" borderId="39" xfId="0" applyNumberFormat="1" applyFont="1" applyBorder="1" applyAlignment="1" applyProtection="1">
      <protection locked="0"/>
    </xf>
    <xf numFmtId="9" fontId="20" fillId="0" borderId="40" xfId="0" applyNumberFormat="1" applyFont="1" applyBorder="1" applyAlignment="1" applyProtection="1">
      <protection locked="0"/>
    </xf>
    <xf numFmtId="0" fontId="28" fillId="0" borderId="33" xfId="0" applyFont="1" applyBorder="1" applyAlignment="1" applyProtection="1">
      <alignment horizontal="left"/>
      <protection locked="0"/>
    </xf>
    <xf numFmtId="0" fontId="26" fillId="0" borderId="37" xfId="0" applyFont="1" applyBorder="1" applyAlignment="1">
      <alignment horizontal="left"/>
    </xf>
    <xf numFmtId="168" fontId="20" fillId="0" borderId="41" xfId="0" applyNumberFormat="1" applyFont="1" applyBorder="1" applyAlignment="1" applyProtection="1">
      <protection locked="0"/>
    </xf>
    <xf numFmtId="0" fontId="25" fillId="5" borderId="11" xfId="0" applyFont="1" applyFill="1" applyBorder="1" applyAlignment="1">
      <alignment horizontal="center"/>
    </xf>
    <xf numFmtId="168" fontId="20" fillId="5" borderId="14" xfId="0" applyNumberFormat="1" applyFont="1" applyFill="1" applyBorder="1" applyAlignment="1"/>
    <xf numFmtId="9" fontId="20" fillId="5" borderId="11" xfId="0" applyNumberFormat="1" applyFont="1" applyFill="1" applyBorder="1" applyAlignment="1"/>
    <xf numFmtId="168" fontId="20" fillId="5" borderId="11" xfId="0" applyNumberFormat="1" applyFont="1" applyFill="1" applyBorder="1" applyAlignment="1"/>
    <xf numFmtId="9" fontId="20" fillId="5" borderId="16" xfId="0" applyNumberFormat="1" applyFont="1" applyFill="1" applyBorder="1" applyAlignment="1"/>
    <xf numFmtId="0" fontId="26" fillId="0" borderId="42" xfId="0" applyFont="1" applyBorder="1" applyAlignment="1">
      <alignment horizontal="left"/>
    </xf>
    <xf numFmtId="9" fontId="20" fillId="0" borderId="42" xfId="0" applyNumberFormat="1" applyFont="1" applyBorder="1" applyAlignment="1" applyProtection="1">
      <protection locked="0"/>
    </xf>
    <xf numFmtId="168" fontId="20" fillId="0" borderId="42" xfId="0" applyNumberFormat="1" applyFont="1" applyBorder="1" applyAlignment="1" applyProtection="1">
      <protection locked="0"/>
    </xf>
    <xf numFmtId="9" fontId="20" fillId="0" borderId="43" xfId="0" applyNumberFormat="1" applyFont="1" applyBorder="1" applyAlignment="1" applyProtection="1">
      <protection locked="0"/>
    </xf>
    <xf numFmtId="0" fontId="26" fillId="0" borderId="35" xfId="0" applyFont="1" applyBorder="1" applyAlignment="1">
      <alignment horizontal="left"/>
    </xf>
    <xf numFmtId="9" fontId="20" fillId="0" borderId="33" xfId="0" applyNumberFormat="1" applyFont="1" applyBorder="1" applyAlignment="1" applyProtection="1">
      <protection locked="0"/>
    </xf>
    <xf numFmtId="168" fontId="20" fillId="0" borderId="33" xfId="0" applyNumberFormat="1" applyFont="1" applyBorder="1" applyAlignment="1" applyProtection="1">
      <protection locked="0"/>
    </xf>
    <xf numFmtId="0" fontId="26" fillId="0" borderId="35" xfId="0" applyFont="1" applyBorder="1" applyAlignment="1" applyProtection="1">
      <alignment horizontal="left"/>
      <protection locked="0"/>
    </xf>
    <xf numFmtId="0" fontId="25" fillId="6" borderId="44" xfId="0" applyFont="1" applyFill="1" applyBorder="1" applyAlignment="1">
      <alignment horizontal="center"/>
    </xf>
    <xf numFmtId="168" fontId="20" fillId="6" borderId="45" xfId="0" applyNumberFormat="1" applyFont="1" applyFill="1" applyBorder="1" applyAlignment="1"/>
    <xf numFmtId="9" fontId="20" fillId="6" borderId="44" xfId="0" applyNumberFormat="1" applyFont="1" applyFill="1" applyBorder="1" applyAlignment="1"/>
    <xf numFmtId="168" fontId="20" fillId="6" borderId="44" xfId="0" applyNumberFormat="1" applyFont="1" applyFill="1" applyBorder="1" applyAlignment="1"/>
    <xf numFmtId="9" fontId="20" fillId="6" borderId="46" xfId="0" applyNumberFormat="1" applyFont="1" applyFill="1" applyBorder="1" applyAlignment="1"/>
    <xf numFmtId="0" fontId="25" fillId="7" borderId="32" xfId="0" applyFont="1" applyFill="1" applyBorder="1" applyAlignment="1">
      <alignment horizontal="center"/>
    </xf>
    <xf numFmtId="0" fontId="23" fillId="8" borderId="47" xfId="0" applyFont="1" applyFill="1" applyBorder="1" applyAlignment="1">
      <alignment horizontal="center"/>
    </xf>
    <xf numFmtId="168" fontId="20" fillId="8" borderId="48" xfId="0" applyNumberFormat="1" applyFont="1" applyFill="1" applyBorder="1" applyAlignment="1"/>
    <xf numFmtId="9" fontId="20" fillId="8" borderId="47" xfId="0" applyNumberFormat="1" applyFont="1" applyFill="1" applyBorder="1" applyAlignment="1"/>
    <xf numFmtId="168" fontId="20" fillId="8" borderId="47" xfId="0" applyNumberFormat="1" applyFont="1" applyFill="1" applyBorder="1" applyAlignment="1"/>
    <xf numFmtId="9" fontId="20" fillId="8" borderId="49" xfId="0" applyNumberFormat="1" applyFont="1" applyFill="1" applyBorder="1" applyAlignment="1"/>
    <xf numFmtId="0" fontId="26" fillId="0" borderId="50" xfId="0" applyFont="1" applyBorder="1" applyAlignment="1">
      <alignment horizontal="left"/>
    </xf>
    <xf numFmtId="168" fontId="20" fillId="0" borderId="51" xfId="0" applyNumberFormat="1" applyFont="1" applyBorder="1" applyAlignment="1" applyProtection="1">
      <protection locked="0"/>
    </xf>
    <xf numFmtId="9" fontId="20" fillId="0" borderId="50" xfId="0" applyNumberFormat="1" applyFont="1" applyBorder="1" applyAlignment="1" applyProtection="1">
      <protection locked="0"/>
    </xf>
    <xf numFmtId="168" fontId="20" fillId="0" borderId="50" xfId="0" applyNumberFormat="1" applyFont="1" applyBorder="1" applyAlignment="1" applyProtection="1">
      <protection locked="0"/>
    </xf>
    <xf numFmtId="9" fontId="20" fillId="0" borderId="52" xfId="0" applyNumberFormat="1" applyFont="1" applyBorder="1" applyAlignment="1" applyProtection="1">
      <protection locked="0"/>
    </xf>
    <xf numFmtId="168" fontId="20" fillId="4" borderId="34" xfId="0" applyNumberFormat="1" applyFont="1" applyFill="1" applyBorder="1" applyAlignment="1" applyProtection="1">
      <protection locked="0"/>
    </xf>
    <xf numFmtId="168" fontId="2" fillId="0" borderId="0" xfId="0" applyNumberFormat="1" applyFont="1" applyAlignment="1"/>
    <xf numFmtId="0" fontId="26" fillId="0" borderId="33" xfId="0" applyFont="1" applyBorder="1" applyAlignment="1" applyProtection="1">
      <alignment horizontal="left"/>
      <protection locked="0"/>
    </xf>
    <xf numFmtId="0" fontId="26" fillId="0" borderId="52" xfId="0" applyFont="1" applyBorder="1" applyAlignment="1">
      <alignment horizontal="left"/>
    </xf>
    <xf numFmtId="0" fontId="26" fillId="0" borderId="38" xfId="0" applyFont="1" applyBorder="1" applyAlignment="1">
      <alignment horizontal="left"/>
    </xf>
    <xf numFmtId="168" fontId="20" fillId="0" borderId="53" xfId="0" applyNumberFormat="1" applyFont="1" applyBorder="1" applyAlignment="1" applyProtection="1">
      <protection locked="0"/>
    </xf>
    <xf numFmtId="0" fontId="25" fillId="6" borderId="16" xfId="0" applyFont="1" applyFill="1" applyBorder="1" applyAlignment="1">
      <alignment horizontal="center"/>
    </xf>
    <xf numFmtId="0" fontId="23" fillId="8" borderId="11" xfId="0" applyFont="1" applyFill="1" applyBorder="1" applyAlignment="1">
      <alignment horizontal="center"/>
    </xf>
    <xf numFmtId="168" fontId="20" fillId="8" borderId="14" xfId="0" applyNumberFormat="1" applyFont="1" applyFill="1" applyBorder="1" applyAlignment="1"/>
    <xf numFmtId="9" fontId="20" fillId="8" borderId="11" xfId="0" applyNumberFormat="1" applyFont="1" applyFill="1" applyBorder="1" applyAlignment="1"/>
    <xf numFmtId="168" fontId="20" fillId="8" borderId="11" xfId="0" applyNumberFormat="1" applyFont="1" applyFill="1" applyBorder="1" applyAlignment="1"/>
    <xf numFmtId="9" fontId="20" fillId="8" borderId="16" xfId="0" applyNumberFormat="1" applyFont="1" applyFill="1" applyBorder="1" applyAlignment="1"/>
    <xf numFmtId="168" fontId="20" fillId="0" borderId="54" xfId="0" applyNumberFormat="1" applyFont="1" applyBorder="1" applyAlignment="1" applyProtection="1">
      <protection locked="0"/>
    </xf>
    <xf numFmtId="0" fontId="25" fillId="2" borderId="55" xfId="0" applyFont="1" applyFill="1" applyBorder="1" applyAlignment="1">
      <alignment horizontal="center"/>
    </xf>
    <xf numFmtId="0" fontId="25" fillId="0" borderId="55" xfId="0" applyFont="1" applyBorder="1" applyAlignment="1">
      <alignment horizontal="center"/>
    </xf>
    <xf numFmtId="0" fontId="26" fillId="0" borderId="37" xfId="0" applyFont="1" applyBorder="1" applyAlignment="1" applyProtection="1">
      <alignment horizontal="left"/>
      <protection locked="0"/>
    </xf>
    <xf numFmtId="168" fontId="20" fillId="3" borderId="41" xfId="0" applyNumberFormat="1" applyFont="1" applyFill="1" applyBorder="1" applyAlignment="1" applyProtection="1">
      <protection locked="0"/>
    </xf>
    <xf numFmtId="168" fontId="20" fillId="4" borderId="37" xfId="0" applyNumberFormat="1" applyFont="1" applyFill="1" applyBorder="1" applyAlignment="1" applyProtection="1">
      <protection locked="0"/>
    </xf>
    <xf numFmtId="0" fontId="13" fillId="0" borderId="56" xfId="0" applyFont="1" applyBorder="1" applyAlignment="1">
      <alignment horizontal="center"/>
    </xf>
    <xf numFmtId="0" fontId="25" fillId="2" borderId="57" xfId="0" applyFont="1" applyFill="1" applyBorder="1" applyAlignment="1">
      <alignment horizontal="center"/>
    </xf>
    <xf numFmtId="0" fontId="23" fillId="8" borderId="58" xfId="0" applyFont="1" applyFill="1" applyBorder="1" applyAlignment="1">
      <alignment horizontal="center"/>
    </xf>
    <xf numFmtId="168" fontId="20" fillId="8" borderId="59" xfId="0" applyNumberFormat="1" applyFont="1" applyFill="1" applyBorder="1" applyAlignment="1"/>
    <xf numFmtId="9" fontId="20" fillId="8" borderId="58" xfId="0" applyNumberFormat="1" applyFont="1" applyFill="1" applyBorder="1" applyAlignment="1"/>
    <xf numFmtId="168" fontId="20" fillId="8" borderId="58" xfId="0" applyNumberFormat="1" applyFont="1" applyFill="1" applyBorder="1" applyAlignment="1"/>
    <xf numFmtId="9" fontId="20" fillId="8" borderId="20" xfId="0" applyNumberFormat="1" applyFont="1" applyFill="1" applyBorder="1" applyAlignment="1"/>
    <xf numFmtId="0" fontId="23" fillId="9" borderId="58" xfId="0" applyFont="1" applyFill="1" applyBorder="1" applyAlignment="1">
      <alignment horizontal="center"/>
    </xf>
    <xf numFmtId="168" fontId="20" fillId="9" borderId="59" xfId="0" applyNumberFormat="1" applyFont="1" applyFill="1" applyBorder="1" applyAlignment="1"/>
    <xf numFmtId="9" fontId="20" fillId="9" borderId="58" xfId="0" applyNumberFormat="1" applyFont="1" applyFill="1" applyBorder="1" applyAlignment="1"/>
    <xf numFmtId="168" fontId="20" fillId="9" borderId="58" xfId="0" applyNumberFormat="1" applyFont="1" applyFill="1" applyBorder="1" applyAlignment="1"/>
    <xf numFmtId="9" fontId="20" fillId="9" borderId="20" xfId="0" applyNumberFormat="1" applyFont="1" applyFill="1" applyBorder="1" applyAlignment="1"/>
    <xf numFmtId="168" fontId="1" fillId="0" borderId="0" xfId="0" applyNumberFormat="1" applyFont="1" applyAlignment="1"/>
    <xf numFmtId="0" fontId="29" fillId="0" borderId="0" xfId="0" applyFont="1" applyAlignment="1"/>
    <xf numFmtId="0" fontId="2" fillId="4" borderId="0" xfId="0" applyFont="1" applyFill="1" applyAlignment="1"/>
    <xf numFmtId="0" fontId="29" fillId="0" borderId="15" xfId="0" applyFont="1" applyBorder="1" applyAlignment="1"/>
    <xf numFmtId="0" fontId="31" fillId="0" borderId="61" xfId="0" applyFont="1" applyBorder="1" applyAlignment="1"/>
    <xf numFmtId="0" fontId="17" fillId="0" borderId="62" xfId="0" applyFont="1" applyBorder="1" applyAlignment="1"/>
    <xf numFmtId="0" fontId="32" fillId="0" borderId="62" xfId="0" applyFont="1" applyBorder="1" applyAlignment="1" applyProtection="1">
      <alignment horizontal="centerContinuous"/>
      <protection locked="0"/>
    </xf>
    <xf numFmtId="0" fontId="33" fillId="0" borderId="62" xfId="0" applyFont="1" applyBorder="1" applyAlignment="1" applyProtection="1">
      <alignment horizontal="centerContinuous"/>
      <protection locked="0"/>
    </xf>
    <xf numFmtId="0" fontId="34" fillId="0" borderId="62" xfId="0" applyFont="1" applyBorder="1" applyAlignment="1">
      <alignment horizontal="left"/>
    </xf>
    <xf numFmtId="0" fontId="35" fillId="0" borderId="62" xfId="0" applyFont="1" applyBorder="1" applyAlignment="1"/>
    <xf numFmtId="0" fontId="7" fillId="0" borderId="62" xfId="0" applyFont="1" applyBorder="1" applyAlignment="1">
      <alignment horizontal="left"/>
    </xf>
    <xf numFmtId="0" fontId="36" fillId="0" borderId="7" xfId="0" applyFont="1" applyBorder="1" applyAlignment="1">
      <alignment horizontal="left"/>
    </xf>
    <xf numFmtId="0" fontId="9" fillId="0" borderId="3" xfId="0" applyFont="1" applyBorder="1" applyAlignment="1" applyProtection="1">
      <alignment horizontal="centerContinuous"/>
      <protection locked="0"/>
    </xf>
    <xf numFmtId="0" fontId="35" fillId="0" borderId="14" xfId="0" applyFont="1" applyBorder="1" applyAlignment="1">
      <alignment horizontal="left"/>
    </xf>
    <xf numFmtId="0" fontId="17" fillId="0" borderId="15" xfId="0" applyFont="1" applyBorder="1" applyAlignment="1"/>
    <xf numFmtId="0" fontId="7" fillId="0" borderId="15" xfId="0" applyFont="1" applyBorder="1" applyAlignment="1" applyProtection="1">
      <alignment horizontal="centerContinuous"/>
      <protection locked="0"/>
    </xf>
    <xf numFmtId="0" fontId="17" fillId="0" borderId="15" xfId="0" applyFont="1" applyBorder="1" applyAlignment="1" applyProtection="1">
      <alignment horizontal="centerContinuous"/>
      <protection locked="0"/>
    </xf>
    <xf numFmtId="0" fontId="33" fillId="0" borderId="15" xfId="0" applyFont="1" applyBorder="1" applyAlignment="1">
      <alignment horizontal="left"/>
    </xf>
    <xf numFmtId="0" fontId="33" fillId="0" borderId="15" xfId="0" applyFont="1" applyBorder="1" applyAlignment="1" applyProtection="1">
      <alignment horizontal="left"/>
      <protection locked="0"/>
    </xf>
    <xf numFmtId="164" fontId="33" fillId="0" borderId="12" xfId="0" applyNumberFormat="1" applyFont="1" applyBorder="1" applyAlignment="1">
      <alignment horizontal="left"/>
    </xf>
    <xf numFmtId="164" fontId="35" fillId="0" borderId="10" xfId="0" applyNumberFormat="1" applyFont="1" applyBorder="1" applyAlignment="1" applyProtection="1">
      <protection locked="0"/>
    </xf>
    <xf numFmtId="49" fontId="14" fillId="0" borderId="10" xfId="0" applyNumberFormat="1" applyFont="1" applyBorder="1" applyAlignment="1" applyProtection="1">
      <alignment horizontal="left"/>
      <protection locked="0"/>
    </xf>
    <xf numFmtId="164" fontId="17" fillId="0" borderId="15" xfId="0" applyNumberFormat="1" applyFont="1" applyBorder="1" applyAlignment="1" applyProtection="1">
      <alignment horizontal="centerContinuous"/>
      <protection locked="0"/>
    </xf>
    <xf numFmtId="164" fontId="35" fillId="0" borderId="15" xfId="0" applyNumberFormat="1" applyFont="1" applyBorder="1" applyAlignment="1" applyProtection="1">
      <alignment horizontal="centerContinuous"/>
      <protection locked="0"/>
    </xf>
    <xf numFmtId="164" fontId="35" fillId="0" borderId="16" xfId="0" applyNumberFormat="1" applyFont="1" applyBorder="1" applyAlignment="1" applyProtection="1">
      <alignment horizontal="centerContinuous"/>
      <protection locked="0"/>
    </xf>
    <xf numFmtId="0" fontId="35" fillId="0" borderId="14" xfId="0" applyFont="1" applyBorder="1" applyAlignment="1"/>
    <xf numFmtId="0" fontId="17" fillId="0" borderId="15" xfId="0" applyFont="1" applyBorder="1" applyAlignment="1" applyProtection="1">
      <alignment horizontal="center"/>
      <protection locked="0"/>
    </xf>
    <xf numFmtId="0" fontId="17" fillId="0" borderId="16" xfId="0" applyFont="1" applyBorder="1" applyAlignment="1" applyProtection="1">
      <alignment horizontal="center"/>
      <protection locked="0"/>
    </xf>
    <xf numFmtId="165" fontId="17" fillId="0" borderId="15" xfId="0" applyNumberFormat="1" applyFont="1" applyBorder="1" applyAlignment="1" applyProtection="1">
      <alignment horizontal="center"/>
      <protection locked="0"/>
    </xf>
    <xf numFmtId="171" fontId="17" fillId="0" borderId="15" xfId="0" applyNumberFormat="1" applyFont="1" applyBorder="1" applyAlignment="1" applyProtection="1">
      <alignment horizontal="center"/>
      <protection locked="0"/>
    </xf>
    <xf numFmtId="165" fontId="17" fillId="0" borderId="16" xfId="0" applyNumberFormat="1" applyFont="1" applyBorder="1" applyAlignment="1" applyProtection="1">
      <alignment horizontal="center"/>
      <protection locked="0"/>
    </xf>
    <xf numFmtId="168" fontId="17" fillId="0" borderId="15" xfId="0" applyNumberFormat="1" applyFont="1" applyBorder="1" applyAlignment="1" applyProtection="1">
      <protection locked="0"/>
    </xf>
    <xf numFmtId="1" fontId="17" fillId="0" borderId="15" xfId="0" applyNumberFormat="1" applyFont="1" applyBorder="1" applyAlignment="1" applyProtection="1">
      <alignment horizontal="right"/>
      <protection locked="0"/>
    </xf>
    <xf numFmtId="0" fontId="35" fillId="0" borderId="59" xfId="0" applyFont="1" applyBorder="1" applyAlignment="1"/>
    <xf numFmtId="0" fontId="17" fillId="0" borderId="19" xfId="0" applyFont="1" applyBorder="1" applyAlignment="1"/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7" fillId="0" borderId="0" xfId="0" applyFont="1" applyAlignment="1">
      <alignment horizontal="centerContinuous"/>
    </xf>
    <xf numFmtId="0" fontId="26" fillId="0" borderId="63" xfId="0" applyFont="1" applyBorder="1" applyAlignment="1">
      <alignment horizontal="left"/>
    </xf>
    <xf numFmtId="0" fontId="38" fillId="0" borderId="64" xfId="0" applyFont="1" applyBorder="1" applyAlignment="1">
      <alignment horizontal="left"/>
    </xf>
    <xf numFmtId="168" fontId="20" fillId="0" borderId="26" xfId="0" applyNumberFormat="1" applyFont="1" applyBorder="1" applyAlignment="1" applyProtection="1">
      <protection locked="0"/>
    </xf>
    <xf numFmtId="9" fontId="20" fillId="0" borderId="27" xfId="0" applyNumberFormat="1" applyFont="1" applyBorder="1" applyAlignment="1"/>
    <xf numFmtId="168" fontId="20" fillId="0" borderId="64" xfId="0" applyNumberFormat="1" applyFont="1" applyBorder="1" applyAlignment="1" applyProtection="1">
      <protection locked="0"/>
    </xf>
    <xf numFmtId="9" fontId="20" fillId="0" borderId="65" xfId="0" applyNumberFormat="1" applyFont="1" applyBorder="1" applyAlignment="1"/>
    <xf numFmtId="0" fontId="13" fillId="0" borderId="31" xfId="0" quotePrefix="1" applyFont="1" applyBorder="1" applyAlignment="1">
      <alignment horizontal="center"/>
    </xf>
    <xf numFmtId="0" fontId="26" fillId="0" borderId="66" xfId="0" applyFont="1" applyBorder="1" applyAlignment="1">
      <alignment horizontal="left"/>
    </xf>
    <xf numFmtId="0" fontId="38" fillId="0" borderId="34" xfId="0" applyFont="1" applyBorder="1" applyAlignment="1">
      <alignment horizontal="left"/>
    </xf>
    <xf numFmtId="9" fontId="20" fillId="0" borderId="33" xfId="0" applyNumberFormat="1" applyFont="1" applyBorder="1" applyAlignment="1"/>
    <xf numFmtId="9" fontId="20" fillId="0" borderId="35" xfId="0" applyNumberFormat="1" applyFont="1" applyBorder="1" applyAlignment="1"/>
    <xf numFmtId="0" fontId="26" fillId="0" borderId="67" xfId="0" applyFont="1" applyBorder="1" applyAlignment="1">
      <alignment horizontal="left"/>
    </xf>
    <xf numFmtId="0" fontId="38" fillId="0" borderId="37" xfId="0" applyFont="1" applyBorder="1" applyAlignment="1">
      <alignment horizontal="left"/>
    </xf>
    <xf numFmtId="9" fontId="20" fillId="0" borderId="36" xfId="0" applyNumberFormat="1" applyFont="1" applyBorder="1" applyAlignment="1"/>
    <xf numFmtId="9" fontId="20" fillId="0" borderId="38" xfId="0" applyNumberFormat="1" applyFont="1" applyBorder="1" applyAlignment="1"/>
    <xf numFmtId="0" fontId="25" fillId="5" borderId="12" xfId="0" applyFont="1" applyFill="1" applyBorder="1" applyAlignment="1">
      <alignment horizontal="centerContinuous"/>
    </xf>
    <xf numFmtId="0" fontId="39" fillId="5" borderId="11" xfId="0" applyFont="1" applyFill="1" applyBorder="1" applyAlignment="1">
      <alignment horizontal="centerContinuous"/>
    </xf>
    <xf numFmtId="9" fontId="20" fillId="5" borderId="15" xfId="0" applyNumberFormat="1" applyFont="1" applyFill="1" applyBorder="1" applyAlignment="1"/>
    <xf numFmtId="0" fontId="26" fillId="0" borderId="68" xfId="0" applyFont="1" applyBorder="1" applyAlignment="1">
      <alignment horizontal="left"/>
    </xf>
    <xf numFmtId="0" fontId="38" fillId="0" borderId="42" xfId="0" applyFont="1" applyBorder="1" applyAlignment="1">
      <alignment horizontal="left"/>
    </xf>
    <xf numFmtId="9" fontId="20" fillId="0" borderId="69" xfId="0" applyNumberFormat="1" applyFont="1" applyBorder="1" applyAlignment="1"/>
    <xf numFmtId="9" fontId="20" fillId="0" borderId="43" xfId="0" applyNumberFormat="1" applyFont="1" applyBorder="1" applyAlignment="1"/>
    <xf numFmtId="0" fontId="26" fillId="0" borderId="66" xfId="0" applyFont="1" applyBorder="1" applyAlignment="1" applyProtection="1">
      <alignment horizontal="left"/>
      <protection locked="0"/>
    </xf>
    <xf numFmtId="0" fontId="38" fillId="0" borderId="70" xfId="0" applyFont="1" applyBorder="1" applyAlignment="1">
      <alignment horizontal="left"/>
    </xf>
    <xf numFmtId="0" fontId="26" fillId="0" borderId="55" xfId="0" applyFont="1" applyBorder="1" applyAlignment="1">
      <alignment horizontal="left"/>
    </xf>
    <xf numFmtId="0" fontId="38" fillId="0" borderId="39" xfId="0" applyFont="1" applyBorder="1" applyAlignment="1">
      <alignment horizontal="left"/>
    </xf>
    <xf numFmtId="168" fontId="20" fillId="0" borderId="31" xfId="0" applyNumberFormat="1" applyFont="1" applyBorder="1" applyAlignment="1" applyProtection="1">
      <protection locked="0"/>
    </xf>
    <xf numFmtId="9" fontId="20" fillId="0" borderId="32" xfId="0" applyNumberFormat="1" applyFont="1" applyBorder="1" applyAlignment="1"/>
    <xf numFmtId="9" fontId="20" fillId="0" borderId="40" xfId="0" applyNumberFormat="1" applyFont="1" applyBorder="1" applyAlignment="1"/>
    <xf numFmtId="0" fontId="25" fillId="5" borderId="11" xfId="0" applyFont="1" applyFill="1" applyBorder="1" applyAlignment="1">
      <alignment horizontal="centerContinuous"/>
    </xf>
    <xf numFmtId="0" fontId="26" fillId="0" borderId="71" xfId="0" applyFont="1" applyBorder="1" applyAlignment="1">
      <alignment horizontal="left"/>
    </xf>
    <xf numFmtId="0" fontId="38" fillId="0" borderId="44" xfId="0" applyFont="1" applyBorder="1" applyAlignment="1">
      <alignment horizontal="left"/>
    </xf>
    <xf numFmtId="168" fontId="20" fillId="0" borderId="45" xfId="0" applyNumberFormat="1" applyFont="1" applyBorder="1" applyAlignment="1" applyProtection="1">
      <protection locked="0"/>
    </xf>
    <xf numFmtId="9" fontId="20" fillId="0" borderId="72" xfId="0" applyNumberFormat="1" applyFont="1" applyBorder="1" applyAlignment="1"/>
    <xf numFmtId="168" fontId="20" fillId="0" borderId="44" xfId="0" applyNumberFormat="1" applyFont="1" applyBorder="1" applyAlignment="1" applyProtection="1">
      <protection locked="0"/>
    </xf>
    <xf numFmtId="9" fontId="20" fillId="0" borderId="46" xfId="0" applyNumberFormat="1" applyFont="1" applyBorder="1" applyAlignment="1"/>
    <xf numFmtId="0" fontId="25" fillId="10" borderId="73" xfId="0" applyFont="1" applyFill="1" applyBorder="1" applyAlignment="1">
      <alignment horizontal="centerContinuous"/>
    </xf>
    <xf numFmtId="0" fontId="25" fillId="10" borderId="19" xfId="0" applyFont="1" applyFill="1" applyBorder="1" applyAlignment="1">
      <alignment horizontal="centerContinuous"/>
    </xf>
    <xf numFmtId="168" fontId="20" fillId="10" borderId="59" xfId="0" applyNumberFormat="1" applyFont="1" applyFill="1" applyBorder="1" applyAlignment="1"/>
    <xf numFmtId="9" fontId="20" fillId="10" borderId="19" xfId="0" applyNumberFormat="1" applyFont="1" applyFill="1" applyBorder="1" applyAlignment="1"/>
    <xf numFmtId="168" fontId="20" fillId="10" borderId="58" xfId="0" applyNumberFormat="1" applyFont="1" applyFill="1" applyBorder="1" applyAlignment="1"/>
    <xf numFmtId="9" fontId="20" fillId="10" borderId="20" xfId="0" applyNumberFormat="1" applyFont="1" applyFill="1" applyBorder="1" applyAlignment="1"/>
    <xf numFmtId="172" fontId="40" fillId="11" borderId="0" xfId="0" applyNumberFormat="1" applyFont="1" applyFill="1" applyAlignment="1">
      <alignment horizontal="centerContinuous"/>
    </xf>
    <xf numFmtId="0" fontId="3" fillId="0" borderId="0" xfId="0" applyFont="1" applyAlignment="1">
      <alignment horizontal="centerContinuous"/>
    </xf>
    <xf numFmtId="172" fontId="41" fillId="0" borderId="0" xfId="0" applyNumberFormat="1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3" fillId="11" borderId="0" xfId="0" applyFont="1" applyFill="1" applyAlignment="1">
      <alignment horizontal="centerContinuous"/>
    </xf>
    <xf numFmtId="172" fontId="13" fillId="11" borderId="0" xfId="0" applyNumberFormat="1" applyFont="1" applyFill="1" applyAlignment="1">
      <alignment horizontal="centerContinuous"/>
    </xf>
    <xf numFmtId="172" fontId="40" fillId="11" borderId="0" xfId="0" applyNumberFormat="1" applyFont="1" applyFill="1" applyAlignment="1"/>
    <xf numFmtId="0" fontId="3" fillId="0" borderId="0" xfId="0" applyFont="1" applyAlignment="1"/>
    <xf numFmtId="172" fontId="41" fillId="0" borderId="0" xfId="0" applyNumberFormat="1" applyFont="1" applyAlignment="1"/>
    <xf numFmtId="0" fontId="13" fillId="0" borderId="0" xfId="0" applyFont="1" applyAlignment="1"/>
    <xf numFmtId="0" fontId="13" fillId="11" borderId="0" xfId="0" applyFont="1" applyFill="1" applyAlignment="1"/>
    <xf numFmtId="172" fontId="13" fillId="11" borderId="0" xfId="0" applyNumberFormat="1" applyFont="1" applyFill="1" applyAlignment="1"/>
    <xf numFmtId="172" fontId="42" fillId="0" borderId="74" xfId="0" applyNumberFormat="1" applyFont="1" applyBorder="1" applyAlignment="1">
      <alignment horizontal="centerContinuous"/>
    </xf>
    <xf numFmtId="0" fontId="42" fillId="0" borderId="75" xfId="0" applyFont="1" applyBorder="1" applyAlignment="1">
      <alignment horizontal="centerContinuous"/>
    </xf>
    <xf numFmtId="0" fontId="42" fillId="0" borderId="76" xfId="0" applyFont="1" applyBorder="1" applyAlignment="1">
      <alignment horizontal="centerContinuous"/>
    </xf>
    <xf numFmtId="0" fontId="13" fillId="0" borderId="26" xfId="0" applyFont="1" applyBorder="1" applyAlignment="1">
      <alignment horizontal="center"/>
    </xf>
    <xf numFmtId="0" fontId="25" fillId="2" borderId="27" xfId="0" applyFont="1" applyFill="1" applyBorder="1" applyAlignment="1">
      <alignment textRotation="255"/>
    </xf>
    <xf numFmtId="0" fontId="25" fillId="0" borderId="27" xfId="0" applyFont="1" applyBorder="1" applyAlignment="1">
      <alignment horizontal="left"/>
    </xf>
    <xf numFmtId="168" fontId="20" fillId="0" borderId="1" xfId="0" applyNumberFormat="1" applyFont="1" applyBorder="1" applyAlignment="1" applyProtection="1">
      <protection locked="0"/>
    </xf>
    <xf numFmtId="168" fontId="20" fillId="0" borderId="27" xfId="0" applyNumberFormat="1" applyFont="1" applyBorder="1" applyAlignment="1"/>
    <xf numFmtId="168" fontId="20" fillId="0" borderId="27" xfId="0" applyNumberFormat="1" applyFont="1" applyBorder="1" applyAlignment="1" applyProtection="1">
      <protection locked="0"/>
    </xf>
    <xf numFmtId="0" fontId="25" fillId="2" borderId="32" xfId="0" applyFont="1" applyFill="1" applyBorder="1" applyAlignment="1">
      <alignment textRotation="255"/>
    </xf>
    <xf numFmtId="0" fontId="43" fillId="0" borderId="35" xfId="0" applyFont="1" applyBorder="1" applyAlignment="1">
      <alignment horizontal="left"/>
    </xf>
    <xf numFmtId="168" fontId="20" fillId="0" borderId="77" xfId="0" applyNumberFormat="1" applyFont="1" applyBorder="1" applyAlignment="1" applyProtection="1">
      <protection locked="0"/>
    </xf>
    <xf numFmtId="168" fontId="20" fillId="0" borderId="33" xfId="0" applyNumberFormat="1" applyFont="1" applyBorder="1" applyAlignment="1"/>
    <xf numFmtId="168" fontId="20" fillId="0" borderId="35" xfId="0" applyNumberFormat="1" applyFont="1" applyBorder="1" applyAlignment="1"/>
    <xf numFmtId="0" fontId="26" fillId="0" borderId="35" xfId="0" applyFont="1" applyBorder="1" applyAlignment="1">
      <alignment horizontal="center"/>
    </xf>
    <xf numFmtId="168" fontId="20" fillId="0" borderId="77" xfId="0" applyNumberFormat="1" applyFont="1" applyBorder="1" applyAlignment="1"/>
    <xf numFmtId="0" fontId="26" fillId="0" borderId="32" xfId="0" applyFont="1" applyBorder="1" applyAlignment="1" applyProtection="1">
      <alignment horizontal="center"/>
      <protection locked="0"/>
    </xf>
    <xf numFmtId="168" fontId="20" fillId="0" borderId="23" xfId="0" applyNumberFormat="1" applyFont="1" applyBorder="1" applyAlignment="1" applyProtection="1">
      <protection locked="0"/>
    </xf>
    <xf numFmtId="168" fontId="20" fillId="0" borderId="32" xfId="0" applyNumberFormat="1" applyFont="1" applyBorder="1" applyAlignment="1" applyProtection="1">
      <protection locked="0"/>
    </xf>
    <xf numFmtId="168" fontId="20" fillId="0" borderId="32" xfId="0" applyNumberFormat="1" applyFont="1" applyBorder="1" applyAlignment="1"/>
    <xf numFmtId="0" fontId="25" fillId="0" borderId="15" xfId="0" applyFont="1" applyBorder="1" applyAlignment="1">
      <alignment horizontal="left"/>
    </xf>
    <xf numFmtId="168" fontId="20" fillId="0" borderId="9" xfId="0" applyNumberFormat="1" applyFont="1" applyBorder="1" applyAlignment="1"/>
    <xf numFmtId="168" fontId="20" fillId="0" borderId="15" xfId="0" applyNumberFormat="1" applyFont="1" applyBorder="1" applyAlignment="1"/>
    <xf numFmtId="168" fontId="20" fillId="0" borderId="13" xfId="0" applyNumberFormat="1" applyFont="1" applyBorder="1" applyAlignment="1"/>
    <xf numFmtId="0" fontId="43" fillId="0" borderId="78" xfId="0" applyFont="1" applyBorder="1" applyAlignment="1">
      <alignment horizontal="left"/>
    </xf>
    <xf numFmtId="168" fontId="20" fillId="0" borderId="79" xfId="0" applyNumberFormat="1" applyFont="1" applyBorder="1" applyAlignment="1"/>
    <xf numFmtId="168" fontId="20" fillId="0" borderId="78" xfId="0" applyNumberFormat="1" applyFont="1" applyBorder="1" applyAlignment="1"/>
    <xf numFmtId="168" fontId="20" fillId="0" borderId="80" xfId="0" applyNumberFormat="1" applyFont="1" applyBorder="1" applyAlignment="1"/>
    <xf numFmtId="0" fontId="26" fillId="0" borderId="33" xfId="0" applyFont="1" applyBorder="1" applyAlignment="1">
      <alignment horizontal="center"/>
    </xf>
    <xf numFmtId="168" fontId="20" fillId="0" borderId="81" xfId="0" applyNumberFormat="1" applyFont="1" applyBorder="1" applyAlignment="1" applyProtection="1">
      <protection locked="0"/>
    </xf>
    <xf numFmtId="168" fontId="20" fillId="0" borderId="82" xfId="0" applyNumberFormat="1" applyFont="1" applyBorder="1" applyAlignment="1"/>
    <xf numFmtId="168" fontId="20" fillId="0" borderId="81" xfId="0" applyNumberFormat="1" applyFont="1" applyBorder="1" applyAlignment="1"/>
    <xf numFmtId="0" fontId="26" fillId="0" borderId="53" xfId="0" applyFont="1" applyBorder="1" applyAlignment="1" applyProtection="1">
      <alignment horizontal="center"/>
      <protection locked="0"/>
    </xf>
    <xf numFmtId="168" fontId="20" fillId="0" borderId="83" xfId="0" applyNumberFormat="1" applyFont="1" applyBorder="1" applyAlignment="1" applyProtection="1">
      <protection locked="0"/>
    </xf>
    <xf numFmtId="168" fontId="20" fillId="0" borderId="53" xfId="0" applyNumberFormat="1" applyFont="1" applyBorder="1" applyAlignment="1"/>
    <xf numFmtId="168" fontId="20" fillId="0" borderId="84" xfId="0" applyNumberFormat="1" applyFont="1" applyBorder="1" applyAlignment="1"/>
    <xf numFmtId="0" fontId="25" fillId="0" borderId="78" xfId="0" applyFont="1" applyBorder="1" applyAlignment="1">
      <alignment horizontal="left"/>
    </xf>
    <xf numFmtId="0" fontId="25" fillId="12" borderId="15" xfId="0" applyFont="1" applyFill="1" applyBorder="1" applyAlignment="1">
      <alignment horizontal="center"/>
    </xf>
    <xf numFmtId="168" fontId="20" fillId="12" borderId="9" xfId="0" applyNumberFormat="1" applyFont="1" applyFill="1" applyBorder="1" applyAlignment="1"/>
    <xf numFmtId="168" fontId="20" fillId="12" borderId="15" xfId="0" applyNumberFormat="1" applyFont="1" applyFill="1" applyBorder="1" applyAlignment="1"/>
    <xf numFmtId="168" fontId="20" fillId="12" borderId="13" xfId="0" applyNumberFormat="1" applyFont="1" applyFill="1" applyBorder="1" applyAlignment="1"/>
    <xf numFmtId="0" fontId="25" fillId="2" borderId="57" xfId="0" applyFont="1" applyFill="1" applyBorder="1" applyAlignment="1">
      <alignment textRotation="255"/>
    </xf>
    <xf numFmtId="0" fontId="25" fillId="0" borderId="57" xfId="0" applyFont="1" applyBorder="1" applyAlignment="1">
      <alignment horizontal="center"/>
    </xf>
    <xf numFmtId="168" fontId="20" fillId="0" borderId="17" xfId="0" applyNumberFormat="1" applyFont="1" applyBorder="1" applyAlignment="1"/>
    <xf numFmtId="168" fontId="20" fillId="0" borderId="57" xfId="0" applyNumberFormat="1" applyFont="1" applyBorder="1" applyAlignment="1"/>
    <xf numFmtId="168" fontId="20" fillId="0" borderId="25" xfId="0" applyNumberFormat="1" applyFont="1" applyBorder="1" applyAlignment="1"/>
    <xf numFmtId="0" fontId="42" fillId="0" borderId="74" xfId="0" applyFont="1" applyBorder="1" applyAlignment="1">
      <alignment horizontal="centerContinuous"/>
    </xf>
    <xf numFmtId="0" fontId="44" fillId="0" borderId="75" xfId="0" applyFont="1" applyBorder="1" applyAlignment="1">
      <alignment horizontal="centerContinuous"/>
    </xf>
    <xf numFmtId="0" fontId="44" fillId="0" borderId="76" xfId="0" applyFont="1" applyBorder="1" applyAlignment="1">
      <alignment horizontal="centerContinuous"/>
    </xf>
    <xf numFmtId="168" fontId="20" fillId="0" borderId="65" xfId="0" applyNumberFormat="1" applyFont="1" applyBorder="1" applyAlignment="1"/>
    <xf numFmtId="0" fontId="45" fillId="0" borderId="33" xfId="0" applyFont="1" applyBorder="1" applyAlignment="1">
      <alignment horizontal="left"/>
    </xf>
    <xf numFmtId="168" fontId="20" fillId="0" borderId="29" xfId="0" applyNumberFormat="1" applyFont="1" applyBorder="1" applyAlignment="1"/>
    <xf numFmtId="0" fontId="26" fillId="0" borderId="32" xfId="0" applyFont="1" applyBorder="1" applyAlignment="1">
      <alignment horizontal="center"/>
    </xf>
    <xf numFmtId="168" fontId="20" fillId="0" borderId="31" xfId="0" applyNumberFormat="1" applyFont="1" applyBorder="1" applyAlignment="1"/>
    <xf numFmtId="168" fontId="20" fillId="0" borderId="40" xfId="0" applyNumberFormat="1" applyFont="1" applyBorder="1" applyAlignment="1"/>
    <xf numFmtId="168" fontId="20" fillId="0" borderId="14" xfId="0" applyNumberFormat="1" applyFont="1" applyBorder="1" applyAlignment="1"/>
    <xf numFmtId="168" fontId="20" fillId="0" borderId="16" xfId="0" applyNumberFormat="1" applyFont="1" applyBorder="1" applyAlignment="1"/>
    <xf numFmtId="0" fontId="25" fillId="0" borderId="57" xfId="0" applyFont="1" applyBorder="1" applyAlignment="1">
      <alignment horizontal="left"/>
    </xf>
    <xf numFmtId="168" fontId="20" fillId="0" borderId="56" xfId="0" applyNumberFormat="1" applyFont="1" applyBorder="1" applyAlignment="1"/>
    <xf numFmtId="168" fontId="20" fillId="0" borderId="85" xfId="0" applyNumberFormat="1" applyFont="1" applyBorder="1" applyAlignment="1"/>
    <xf numFmtId="0" fontId="25" fillId="12" borderId="53" xfId="0" applyFont="1" applyFill="1" applyBorder="1" applyAlignment="1">
      <alignment horizontal="center"/>
    </xf>
    <xf numFmtId="168" fontId="20" fillId="12" borderId="86" xfId="0" applyNumberFormat="1" applyFont="1" applyFill="1" applyBorder="1" applyAlignment="1"/>
    <xf numFmtId="168" fontId="20" fillId="12" borderId="53" xfId="0" applyNumberFormat="1" applyFont="1" applyFill="1" applyBorder="1" applyAlignment="1"/>
    <xf numFmtId="168" fontId="20" fillId="12" borderId="87" xfId="0" applyNumberFormat="1" applyFont="1" applyFill="1" applyBorder="1" applyAlignment="1"/>
    <xf numFmtId="0" fontId="43" fillId="0" borderId="32" xfId="0" applyFont="1" applyBorder="1" applyAlignment="1">
      <alignment horizontal="left"/>
    </xf>
    <xf numFmtId="0" fontId="46" fillId="0" borderId="88" xfId="0" applyFont="1" applyBorder="1" applyAlignment="1">
      <alignment horizontal="center"/>
    </xf>
    <xf numFmtId="168" fontId="20" fillId="0" borderId="89" xfId="0" applyNumberFormat="1" applyFont="1" applyBorder="1" applyAlignment="1"/>
    <xf numFmtId="168" fontId="20" fillId="0" borderId="88" xfId="0" applyNumberFormat="1" applyFont="1" applyBorder="1" applyAlignment="1"/>
    <xf numFmtId="168" fontId="20" fillId="0" borderId="90" xfId="0" applyNumberFormat="1" applyFont="1" applyBorder="1" applyAlignment="1"/>
    <xf numFmtId="0" fontId="2" fillId="0" borderId="61" xfId="0" applyFont="1" applyBorder="1" applyAlignment="1"/>
    <xf numFmtId="0" fontId="3" fillId="0" borderId="7" xfId="0" applyFont="1" applyBorder="1" applyAlignment="1"/>
    <xf numFmtId="0" fontId="4" fillId="0" borderId="4" xfId="0" applyFont="1" applyBorder="1" applyAlignment="1" applyProtection="1">
      <alignment horizontal="centerContinuous"/>
      <protection locked="0"/>
    </xf>
    <xf numFmtId="0" fontId="47" fillId="0" borderId="62" xfId="0" applyFont="1" applyBorder="1" applyAlignment="1" applyProtection="1">
      <alignment horizontal="centerContinuous"/>
      <protection locked="0"/>
    </xf>
    <xf numFmtId="0" fontId="7" fillId="0" borderId="4" xfId="0" applyFont="1" applyBorder="1" applyAlignment="1">
      <alignment horizontal="left"/>
    </xf>
    <xf numFmtId="0" fontId="9" fillId="0" borderId="4" xfId="0" applyFont="1" applyBorder="1" applyAlignment="1" applyProtection="1">
      <alignment horizontal="left"/>
      <protection locked="0"/>
    </xf>
    <xf numFmtId="0" fontId="48" fillId="0" borderId="91" xfId="0" applyFont="1" applyBorder="1" applyAlignment="1" applyProtection="1">
      <alignment horizontal="centerContinuous"/>
      <protection locked="0"/>
    </xf>
    <xf numFmtId="0" fontId="10" fillId="0" borderId="14" xfId="0" applyFont="1" applyBorder="1" applyAlignment="1">
      <alignment horizontal="left"/>
    </xf>
    <xf numFmtId="0" fontId="3" fillId="0" borderId="12" xfId="0" applyFont="1" applyBorder="1" applyAlignment="1"/>
    <xf numFmtId="0" fontId="11" fillId="0" borderId="11" xfId="0" applyFont="1" applyBorder="1" applyAlignment="1" applyProtection="1">
      <alignment horizontal="centerContinuous"/>
      <protection locked="0"/>
    </xf>
    <xf numFmtId="0" fontId="3" fillId="0" borderId="15" xfId="0" applyFont="1" applyBorder="1" applyAlignment="1" applyProtection="1">
      <alignment horizontal="centerContinuous"/>
      <protection locked="0"/>
    </xf>
    <xf numFmtId="0" fontId="11" fillId="0" borderId="11" xfId="0" applyFont="1" applyBorder="1" applyAlignment="1" applyProtection="1">
      <alignment horizontal="left"/>
      <protection locked="0"/>
    </xf>
    <xf numFmtId="164" fontId="5" fillId="0" borderId="12" xfId="0" applyNumberFormat="1" applyFont="1" applyBorder="1" applyAlignment="1">
      <alignment horizontal="left"/>
    </xf>
    <xf numFmtId="164" fontId="13" fillId="0" borderId="16" xfId="0" applyNumberFormat="1" applyFont="1" applyBorder="1" applyAlignment="1" applyProtection="1">
      <alignment horizontal="centerContinuous"/>
      <protection locked="0"/>
    </xf>
    <xf numFmtId="167" fontId="17" fillId="0" borderId="16" xfId="0" applyNumberFormat="1" applyFont="1" applyBorder="1" applyAlignment="1" applyProtection="1">
      <alignment horizontal="center"/>
      <protection locked="0"/>
    </xf>
    <xf numFmtId="0" fontId="15" fillId="0" borderId="59" xfId="0" applyFont="1" applyBorder="1" applyAlignment="1"/>
    <xf numFmtId="0" fontId="49" fillId="11" borderId="0" xfId="0" applyFont="1" applyFill="1" applyAlignment="1">
      <alignment horizontal="centerContinuous"/>
    </xf>
    <xf numFmtId="0" fontId="50" fillId="11" borderId="0" xfId="0" applyFont="1" applyFill="1" applyAlignment="1">
      <alignment horizontal="centerContinuous"/>
    </xf>
    <xf numFmtId="0" fontId="51" fillId="13" borderId="21" xfId="0" applyFont="1" applyFill="1" applyBorder="1" applyAlignment="1">
      <alignment horizontal="center" vertical="center" textRotation="255" wrapText="1"/>
    </xf>
    <xf numFmtId="0" fontId="26" fillId="0" borderId="27" xfId="0" applyFont="1" applyBorder="1" applyAlignment="1">
      <alignment horizontal="left"/>
    </xf>
    <xf numFmtId="168" fontId="20" fillId="0" borderId="1" xfId="0" applyNumberFormat="1" applyFont="1" applyBorder="1" applyAlignment="1"/>
    <xf numFmtId="0" fontId="51" fillId="13" borderId="0" xfId="0" applyFont="1" applyFill="1" applyAlignment="1">
      <alignment horizontal="center" vertical="center" textRotation="255" wrapText="1"/>
    </xf>
    <xf numFmtId="168" fontId="20" fillId="0" borderId="92" xfId="0" applyNumberFormat="1" applyFont="1" applyBorder="1" applyAlignment="1"/>
    <xf numFmtId="168" fontId="20" fillId="0" borderId="36" xfId="0" applyNumberFormat="1" applyFont="1" applyBorder="1" applyAlignment="1"/>
    <xf numFmtId="168" fontId="20" fillId="0" borderId="93" xfId="0" applyNumberFormat="1" applyFont="1" applyBorder="1" applyAlignment="1"/>
    <xf numFmtId="0" fontId="25" fillId="8" borderId="15" xfId="0" applyFont="1" applyFill="1" applyBorder="1" applyAlignment="1">
      <alignment horizontal="center"/>
    </xf>
    <xf numFmtId="168" fontId="20" fillId="8" borderId="9" xfId="0" applyNumberFormat="1" applyFont="1" applyFill="1" applyBorder="1" applyAlignment="1"/>
    <xf numFmtId="168" fontId="20" fillId="8" borderId="15" xfId="0" applyNumberFormat="1" applyFont="1" applyFill="1" applyBorder="1" applyAlignment="1"/>
    <xf numFmtId="168" fontId="20" fillId="8" borderId="13" xfId="0" applyNumberFormat="1" applyFont="1" applyFill="1" applyBorder="1" applyAlignment="1"/>
    <xf numFmtId="0" fontId="52" fillId="0" borderId="69" xfId="0" applyFont="1" applyBorder="1" applyAlignment="1">
      <alignment horizontal="left"/>
    </xf>
    <xf numFmtId="168" fontId="20" fillId="0" borderId="94" xfId="0" applyNumberFormat="1" applyFont="1" applyBorder="1" applyAlignment="1"/>
    <xf numFmtId="168" fontId="20" fillId="0" borderId="69" xfId="0" applyNumberFormat="1" applyFont="1" applyBorder="1" applyAlignment="1"/>
    <xf numFmtId="168" fontId="20" fillId="0" borderId="95" xfId="0" applyNumberFormat="1" applyFont="1" applyBorder="1" applyAlignment="1"/>
    <xf numFmtId="0" fontId="52" fillId="0" borderId="57" xfId="0" applyFont="1" applyBorder="1" applyAlignment="1">
      <alignment horizontal="left"/>
    </xf>
    <xf numFmtId="168" fontId="20" fillId="0" borderId="23" xfId="0" applyNumberFormat="1" applyFont="1" applyBorder="1" applyAlignment="1"/>
    <xf numFmtId="0" fontId="26" fillId="0" borderId="32" xfId="0" applyFont="1" applyBorder="1" applyAlignment="1">
      <alignment horizontal="left"/>
    </xf>
    <xf numFmtId="0" fontId="25" fillId="6" borderId="15" xfId="0" applyFont="1" applyFill="1" applyBorder="1" applyAlignment="1">
      <alignment horizontal="center"/>
    </xf>
    <xf numFmtId="168" fontId="20" fillId="6" borderId="9" xfId="0" applyNumberFormat="1" applyFont="1" applyFill="1" applyBorder="1" applyAlignment="1"/>
    <xf numFmtId="168" fontId="20" fillId="6" borderId="15" xfId="0" applyNumberFormat="1" applyFont="1" applyFill="1" applyBorder="1" applyAlignment="1"/>
    <xf numFmtId="168" fontId="20" fillId="6" borderId="13" xfId="0" applyNumberFormat="1" applyFont="1" applyFill="1" applyBorder="1" applyAlignment="1"/>
    <xf numFmtId="0" fontId="25" fillId="6" borderId="15" xfId="0" applyFont="1" applyFill="1" applyBorder="1" applyAlignment="1">
      <alignment horizontal="left"/>
    </xf>
    <xf numFmtId="0" fontId="25" fillId="0" borderId="33" xfId="0" applyFont="1" applyBorder="1" applyAlignment="1">
      <alignment horizontal="center"/>
    </xf>
    <xf numFmtId="0" fontId="25" fillId="0" borderId="69" xfId="0" applyFont="1" applyBorder="1" applyAlignment="1"/>
    <xf numFmtId="0" fontId="52" fillId="0" borderId="32" xfId="0" applyFont="1" applyBorder="1" applyAlignment="1">
      <alignment horizontal="left"/>
    </xf>
    <xf numFmtId="168" fontId="20" fillId="0" borderId="32" xfId="0" applyNumberFormat="1" applyFont="1" applyBorder="1" applyAlignment="1">
      <alignment horizontal="left"/>
    </xf>
    <xf numFmtId="168" fontId="20" fillId="0" borderId="24" xfId="0" applyNumberFormat="1" applyFont="1" applyBorder="1" applyAlignment="1">
      <alignment horizontal="left"/>
    </xf>
    <xf numFmtId="0" fontId="52" fillId="0" borderId="52" xfId="0" applyFont="1" applyBorder="1" applyAlignment="1">
      <alignment horizontal="left"/>
    </xf>
    <xf numFmtId="168" fontId="20" fillId="0" borderId="92" xfId="0" applyNumberFormat="1" applyFont="1" applyBorder="1" applyAlignment="1" applyProtection="1">
      <protection locked="0"/>
    </xf>
    <xf numFmtId="0" fontId="25" fillId="6" borderId="32" xfId="0" applyFont="1" applyFill="1" applyBorder="1" applyAlignment="1">
      <alignment horizontal="left"/>
    </xf>
    <xf numFmtId="168" fontId="20" fillId="6" borderId="23" xfId="0" applyNumberFormat="1" applyFont="1" applyFill="1" applyBorder="1" applyAlignment="1"/>
    <xf numFmtId="168" fontId="20" fillId="6" borderId="32" xfId="0" applyNumberFormat="1" applyFont="1" applyFill="1" applyBorder="1" applyAlignment="1"/>
    <xf numFmtId="168" fontId="20" fillId="6" borderId="24" xfId="0" applyNumberFormat="1" applyFont="1" applyFill="1" applyBorder="1" applyAlignment="1"/>
    <xf numFmtId="0" fontId="53" fillId="14" borderId="96" xfId="0" applyFont="1" applyFill="1" applyBorder="1" applyAlignment="1">
      <alignment horizontal="center"/>
    </xf>
    <xf numFmtId="168" fontId="20" fillId="14" borderId="97" xfId="0" applyNumberFormat="1" applyFont="1" applyFill="1" applyBorder="1" applyAlignment="1"/>
    <xf numFmtId="168" fontId="20" fillId="14" borderId="96" xfId="0" applyNumberFormat="1" applyFont="1" applyFill="1" applyBorder="1" applyAlignment="1"/>
    <xf numFmtId="168" fontId="20" fillId="14" borderId="98" xfId="0" applyNumberFormat="1" applyFont="1" applyFill="1" applyBorder="1" applyAlignment="1"/>
    <xf numFmtId="0" fontId="51" fillId="13" borderId="18" xfId="0" applyFont="1" applyFill="1" applyBorder="1" applyAlignment="1">
      <alignment horizontal="center" vertical="center" textRotation="255" wrapText="1"/>
    </xf>
    <xf numFmtId="0" fontId="25" fillId="14" borderId="96" xfId="0" applyFont="1" applyFill="1" applyBorder="1" applyAlignment="1">
      <alignment horizontal="center"/>
    </xf>
    <xf numFmtId="0" fontId="2" fillId="0" borderId="99" xfId="0" applyFont="1" applyBorder="1" applyAlignment="1"/>
    <xf numFmtId="0" fontId="5" fillId="0" borderId="3" xfId="0" applyFont="1" applyBorder="1" applyAlignment="1">
      <alignment horizontal="left"/>
    </xf>
    <xf numFmtId="0" fontId="36" fillId="0" borderId="3" xfId="0" applyFont="1" applyBorder="1" applyAlignment="1">
      <alignment horizontal="left"/>
    </xf>
    <xf numFmtId="0" fontId="9" fillId="0" borderId="4" xfId="0" applyFont="1" applyBorder="1" applyAlignment="1" applyProtection="1">
      <alignment horizontal="centerContinuous"/>
      <protection locked="0"/>
    </xf>
    <xf numFmtId="0" fontId="12" fillId="0" borderId="10" xfId="0" applyFont="1" applyBorder="1" applyAlignment="1">
      <alignment horizontal="left"/>
    </xf>
    <xf numFmtId="0" fontId="39" fillId="0" borderId="15" xfId="0" applyFont="1" applyBorder="1" applyAlignment="1" applyProtection="1">
      <alignment horizontal="center"/>
      <protection locked="0"/>
    </xf>
    <xf numFmtId="0" fontId="34" fillId="15" borderId="74" xfId="0" applyFont="1" applyFill="1" applyBorder="1" applyAlignment="1">
      <alignment horizontal="centerContinuous"/>
    </xf>
    <xf numFmtId="0" fontId="23" fillId="15" borderId="100" xfId="0" applyFont="1" applyFill="1" applyBorder="1" applyAlignment="1">
      <alignment horizontal="centerContinuous"/>
    </xf>
    <xf numFmtId="168" fontId="20" fillId="0" borderId="26" xfId="0" applyNumberFormat="1" applyFont="1" applyBorder="1" applyAlignment="1"/>
    <xf numFmtId="168" fontId="20" fillId="0" borderId="101" xfId="0" applyNumberFormat="1" applyFont="1" applyBorder="1" applyAlignment="1"/>
    <xf numFmtId="168" fontId="20" fillId="0" borderId="102" xfId="0" applyNumberFormat="1" applyFont="1" applyBorder="1" applyAlignment="1"/>
    <xf numFmtId="168" fontId="20" fillId="0" borderId="103" xfId="0" applyNumberFormat="1" applyFont="1" applyBorder="1" applyAlignment="1"/>
    <xf numFmtId="0" fontId="54" fillId="16" borderId="78" xfId="0" applyFont="1" applyFill="1" applyBorder="1" applyAlignment="1">
      <alignment horizontal="center"/>
    </xf>
    <xf numFmtId="0" fontId="54" fillId="16" borderId="53" xfId="0" applyFont="1" applyFill="1" applyBorder="1" applyAlignment="1">
      <alignment horizontal="center"/>
    </xf>
    <xf numFmtId="0" fontId="25" fillId="0" borderId="36" xfId="0" applyFont="1" applyBorder="1" applyAlignment="1">
      <alignment horizontal="center"/>
    </xf>
    <xf numFmtId="168" fontId="20" fillId="0" borderId="41" xfId="0" applyNumberFormat="1" applyFont="1" applyBorder="1" applyAlignment="1"/>
    <xf numFmtId="168" fontId="20" fillId="0" borderId="104" xfId="0" applyNumberFormat="1" applyFont="1" applyBorder="1" applyAlignment="1"/>
    <xf numFmtId="0" fontId="20" fillId="17" borderId="15" xfId="0" applyFont="1" applyFill="1" applyBorder="1" applyAlignment="1">
      <alignment horizontal="center"/>
    </xf>
    <xf numFmtId="168" fontId="20" fillId="17" borderId="14" xfId="0" applyNumberFormat="1" applyFont="1" applyFill="1" applyBorder="1" applyAlignment="1"/>
    <xf numFmtId="168" fontId="20" fillId="17" borderId="105" xfId="0" applyNumberFormat="1" applyFont="1" applyFill="1" applyBorder="1" applyAlignment="1"/>
    <xf numFmtId="0" fontId="13" fillId="0" borderId="41" xfId="0" applyFont="1" applyBorder="1" applyAlignment="1">
      <alignment horizontal="center"/>
    </xf>
    <xf numFmtId="0" fontId="25" fillId="0" borderId="33" xfId="0" applyFont="1" applyBorder="1" applyAlignment="1"/>
    <xf numFmtId="0" fontId="23" fillId="15" borderId="88" xfId="0" applyFont="1" applyFill="1" applyBorder="1" applyAlignment="1">
      <alignment horizontal="centerContinuous"/>
    </xf>
    <xf numFmtId="0" fontId="13" fillId="0" borderId="54" xfId="0" applyFont="1" applyBorder="1" applyAlignment="1">
      <alignment horizontal="center"/>
    </xf>
    <xf numFmtId="0" fontId="25" fillId="6" borderId="32" xfId="0" applyFont="1" applyFill="1" applyBorder="1" applyAlignment="1">
      <alignment horizontal="center"/>
    </xf>
    <xf numFmtId="0" fontId="23" fillId="18" borderId="88" xfId="0" applyFont="1" applyFill="1" applyBorder="1" applyAlignment="1">
      <alignment horizontal="centerContinuous"/>
    </xf>
    <xf numFmtId="0" fontId="13" fillId="0" borderId="54" xfId="0" applyFont="1" applyBorder="1" applyAlignment="1">
      <alignment horizontal="left"/>
    </xf>
    <xf numFmtId="0" fontId="25" fillId="6" borderId="57" xfId="0" applyFont="1" applyFill="1" applyBorder="1" applyAlignment="1">
      <alignment horizontal="left"/>
    </xf>
    <xf numFmtId="168" fontId="20" fillId="6" borderId="56" xfId="0" applyNumberFormat="1" applyFont="1" applyFill="1" applyBorder="1" applyAlignment="1"/>
    <xf numFmtId="168" fontId="20" fillId="6" borderId="106" xfId="0" applyNumberFormat="1" applyFont="1" applyFill="1" applyBorder="1" applyAlignment="1"/>
    <xf numFmtId="0" fontId="19" fillId="14" borderId="107" xfId="0" applyFont="1" applyFill="1" applyBorder="1" applyAlignment="1">
      <alignment horizontal="center"/>
    </xf>
    <xf numFmtId="168" fontId="20" fillId="14" borderId="108" xfId="0" applyNumberFormat="1" applyFont="1" applyFill="1" applyBorder="1" applyAlignment="1"/>
    <xf numFmtId="168" fontId="20" fillId="14" borderId="109" xfId="0" applyNumberFormat="1" applyFont="1" applyFill="1" applyBorder="1" applyAlignment="1"/>
    <xf numFmtId="0" fontId="55" fillId="0" borderId="32" xfId="0" applyFont="1" applyBorder="1" applyAlignment="1">
      <alignment horizontal="center"/>
    </xf>
    <xf numFmtId="0" fontId="55" fillId="0" borderId="36" xfId="0" applyFont="1" applyBorder="1" applyAlignment="1">
      <alignment horizontal="left"/>
    </xf>
    <xf numFmtId="0" fontId="55" fillId="0" borderId="110" xfId="0" applyFont="1" applyBorder="1" applyAlignment="1">
      <alignment horizontal="left"/>
    </xf>
    <xf numFmtId="168" fontId="20" fillId="0" borderId="111" xfId="0" applyNumberFormat="1" applyFont="1" applyBorder="1" applyAlignment="1"/>
    <xf numFmtId="168" fontId="20" fillId="0" borderId="112" xfId="0" applyNumberFormat="1" applyFont="1" applyBorder="1" applyAlignment="1"/>
    <xf numFmtId="0" fontId="19" fillId="0" borderId="57" xfId="0" applyFont="1" applyBorder="1" applyAlignment="1">
      <alignment horizontal="center"/>
    </xf>
    <xf numFmtId="168" fontId="20" fillId="0" borderId="106" xfId="0" applyNumberFormat="1" applyFont="1" applyBorder="1" applyAlignment="1"/>
    <xf numFmtId="49" fontId="14" fillId="0" borderId="10" xfId="0" applyNumberFormat="1" applyFont="1" applyBorder="1" applyAlignment="1" applyProtection="1">
      <alignment horizontal="right"/>
      <protection locked="0"/>
    </xf>
    <xf numFmtId="168" fontId="20" fillId="0" borderId="23" xfId="0" applyNumberFormat="1" applyFont="1" applyBorder="1" applyAlignment="1">
      <alignment horizontal="center"/>
    </xf>
    <xf numFmtId="168" fontId="20" fillId="0" borderId="32" xfId="0" applyNumberFormat="1" applyFont="1" applyBorder="1" applyAlignment="1">
      <alignment horizontal="center"/>
    </xf>
    <xf numFmtId="168" fontId="20" fillId="0" borderId="24" xfId="0" applyNumberFormat="1" applyFont="1" applyBorder="1" applyAlignment="1">
      <alignment horizontal="center"/>
    </xf>
    <xf numFmtId="168" fontId="20" fillId="0" borderId="81" xfId="0" applyNumberFormat="1" applyFont="1" applyBorder="1" applyAlignment="1">
      <alignment horizontal="center"/>
    </xf>
    <xf numFmtId="168" fontId="20" fillId="0" borderId="33" xfId="0" applyNumberFormat="1" applyFont="1" applyBorder="1" applyAlignment="1">
      <alignment horizontal="center"/>
    </xf>
    <xf numFmtId="168" fontId="20" fillId="0" borderId="82" xfId="0" applyNumberFormat="1" applyFont="1" applyBorder="1" applyAlignment="1">
      <alignment horizontal="center"/>
    </xf>
    <xf numFmtId="0" fontId="53" fillId="0" borderId="69" xfId="0" applyFont="1" applyBorder="1" applyAlignment="1">
      <alignment horizontal="left"/>
    </xf>
    <xf numFmtId="169" fontId="20" fillId="0" borderId="23" xfId="0" applyNumberFormat="1" applyFont="1" applyBorder="1" applyAlignment="1">
      <alignment horizontal="center"/>
    </xf>
    <xf numFmtId="169" fontId="20" fillId="0" borderId="32" xfId="0" applyNumberFormat="1" applyFont="1" applyBorder="1" applyAlignment="1">
      <alignment horizontal="center"/>
    </xf>
    <xf numFmtId="169" fontId="20" fillId="0" borderId="24" xfId="0" applyNumberFormat="1" applyFont="1" applyBorder="1" applyAlignment="1">
      <alignment horizontal="center"/>
    </xf>
    <xf numFmtId="169" fontId="20" fillId="0" borderId="81" xfId="0" applyNumberFormat="1" applyFont="1" applyBorder="1" applyAlignment="1">
      <alignment horizontal="center"/>
    </xf>
    <xf numFmtId="169" fontId="20" fillId="0" borderId="33" xfId="0" applyNumberFormat="1" applyFont="1" applyBorder="1" applyAlignment="1">
      <alignment horizontal="center"/>
    </xf>
    <xf numFmtId="169" fontId="20" fillId="0" borderId="82" xfId="0" applyNumberFormat="1" applyFont="1" applyBorder="1" applyAlignment="1">
      <alignment horizontal="center"/>
    </xf>
    <xf numFmtId="0" fontId="13" fillId="0" borderId="31" xfId="0" applyFont="1" applyBorder="1" applyAlignment="1">
      <alignment horizontal="left"/>
    </xf>
    <xf numFmtId="173" fontId="20" fillId="0" borderId="33" xfId="0" applyNumberFormat="1" applyFont="1" applyBorder="1" applyAlignment="1">
      <alignment horizontal="center"/>
    </xf>
    <xf numFmtId="173" fontId="20" fillId="0" borderId="35" xfId="0" applyNumberFormat="1" applyFont="1" applyBorder="1" applyAlignment="1">
      <alignment horizontal="center"/>
    </xf>
    <xf numFmtId="174" fontId="20" fillId="0" borderId="23" xfId="0" applyNumberFormat="1" applyFont="1" applyBorder="1" applyAlignment="1">
      <alignment horizontal="center"/>
    </xf>
    <xf numFmtId="174" fontId="20" fillId="0" borderId="32" xfId="0" applyNumberFormat="1" applyFont="1" applyBorder="1" applyAlignment="1">
      <alignment horizontal="center"/>
    </xf>
    <xf numFmtId="174" fontId="20" fillId="0" borderId="24" xfId="0" applyNumberFormat="1" applyFont="1" applyBorder="1" applyAlignment="1">
      <alignment horizontal="center"/>
    </xf>
    <xf numFmtId="174" fontId="20" fillId="0" borderId="81" xfId="0" applyNumberFormat="1" applyFont="1" applyBorder="1" applyAlignment="1">
      <alignment horizontal="center"/>
    </xf>
    <xf numFmtId="174" fontId="20" fillId="0" borderId="33" xfId="0" applyNumberFormat="1" applyFont="1" applyBorder="1" applyAlignment="1">
      <alignment horizontal="center"/>
    </xf>
    <xf numFmtId="174" fontId="20" fillId="0" borderId="82" xfId="0" applyNumberFormat="1" applyFont="1" applyBorder="1" applyAlignment="1">
      <alignment horizontal="center"/>
    </xf>
    <xf numFmtId="0" fontId="55" fillId="0" borderId="57" xfId="0" applyFont="1" applyBorder="1" applyAlignment="1">
      <alignment horizontal="center"/>
    </xf>
    <xf numFmtId="168" fontId="20" fillId="0" borderId="17" xfId="0" applyNumberFormat="1" applyFont="1" applyBorder="1" applyAlignment="1">
      <alignment horizontal="center"/>
    </xf>
    <xf numFmtId="168" fontId="20" fillId="0" borderId="57" xfId="0" applyNumberFormat="1" applyFont="1" applyBorder="1" applyAlignment="1">
      <alignment horizontal="center"/>
    </xf>
    <xf numFmtId="168" fontId="20" fillId="0" borderId="25" xfId="0" applyNumberFormat="1" applyFont="1" applyBorder="1" applyAlignment="1">
      <alignment horizontal="center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11" fillId="0" borderId="11" xfId="0" applyFont="1" applyBorder="1" applyAlignment="1" applyProtection="1">
      <alignment horizontal="center"/>
      <protection locked="0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9" fillId="0" borderId="60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www.wps.cn/officeDocument/2020/cellImage" Target="NUL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8"/>
  <sheetViews>
    <sheetView tabSelected="1" topLeftCell="C4" zoomScale="70" workbookViewId="0">
      <selection activeCell="J59" sqref="J59"/>
    </sheetView>
  </sheetViews>
  <sheetFormatPr defaultColWidth="9.03515625" defaultRowHeight="12.75" x14ac:dyDescent="0.15"/>
  <cols>
    <col min="1" max="1" width="3.7734375" customWidth="1"/>
    <col min="2" max="2" width="2.55859375" customWidth="1"/>
    <col min="3" max="3" width="26.16015625" customWidth="1"/>
    <col min="4" max="4" width="11.73046875" style="1" bestFit="1" customWidth="1"/>
    <col min="5" max="5" width="8.8984375" style="1" bestFit="1" customWidth="1"/>
    <col min="6" max="6" width="11.32421875" style="1" customWidth="1"/>
    <col min="7" max="7" width="4.98828125" style="1" customWidth="1"/>
    <col min="8" max="8" width="10.3828125" style="1" customWidth="1"/>
    <col min="9" max="9" width="5.796875" style="1" bestFit="1" customWidth="1"/>
    <col min="10" max="10" width="11.0546875" style="1" customWidth="1"/>
    <col min="11" max="11" width="4.98828125" style="1" customWidth="1"/>
    <col min="12" max="12" width="9.4375" bestFit="1" customWidth="1"/>
    <col min="13" max="13" width="4.98828125" customWidth="1"/>
    <col min="14" max="14" width="8.76171875" hidden="1" customWidth="1"/>
    <col min="15" max="15" width="4.98828125" hidden="1" customWidth="1"/>
    <col min="16" max="16" width="32.36328125" bestFit="1" customWidth="1"/>
  </cols>
  <sheetData>
    <row r="1" spans="1:15" ht="15.75" x14ac:dyDescent="0.2">
      <c r="A1" s="2" t="s">
        <v>0</v>
      </c>
      <c r="B1" s="3"/>
      <c r="C1" s="442" t="s">
        <v>245</v>
      </c>
      <c r="D1" s="442"/>
      <c r="E1" s="443"/>
      <c r="F1" s="4" t="s">
        <v>1</v>
      </c>
      <c r="G1" s="5"/>
      <c r="H1" s="6" t="s">
        <v>235</v>
      </c>
      <c r="I1" s="7"/>
      <c r="J1" s="8" t="s">
        <v>83</v>
      </c>
      <c r="K1" s="9"/>
      <c r="L1" s="440" t="s">
        <v>237</v>
      </c>
      <c r="M1" s="440"/>
      <c r="N1" s="440"/>
      <c r="O1" s="441"/>
    </row>
    <row r="2" spans="1:15" ht="14.25" x14ac:dyDescent="0.15">
      <c r="A2" s="10" t="s">
        <v>2</v>
      </c>
      <c r="B2" s="11"/>
      <c r="C2" s="444" t="s">
        <v>75</v>
      </c>
      <c r="D2" s="444"/>
      <c r="E2" s="445"/>
      <c r="F2" s="12" t="s">
        <v>3</v>
      </c>
      <c r="G2" s="11"/>
      <c r="H2" s="13" t="s">
        <v>236</v>
      </c>
      <c r="I2" s="14"/>
      <c r="J2" s="15" t="s">
        <v>4</v>
      </c>
      <c r="K2" s="16"/>
      <c r="L2" s="17" t="s">
        <v>307</v>
      </c>
      <c r="M2" s="18"/>
      <c r="N2" s="19"/>
      <c r="O2" s="20"/>
    </row>
    <row r="3" spans="1:15" x14ac:dyDescent="0.15">
      <c r="A3" s="21" t="s">
        <v>5</v>
      </c>
      <c r="B3" s="22"/>
      <c r="C3" s="22"/>
      <c r="D3" s="23" t="s">
        <v>6</v>
      </c>
      <c r="E3" s="24"/>
      <c r="F3" s="24" t="s">
        <v>6</v>
      </c>
      <c r="G3" s="24"/>
      <c r="H3" s="24" t="s">
        <v>6</v>
      </c>
      <c r="I3" s="24"/>
      <c r="J3" s="24" t="s">
        <v>6</v>
      </c>
      <c r="K3" s="24"/>
      <c r="L3" s="24" t="s">
        <v>6</v>
      </c>
      <c r="M3" s="24"/>
      <c r="N3" s="24"/>
      <c r="O3" s="25"/>
    </row>
    <row r="4" spans="1:15" hidden="1" x14ac:dyDescent="0.15">
      <c r="A4" s="21" t="s">
        <v>7</v>
      </c>
      <c r="B4" s="22"/>
      <c r="C4" s="26"/>
      <c r="D4" s="23" t="s">
        <v>8</v>
      </c>
      <c r="E4" s="24"/>
      <c r="F4" s="24" t="s">
        <v>9</v>
      </c>
      <c r="G4" s="24"/>
      <c r="H4" s="24" t="s">
        <v>8</v>
      </c>
      <c r="I4" s="24"/>
      <c r="J4" s="24" t="s">
        <v>8</v>
      </c>
      <c r="K4" s="24"/>
      <c r="L4" s="24"/>
      <c r="M4" s="24"/>
      <c r="N4" s="24"/>
      <c r="O4" s="25"/>
    </row>
    <row r="5" spans="1:15" x14ac:dyDescent="0.15">
      <c r="A5" s="21" t="s">
        <v>85</v>
      </c>
      <c r="B5" s="22"/>
      <c r="C5" s="26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1:15" x14ac:dyDescent="0.15">
      <c r="A6" s="21" t="s">
        <v>10</v>
      </c>
      <c r="B6" s="22"/>
      <c r="C6" s="22"/>
      <c r="D6" s="27" t="s">
        <v>241</v>
      </c>
      <c r="E6" s="28"/>
      <c r="F6" s="27" t="s">
        <v>242</v>
      </c>
      <c r="G6" s="28"/>
      <c r="H6" s="27" t="s">
        <v>243</v>
      </c>
      <c r="I6" s="28"/>
      <c r="J6" s="27" t="s">
        <v>322</v>
      </c>
      <c r="K6" s="29"/>
      <c r="L6" s="30"/>
      <c r="M6" s="29"/>
      <c r="N6" s="31"/>
      <c r="O6" s="32"/>
    </row>
    <row r="7" spans="1:15" x14ac:dyDescent="0.15">
      <c r="A7" s="33" t="s">
        <v>11</v>
      </c>
      <c r="B7" s="34"/>
      <c r="C7" s="35"/>
      <c r="D7" s="36" t="s">
        <v>12</v>
      </c>
      <c r="E7" s="37" t="s">
        <v>13</v>
      </c>
      <c r="F7" s="37" t="s">
        <v>12</v>
      </c>
      <c r="G7" s="37" t="s">
        <v>13</v>
      </c>
      <c r="H7" s="37" t="s">
        <v>306</v>
      </c>
      <c r="I7" s="37" t="s">
        <v>13</v>
      </c>
      <c r="J7" s="37" t="s">
        <v>12</v>
      </c>
      <c r="K7" s="37" t="s">
        <v>13</v>
      </c>
      <c r="L7" s="37" t="s">
        <v>12</v>
      </c>
      <c r="M7" s="37" t="s">
        <v>13</v>
      </c>
      <c r="N7" s="37"/>
      <c r="O7" s="38"/>
    </row>
    <row r="8" spans="1:15" ht="14.25" hidden="1" x14ac:dyDescent="0.15">
      <c r="A8" s="39" t="s">
        <v>14</v>
      </c>
      <c r="B8" s="40"/>
      <c r="C8" s="40"/>
      <c r="D8" s="41"/>
      <c r="E8" s="41"/>
      <c r="F8" s="41"/>
      <c r="G8" s="41"/>
      <c r="H8" s="41"/>
      <c r="I8" s="41"/>
      <c r="J8" s="41"/>
      <c r="K8" s="41"/>
      <c r="L8" s="40"/>
      <c r="M8" s="40"/>
      <c r="N8" s="40"/>
      <c r="O8" s="40"/>
    </row>
    <row r="9" spans="1:15" hidden="1" x14ac:dyDescent="0.15">
      <c r="A9" s="42"/>
      <c r="B9" s="43"/>
      <c r="C9" s="44"/>
      <c r="D9" s="45"/>
      <c r="E9" s="45"/>
      <c r="F9" s="45"/>
      <c r="G9" s="46"/>
      <c r="H9" s="45"/>
      <c r="I9" s="45"/>
      <c r="J9" s="45"/>
      <c r="K9" s="45"/>
      <c r="L9" s="45"/>
      <c r="M9" s="45"/>
      <c r="N9" s="45"/>
      <c r="O9" s="47"/>
    </row>
    <row r="10" spans="1:15" ht="13.5" hidden="1" x14ac:dyDescent="0.15">
      <c r="A10" s="48"/>
      <c r="B10" s="49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1:15" ht="13.5" hidden="1" x14ac:dyDescent="0.15">
      <c r="A11" s="48"/>
      <c r="B11" s="52"/>
      <c r="C11" s="53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6"/>
    </row>
    <row r="12" spans="1:15" hidden="1" x14ac:dyDescent="0.15">
      <c r="A12" s="48"/>
      <c r="B12" s="57"/>
      <c r="C12" s="1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/>
    </row>
    <row r="13" spans="1:15" hidden="1" x14ac:dyDescent="0.15">
      <c r="A13" s="48"/>
      <c r="B13" s="57"/>
      <c r="C13" s="1"/>
      <c r="D13" s="58"/>
      <c r="E13" s="58"/>
      <c r="F13" s="59"/>
      <c r="G13" s="58"/>
      <c r="H13" s="58"/>
      <c r="I13" s="58"/>
      <c r="J13" s="58"/>
      <c r="K13" s="58"/>
      <c r="L13" s="58"/>
      <c r="M13" s="58"/>
      <c r="N13" s="58"/>
      <c r="O13" s="60"/>
    </row>
    <row r="14" spans="1:15" hidden="1" x14ac:dyDescent="0.15">
      <c r="A14" s="48"/>
      <c r="B14" s="57"/>
      <c r="C14" s="53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2"/>
    </row>
    <row r="15" spans="1:15" hidden="1" x14ac:dyDescent="0.15">
      <c r="A15" s="48"/>
      <c r="B15" s="57"/>
      <c r="C15" s="53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2"/>
    </row>
    <row r="16" spans="1:15" hidden="1" x14ac:dyDescent="0.15">
      <c r="A16" s="48"/>
      <c r="B16" s="57"/>
      <c r="C16" s="53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</row>
    <row r="17" spans="1:17" hidden="1" x14ac:dyDescent="0.15">
      <c r="A17" s="48"/>
      <c r="B17" s="57"/>
      <c r="C17" s="53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</row>
    <row r="18" spans="1:17" hidden="1" x14ac:dyDescent="0.15">
      <c r="A18" s="48"/>
      <c r="B18" s="57"/>
      <c r="C18" s="53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1:17" hidden="1" x14ac:dyDescent="0.15">
      <c r="A19" s="63"/>
      <c r="B19" s="64"/>
      <c r="C19" s="34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</row>
    <row r="20" spans="1:17" ht="14.25" x14ac:dyDescent="0.15">
      <c r="A20" s="67" t="s">
        <v>15</v>
      </c>
      <c r="B20" s="40"/>
      <c r="C20" s="40"/>
      <c r="D20" s="27" t="s">
        <v>241</v>
      </c>
      <c r="E20" s="41"/>
      <c r="F20" s="27" t="s">
        <v>242</v>
      </c>
      <c r="G20" s="41"/>
      <c r="H20" s="27" t="s">
        <v>243</v>
      </c>
      <c r="I20" s="41"/>
      <c r="J20" s="41"/>
      <c r="K20" s="41"/>
      <c r="L20" s="40"/>
      <c r="M20" s="40"/>
      <c r="N20" s="40"/>
      <c r="O20" s="40"/>
    </row>
    <row r="21" spans="1:17" x14ac:dyDescent="0.15">
      <c r="A21" s="68" t="s">
        <v>16</v>
      </c>
      <c r="B21" s="69"/>
      <c r="C21" s="70" t="s">
        <v>86</v>
      </c>
      <c r="D21" s="71">
        <v>116365.5</v>
      </c>
      <c r="E21" s="72">
        <f t="shared" ref="E21:E36" si="0">IF(D$36=0,0,D21/D$36)</f>
        <v>5.823318447703384E-3</v>
      </c>
      <c r="F21" s="71">
        <v>161402.9</v>
      </c>
      <c r="G21" s="72">
        <f t="shared" ref="G21:G36" si="1">IF(F$36=0,0,F21/F$36)</f>
        <v>7.9971240995450853E-3</v>
      </c>
      <c r="H21" s="71">
        <v>519125</v>
      </c>
      <c r="I21" s="72">
        <f t="shared" ref="I21:I36" si="2">IF(H$36=0,0,H21/H$36)</f>
        <v>2.5577175697233182E-2</v>
      </c>
      <c r="J21" s="73"/>
      <c r="K21" s="72">
        <f>IF(J$36=0,0,J21/J$36)</f>
        <v>0</v>
      </c>
      <c r="L21" s="73"/>
      <c r="M21" s="72">
        <f>IF(L$36=0,0,L21/L$36)</f>
        <v>0</v>
      </c>
      <c r="N21" s="73"/>
      <c r="O21" s="74">
        <f>IF(N$36=0,0,N21/N$36)</f>
        <v>0</v>
      </c>
    </row>
    <row r="22" spans="1:17" x14ac:dyDescent="0.15">
      <c r="A22" s="75" t="s">
        <v>17</v>
      </c>
      <c r="B22" s="76" t="s">
        <v>18</v>
      </c>
      <c r="C22" s="77" t="s">
        <v>87</v>
      </c>
      <c r="D22" s="71">
        <v>1150000</v>
      </c>
      <c r="E22" s="78">
        <f t="shared" si="0"/>
        <v>5.7549842649744914E-2</v>
      </c>
      <c r="F22" s="71">
        <v>1150000</v>
      </c>
      <c r="G22" s="78">
        <f t="shared" si="1"/>
        <v>5.6979724121913843E-2</v>
      </c>
      <c r="H22" s="71">
        <v>1150000</v>
      </c>
      <c r="I22" s="78">
        <f t="shared" si="2"/>
        <v>5.6660249558041241E-2</v>
      </c>
      <c r="J22" s="79"/>
      <c r="K22" s="78">
        <f t="shared" ref="K22:M36" si="3">IF(J$36=0,0,J22/J$36)</f>
        <v>0</v>
      </c>
      <c r="L22" s="79"/>
      <c r="M22" s="78">
        <f t="shared" si="3"/>
        <v>0</v>
      </c>
      <c r="N22" s="79"/>
      <c r="O22" s="80">
        <f t="shared" ref="O22:O36" si="4">IF(N$36=0,0,N22/N$36)</f>
        <v>0</v>
      </c>
      <c r="P22" s="81" t="s">
        <v>251</v>
      </c>
    </row>
    <row r="23" spans="1:17" x14ac:dyDescent="0.15">
      <c r="A23" s="75" t="s">
        <v>19</v>
      </c>
      <c r="B23" s="76" t="s">
        <v>20</v>
      </c>
      <c r="C23" s="82" t="s">
        <v>248</v>
      </c>
      <c r="D23" s="71">
        <v>1957068</v>
      </c>
      <c r="E23" s="83">
        <f t="shared" si="0"/>
        <v>9.793822213465303E-2</v>
      </c>
      <c r="F23" s="71">
        <v>2206877.2459999998</v>
      </c>
      <c r="G23" s="83">
        <f t="shared" si="1"/>
        <v>0.10934544056348607</v>
      </c>
      <c r="H23" s="71">
        <f>2384644+5000</f>
        <v>2389644</v>
      </c>
      <c r="I23" s="83">
        <f t="shared" si="2"/>
        <v>0.11773723947380513</v>
      </c>
      <c r="J23" s="84"/>
      <c r="K23" s="83">
        <f t="shared" si="3"/>
        <v>0</v>
      </c>
      <c r="L23" s="84"/>
      <c r="M23" s="83">
        <f t="shared" si="3"/>
        <v>0</v>
      </c>
      <c r="N23" s="84"/>
      <c r="O23" s="85">
        <f t="shared" si="4"/>
        <v>0</v>
      </c>
    </row>
    <row r="24" spans="1:17" x14ac:dyDescent="0.15">
      <c r="A24" s="75" t="s">
        <v>21</v>
      </c>
      <c r="B24" s="76" t="s">
        <v>20</v>
      </c>
      <c r="C24" s="82" t="s">
        <v>88</v>
      </c>
      <c r="D24" s="86">
        <v>2737831.9409999996</v>
      </c>
      <c r="E24" s="83">
        <f t="shared" si="0"/>
        <v>0.13701025861390928</v>
      </c>
      <c r="F24" s="87">
        <v>2698031.7539999997</v>
      </c>
      <c r="G24" s="83">
        <f t="shared" si="1"/>
        <v>0.13368096088268114</v>
      </c>
      <c r="H24" s="71">
        <v>2951082.0759999999</v>
      </c>
      <c r="I24" s="83">
        <f t="shared" si="2"/>
        <v>0.14539917121080209</v>
      </c>
      <c r="J24" s="84"/>
      <c r="K24" s="83">
        <f t="shared" si="3"/>
        <v>0</v>
      </c>
      <c r="L24" s="84"/>
      <c r="M24" s="83">
        <f t="shared" si="3"/>
        <v>0</v>
      </c>
      <c r="N24" s="84"/>
      <c r="O24" s="85">
        <f t="shared" si="4"/>
        <v>0</v>
      </c>
    </row>
    <row r="25" spans="1:17" x14ac:dyDescent="0.15">
      <c r="A25" s="75" t="s">
        <v>22</v>
      </c>
      <c r="B25" s="76" t="s">
        <v>23</v>
      </c>
      <c r="C25" s="88" t="s">
        <v>233</v>
      </c>
      <c r="D25" s="71">
        <v>21175</v>
      </c>
      <c r="E25" s="89">
        <f t="shared" si="0"/>
        <v>1.0596677548768249E-3</v>
      </c>
      <c r="F25" s="90">
        <v>0</v>
      </c>
      <c r="G25" s="89">
        <f t="shared" si="1"/>
        <v>0</v>
      </c>
      <c r="H25" s="71">
        <v>0</v>
      </c>
      <c r="I25" s="89">
        <f t="shared" si="2"/>
        <v>0</v>
      </c>
      <c r="J25" s="90"/>
      <c r="K25" s="89">
        <f t="shared" si="3"/>
        <v>0</v>
      </c>
      <c r="L25" s="90"/>
      <c r="M25" s="89">
        <f t="shared" si="3"/>
        <v>0</v>
      </c>
      <c r="N25" s="90"/>
      <c r="O25" s="91">
        <f t="shared" si="4"/>
        <v>0</v>
      </c>
    </row>
    <row r="26" spans="1:17" x14ac:dyDescent="0.15">
      <c r="A26" s="75" t="s">
        <v>24</v>
      </c>
      <c r="B26" s="76" t="s">
        <v>25</v>
      </c>
      <c r="C26" s="92" t="s">
        <v>89</v>
      </c>
      <c r="D26" s="71">
        <f>1741113-1150000+67400+30000</f>
        <v>688513</v>
      </c>
      <c r="E26" s="78">
        <f t="shared" si="0"/>
        <v>3.4455491141133755E-2</v>
      </c>
      <c r="F26" s="84">
        <v>651081</v>
      </c>
      <c r="G26" s="78">
        <f t="shared" si="1"/>
        <v>3.2259491966104163E-2</v>
      </c>
      <c r="H26" s="71">
        <f>788978+381000</f>
        <v>1169978</v>
      </c>
      <c r="I26" s="78">
        <f t="shared" si="2"/>
        <v>5.7644561267319976E-2</v>
      </c>
      <c r="J26" s="84"/>
      <c r="K26" s="78">
        <f t="shared" si="3"/>
        <v>0</v>
      </c>
      <c r="L26" s="79"/>
      <c r="M26" s="78">
        <f t="shared" si="3"/>
        <v>0</v>
      </c>
      <c r="N26" s="79"/>
      <c r="O26" s="80">
        <f t="shared" si="4"/>
        <v>0</v>
      </c>
      <c r="P26" s="81"/>
    </row>
    <row r="27" spans="1:17" x14ac:dyDescent="0.15">
      <c r="A27" s="75" t="s">
        <v>26</v>
      </c>
      <c r="B27" s="76" t="s">
        <v>20</v>
      </c>
      <c r="C27" s="93" t="s">
        <v>231</v>
      </c>
      <c r="D27" s="94">
        <v>0</v>
      </c>
      <c r="E27" s="83">
        <f t="shared" si="0"/>
        <v>0</v>
      </c>
      <c r="F27" s="84">
        <v>0</v>
      </c>
      <c r="G27" s="83">
        <f t="shared" si="1"/>
        <v>0</v>
      </c>
      <c r="H27" s="84">
        <v>0</v>
      </c>
      <c r="I27" s="83">
        <f t="shared" si="2"/>
        <v>0</v>
      </c>
      <c r="J27" s="84"/>
      <c r="K27" s="83">
        <f t="shared" si="3"/>
        <v>0</v>
      </c>
      <c r="L27" s="84"/>
      <c r="M27" s="83">
        <f t="shared" si="3"/>
        <v>0</v>
      </c>
      <c r="N27" s="84"/>
      <c r="O27" s="85">
        <f t="shared" si="4"/>
        <v>0</v>
      </c>
      <c r="Q27" s="81"/>
    </row>
    <row r="28" spans="1:17" x14ac:dyDescent="0.15">
      <c r="A28" s="75" t="s">
        <v>27</v>
      </c>
      <c r="B28" s="76"/>
      <c r="C28" s="95" t="s">
        <v>90</v>
      </c>
      <c r="D28" s="96">
        <f>SUM(D21:D27)</f>
        <v>6670953.4409999996</v>
      </c>
      <c r="E28" s="97">
        <f t="shared" si="0"/>
        <v>0.33383680074202121</v>
      </c>
      <c r="F28" s="98">
        <f>SUM(F21:F27)</f>
        <v>6867392.8999999994</v>
      </c>
      <c r="G28" s="97">
        <f t="shared" si="1"/>
        <v>0.34026274163373027</v>
      </c>
      <c r="H28" s="98">
        <f>SUM(H21:H27)</f>
        <v>8179829.0759999994</v>
      </c>
      <c r="I28" s="97">
        <f t="shared" si="2"/>
        <v>0.40301839720720162</v>
      </c>
      <c r="J28" s="98">
        <f>SUM(J21:J27)</f>
        <v>0</v>
      </c>
      <c r="K28" s="97">
        <f t="shared" si="3"/>
        <v>0</v>
      </c>
      <c r="L28" s="98">
        <f>SUM(L21:L27)</f>
        <v>0</v>
      </c>
      <c r="M28" s="97">
        <f t="shared" si="3"/>
        <v>0</v>
      </c>
      <c r="N28" s="98">
        <f>SUM(N21:N27)</f>
        <v>0</v>
      </c>
      <c r="O28" s="99">
        <f t="shared" si="4"/>
        <v>0</v>
      </c>
    </row>
    <row r="29" spans="1:17" x14ac:dyDescent="0.15">
      <c r="A29" s="75" t="s">
        <v>28</v>
      </c>
      <c r="B29" s="76" t="s">
        <v>18</v>
      </c>
      <c r="C29" s="100" t="s">
        <v>238</v>
      </c>
      <c r="D29" s="71">
        <f>14511725-1200000</f>
        <v>13311725</v>
      </c>
      <c r="E29" s="101">
        <f t="shared" si="0"/>
        <v>0.66616319925797884</v>
      </c>
      <c r="F29" s="102">
        <f>+D29+3500</f>
        <v>13315225</v>
      </c>
      <c r="G29" s="101">
        <f t="shared" si="1"/>
        <v>0.65973725836626973</v>
      </c>
      <c r="H29" s="102">
        <f>13315225+147650-1346288</f>
        <v>12116587</v>
      </c>
      <c r="I29" s="101">
        <f t="shared" si="2"/>
        <v>0.59698160279279844</v>
      </c>
      <c r="J29" s="102"/>
      <c r="K29" s="101">
        <f t="shared" si="3"/>
        <v>0</v>
      </c>
      <c r="L29" s="102"/>
      <c r="M29" s="101">
        <f t="shared" si="3"/>
        <v>0</v>
      </c>
      <c r="N29" s="102"/>
      <c r="O29" s="103">
        <f t="shared" si="4"/>
        <v>0</v>
      </c>
    </row>
    <row r="30" spans="1:17" x14ac:dyDescent="0.15">
      <c r="A30" s="75" t="s">
        <v>29</v>
      </c>
      <c r="B30" s="76" t="s">
        <v>20</v>
      </c>
      <c r="C30" s="104" t="s">
        <v>230</v>
      </c>
      <c r="D30" s="79">
        <v>0</v>
      </c>
      <c r="E30" s="105">
        <f t="shared" si="0"/>
        <v>0</v>
      </c>
      <c r="F30" s="106">
        <v>0</v>
      </c>
      <c r="G30" s="105">
        <f t="shared" si="1"/>
        <v>0</v>
      </c>
      <c r="H30" s="106">
        <v>0</v>
      </c>
      <c r="I30" s="105">
        <f t="shared" si="2"/>
        <v>0</v>
      </c>
      <c r="J30" s="106"/>
      <c r="K30" s="105">
        <f t="shared" si="3"/>
        <v>0</v>
      </c>
      <c r="L30" s="106"/>
      <c r="M30" s="105">
        <f t="shared" si="3"/>
        <v>0</v>
      </c>
      <c r="N30" s="106"/>
      <c r="O30" s="80">
        <f t="shared" si="4"/>
        <v>0</v>
      </c>
    </row>
    <row r="31" spans="1:17" x14ac:dyDescent="0.15">
      <c r="A31" s="75" t="s">
        <v>30</v>
      </c>
      <c r="B31" s="76" t="s">
        <v>20</v>
      </c>
      <c r="C31" s="107" t="s">
        <v>232</v>
      </c>
      <c r="D31" s="79">
        <v>0</v>
      </c>
      <c r="E31" s="105">
        <f t="shared" si="0"/>
        <v>0</v>
      </c>
      <c r="F31" s="106">
        <v>0</v>
      </c>
      <c r="G31" s="105">
        <f t="shared" si="1"/>
        <v>0</v>
      </c>
      <c r="H31" s="106">
        <v>0</v>
      </c>
      <c r="I31" s="105">
        <f t="shared" si="2"/>
        <v>0</v>
      </c>
      <c r="J31" s="106"/>
      <c r="K31" s="105">
        <f t="shared" si="3"/>
        <v>0</v>
      </c>
      <c r="L31" s="106"/>
      <c r="M31" s="105">
        <f t="shared" si="3"/>
        <v>0</v>
      </c>
      <c r="N31" s="106"/>
      <c r="O31" s="80">
        <f t="shared" si="4"/>
        <v>0</v>
      </c>
    </row>
    <row r="32" spans="1:17" x14ac:dyDescent="0.15">
      <c r="A32" s="75" t="s">
        <v>31</v>
      </c>
      <c r="B32" s="76" t="s">
        <v>23</v>
      </c>
      <c r="C32" s="107" t="s">
        <v>239</v>
      </c>
      <c r="D32" s="79">
        <v>0</v>
      </c>
      <c r="E32" s="105">
        <f t="shared" si="0"/>
        <v>0</v>
      </c>
      <c r="F32" s="106">
        <v>0</v>
      </c>
      <c r="G32" s="105">
        <f t="shared" si="1"/>
        <v>0</v>
      </c>
      <c r="H32" s="106">
        <v>0</v>
      </c>
      <c r="I32" s="105">
        <f t="shared" si="2"/>
        <v>0</v>
      </c>
      <c r="J32" s="106"/>
      <c r="K32" s="105">
        <f t="shared" si="3"/>
        <v>0</v>
      </c>
      <c r="L32" s="106"/>
      <c r="M32" s="105">
        <f t="shared" si="3"/>
        <v>0</v>
      </c>
      <c r="N32" s="106"/>
      <c r="O32" s="80">
        <f t="shared" si="4"/>
        <v>0</v>
      </c>
    </row>
    <row r="33" spans="1:16" x14ac:dyDescent="0.15">
      <c r="A33" s="75" t="s">
        <v>32</v>
      </c>
      <c r="B33" s="76" t="s">
        <v>25</v>
      </c>
      <c r="C33" s="107" t="s">
        <v>91</v>
      </c>
      <c r="D33" s="79">
        <v>0</v>
      </c>
      <c r="E33" s="105">
        <f t="shared" si="0"/>
        <v>0</v>
      </c>
      <c r="F33" s="106">
        <v>0</v>
      </c>
      <c r="G33" s="105">
        <f t="shared" si="1"/>
        <v>0</v>
      </c>
      <c r="H33" s="106">
        <v>0</v>
      </c>
      <c r="I33" s="105">
        <f t="shared" si="2"/>
        <v>0</v>
      </c>
      <c r="J33" s="106"/>
      <c r="K33" s="105">
        <f t="shared" si="3"/>
        <v>0</v>
      </c>
      <c r="L33" s="106"/>
      <c r="M33" s="105">
        <f t="shared" si="3"/>
        <v>0</v>
      </c>
      <c r="N33" s="106"/>
      <c r="O33" s="80">
        <f t="shared" si="4"/>
        <v>0</v>
      </c>
    </row>
    <row r="34" spans="1:16" x14ac:dyDescent="0.15">
      <c r="A34" s="75" t="s">
        <v>33</v>
      </c>
      <c r="B34" s="76" t="s">
        <v>20</v>
      </c>
      <c r="C34" s="93" t="s">
        <v>249</v>
      </c>
      <c r="D34" s="94">
        <v>0</v>
      </c>
      <c r="E34" s="83">
        <f t="shared" si="0"/>
        <v>0</v>
      </c>
      <c r="F34" s="84">
        <v>0</v>
      </c>
      <c r="G34" s="83">
        <f t="shared" si="1"/>
        <v>0</v>
      </c>
      <c r="H34" s="84">
        <v>0</v>
      </c>
      <c r="I34" s="83">
        <f t="shared" si="2"/>
        <v>0</v>
      </c>
      <c r="J34" s="84"/>
      <c r="K34" s="83">
        <f t="shared" si="3"/>
        <v>0</v>
      </c>
      <c r="L34" s="84"/>
      <c r="M34" s="83">
        <f t="shared" si="3"/>
        <v>0</v>
      </c>
      <c r="N34" s="84"/>
      <c r="O34" s="85">
        <f t="shared" si="4"/>
        <v>0</v>
      </c>
    </row>
    <row r="35" spans="1:16" x14ac:dyDescent="0.15">
      <c r="A35" s="75" t="s">
        <v>34</v>
      </c>
      <c r="B35" s="76"/>
      <c r="C35" s="108" t="s">
        <v>92</v>
      </c>
      <c r="D35" s="109">
        <f>SUM(D29:D34)</f>
        <v>13311725</v>
      </c>
      <c r="E35" s="110">
        <f t="shared" si="0"/>
        <v>0.66616319925797884</v>
      </c>
      <c r="F35" s="111">
        <f>SUM(F29:F34)</f>
        <v>13315225</v>
      </c>
      <c r="G35" s="110">
        <f t="shared" si="1"/>
        <v>0.65973725836626973</v>
      </c>
      <c r="H35" s="111">
        <f>SUM(H29:H34)</f>
        <v>12116587</v>
      </c>
      <c r="I35" s="110">
        <f t="shared" si="2"/>
        <v>0.59698160279279844</v>
      </c>
      <c r="J35" s="111">
        <f>SUM(J29:J34)</f>
        <v>0</v>
      </c>
      <c r="K35" s="110">
        <f t="shared" si="3"/>
        <v>0</v>
      </c>
      <c r="L35" s="111">
        <f>SUM(L29:L34)</f>
        <v>0</v>
      </c>
      <c r="M35" s="110">
        <f t="shared" si="3"/>
        <v>0</v>
      </c>
      <c r="N35" s="111">
        <f>SUM(N29:N34)</f>
        <v>0</v>
      </c>
      <c r="O35" s="112">
        <f t="shared" si="4"/>
        <v>0</v>
      </c>
    </row>
    <row r="36" spans="1:16" x14ac:dyDescent="0.15">
      <c r="A36" s="75" t="s">
        <v>35</v>
      </c>
      <c r="B36" s="113"/>
      <c r="C36" s="114" t="s">
        <v>195</v>
      </c>
      <c r="D36" s="115">
        <f>D28+D35</f>
        <v>19982678.441</v>
      </c>
      <c r="E36" s="116">
        <f t="shared" si="0"/>
        <v>1</v>
      </c>
      <c r="F36" s="117">
        <f>F28+F35</f>
        <v>20182617.899999999</v>
      </c>
      <c r="G36" s="116">
        <f t="shared" si="1"/>
        <v>1</v>
      </c>
      <c r="H36" s="117">
        <f>H28+H35</f>
        <v>20296416.075999998</v>
      </c>
      <c r="I36" s="116">
        <f t="shared" si="2"/>
        <v>1</v>
      </c>
      <c r="J36" s="117">
        <f>J28+J35</f>
        <v>0</v>
      </c>
      <c r="K36" s="116">
        <f t="shared" si="3"/>
        <v>0</v>
      </c>
      <c r="L36" s="117">
        <f>L28+L35</f>
        <v>0</v>
      </c>
      <c r="M36" s="116">
        <f t="shared" si="3"/>
        <v>0</v>
      </c>
      <c r="N36" s="117">
        <f>N28+N35</f>
        <v>0</v>
      </c>
      <c r="O36" s="118">
        <f t="shared" si="4"/>
        <v>0</v>
      </c>
    </row>
    <row r="37" spans="1:16" x14ac:dyDescent="0.15">
      <c r="A37" s="75" t="s">
        <v>36</v>
      </c>
      <c r="B37" s="76"/>
      <c r="C37" s="119" t="s">
        <v>93</v>
      </c>
      <c r="D37" s="120">
        <v>0</v>
      </c>
      <c r="E37" s="121">
        <f t="shared" ref="E37:E61" si="5">IF(D$61=0,0,D37/D$61)</f>
        <v>0</v>
      </c>
      <c r="F37" s="122">
        <v>0</v>
      </c>
      <c r="G37" s="121">
        <f t="shared" ref="G37:G61" si="6">IF(F$61=0,0,F37/F$61)</f>
        <v>0</v>
      </c>
      <c r="H37" s="122">
        <v>0</v>
      </c>
      <c r="I37" s="121">
        <f t="shared" ref="I37:I61" si="7">IF(H$61=0,0,H37/H$61)</f>
        <v>0</v>
      </c>
      <c r="J37" s="122"/>
      <c r="K37" s="121">
        <f>IF(J$61=0,0,J37/J$61)</f>
        <v>0</v>
      </c>
      <c r="L37" s="122"/>
      <c r="M37" s="121">
        <f>IF(L$61=0,0,L37/L$61)</f>
        <v>0</v>
      </c>
      <c r="N37" s="122"/>
      <c r="O37" s="123">
        <f>IF(N$61=0,0,N37/N$61)</f>
        <v>0</v>
      </c>
    </row>
    <row r="38" spans="1:16" x14ac:dyDescent="0.15">
      <c r="A38" s="75" t="s">
        <v>37</v>
      </c>
      <c r="B38" s="76" t="s">
        <v>38</v>
      </c>
      <c r="C38" s="77" t="s">
        <v>94</v>
      </c>
      <c r="D38" s="71">
        <v>740304.52499999991</v>
      </c>
      <c r="E38" s="78">
        <f t="shared" si="5"/>
        <v>3.704731195439176E-2</v>
      </c>
      <c r="F38" s="79">
        <v>495164</v>
      </c>
      <c r="G38" s="78">
        <f t="shared" si="6"/>
        <v>2.4534180848094136E-2</v>
      </c>
      <c r="H38" s="79">
        <v>1046083</v>
      </c>
      <c r="I38" s="78">
        <f t="shared" si="7"/>
        <v>5.1540281791622719E-2</v>
      </c>
      <c r="J38" s="79"/>
      <c r="K38" s="78">
        <f>IF(J$61=0,0,J38/J$61)</f>
        <v>0</v>
      </c>
      <c r="L38" s="79"/>
      <c r="M38" s="78">
        <f>IF(L$61=0,0,L38/L$61)</f>
        <v>0</v>
      </c>
      <c r="N38" s="79"/>
      <c r="O38" s="80">
        <f t="shared" ref="O38:O61" si="8">IF(N$61=0,0,N38/N$61)</f>
        <v>0</v>
      </c>
    </row>
    <row r="39" spans="1:16" x14ac:dyDescent="0.15">
      <c r="A39" s="75" t="s">
        <v>39</v>
      </c>
      <c r="B39" s="76" t="s">
        <v>40</v>
      </c>
      <c r="C39" s="77" t="s">
        <v>95</v>
      </c>
      <c r="D39" s="71">
        <v>197405</v>
      </c>
      <c r="E39" s="78">
        <f t="shared" si="5"/>
        <v>9.8788057743625247E-3</v>
      </c>
      <c r="F39" s="124">
        <v>365746</v>
      </c>
      <c r="G39" s="78">
        <f t="shared" si="6"/>
        <v>1.8121831369944177E-2</v>
      </c>
      <c r="H39" s="124">
        <f>89920+86730+10300</f>
        <v>186950</v>
      </c>
      <c r="I39" s="78">
        <f t="shared" si="7"/>
        <v>9.2109858213390971E-3</v>
      </c>
      <c r="J39" s="79"/>
      <c r="K39" s="78">
        <f>IF(J$61=0,0,J39/J$61)</f>
        <v>0</v>
      </c>
      <c r="L39" s="79"/>
      <c r="M39" s="78">
        <f>IF(L$61=0,0,L39/L$61)</f>
        <v>0</v>
      </c>
      <c r="N39" s="79"/>
      <c r="O39" s="80">
        <f t="shared" si="8"/>
        <v>0</v>
      </c>
    </row>
    <row r="40" spans="1:16" x14ac:dyDescent="0.15">
      <c r="A40" s="75" t="s">
        <v>41</v>
      </c>
      <c r="B40" s="76" t="s">
        <v>18</v>
      </c>
      <c r="C40" s="77" t="s">
        <v>96</v>
      </c>
      <c r="D40" s="71">
        <v>0</v>
      </c>
      <c r="E40" s="78">
        <f t="shared" si="5"/>
        <v>0</v>
      </c>
      <c r="F40" s="79">
        <v>0</v>
      </c>
      <c r="G40" s="78">
        <f t="shared" si="6"/>
        <v>0</v>
      </c>
      <c r="H40" s="124"/>
      <c r="I40" s="78">
        <f t="shared" si="7"/>
        <v>0</v>
      </c>
      <c r="J40" s="79"/>
      <c r="K40" s="78">
        <f>IF(J$61=0,0,J40/J$61)</f>
        <v>0</v>
      </c>
      <c r="L40" s="79"/>
      <c r="M40" s="78">
        <f>IF(L$61=0,0,L40/L$61)</f>
        <v>0</v>
      </c>
      <c r="N40" s="79"/>
      <c r="O40" s="80">
        <f t="shared" si="8"/>
        <v>0</v>
      </c>
      <c r="P40" s="125"/>
    </row>
    <row r="41" spans="1:16" x14ac:dyDescent="0.15">
      <c r="A41" s="75" t="s">
        <v>42</v>
      </c>
      <c r="B41" s="76" t="s">
        <v>43</v>
      </c>
      <c r="C41" s="126" t="s">
        <v>226</v>
      </c>
      <c r="D41" s="71">
        <v>0</v>
      </c>
      <c r="E41" s="78">
        <f t="shared" si="5"/>
        <v>0</v>
      </c>
      <c r="F41" s="79">
        <v>0</v>
      </c>
      <c r="G41" s="78">
        <f t="shared" si="6"/>
        <v>0</v>
      </c>
      <c r="H41" s="79">
        <v>0</v>
      </c>
      <c r="I41" s="78">
        <f t="shared" si="7"/>
        <v>0</v>
      </c>
      <c r="J41" s="79"/>
      <c r="K41" s="78">
        <f>IF(J$61=0,0,J41/J$61)</f>
        <v>0</v>
      </c>
      <c r="L41" s="79"/>
      <c r="M41" s="78">
        <f>IF(L$61=0,0,L41/L$61)</f>
        <v>0</v>
      </c>
      <c r="N41" s="79"/>
      <c r="O41" s="80">
        <f t="shared" si="8"/>
        <v>0</v>
      </c>
    </row>
    <row r="42" spans="1:16" x14ac:dyDescent="0.15">
      <c r="A42" s="75" t="s">
        <v>44</v>
      </c>
      <c r="B42" s="76" t="s">
        <v>40</v>
      </c>
      <c r="C42" s="126" t="s">
        <v>98</v>
      </c>
      <c r="D42" s="71">
        <v>0</v>
      </c>
      <c r="E42" s="78">
        <f t="shared" si="5"/>
        <v>0</v>
      </c>
      <c r="F42" s="79">
        <v>0</v>
      </c>
      <c r="G42" s="78">
        <f t="shared" si="6"/>
        <v>0</v>
      </c>
      <c r="H42" s="79"/>
      <c r="I42" s="78">
        <f t="shared" si="7"/>
        <v>0</v>
      </c>
      <c r="J42" s="79"/>
      <c r="K42" s="78">
        <f>IF(J$61=0,0,J42/J$61)</f>
        <v>0</v>
      </c>
      <c r="L42" s="79"/>
      <c r="M42" s="78">
        <f>IF(L$61=0,0,L42/L$61)</f>
        <v>0</v>
      </c>
      <c r="N42" s="79"/>
      <c r="O42" s="80">
        <f t="shared" si="8"/>
        <v>0</v>
      </c>
    </row>
    <row r="43" spans="1:16" x14ac:dyDescent="0.15">
      <c r="A43" s="75" t="s">
        <v>45</v>
      </c>
      <c r="B43" s="76" t="s">
        <v>38</v>
      </c>
      <c r="C43" s="126" t="s">
        <v>225</v>
      </c>
      <c r="D43" s="71">
        <v>0</v>
      </c>
      <c r="E43" s="78">
        <f t="shared" si="5"/>
        <v>0</v>
      </c>
      <c r="F43" s="79">
        <v>0</v>
      </c>
      <c r="G43" s="78">
        <f t="shared" si="6"/>
        <v>0</v>
      </c>
      <c r="H43" s="79">
        <v>0</v>
      </c>
      <c r="I43" s="78">
        <f t="shared" si="7"/>
        <v>0</v>
      </c>
      <c r="J43" s="79"/>
      <c r="K43" s="78">
        <f>IF(J$61=0,0,J43/J$61)</f>
        <v>0</v>
      </c>
      <c r="L43" s="79"/>
      <c r="M43" s="78">
        <f>IF(L$61=0,0,L43/L$61)</f>
        <v>0</v>
      </c>
      <c r="N43" s="79"/>
      <c r="O43" s="80">
        <f t="shared" si="8"/>
        <v>0</v>
      </c>
    </row>
    <row r="44" spans="1:16" x14ac:dyDescent="0.15">
      <c r="A44" s="75" t="s">
        <v>46</v>
      </c>
      <c r="B44" s="76" t="s">
        <v>40</v>
      </c>
      <c r="C44" s="93" t="s">
        <v>99</v>
      </c>
      <c r="D44" s="94">
        <v>0</v>
      </c>
      <c r="E44" s="83">
        <f t="shared" si="5"/>
        <v>0</v>
      </c>
      <c r="F44" s="84">
        <v>0</v>
      </c>
      <c r="G44" s="83">
        <f t="shared" si="6"/>
        <v>0</v>
      </c>
      <c r="H44" s="84">
        <v>0</v>
      </c>
      <c r="I44" s="83">
        <f t="shared" si="7"/>
        <v>0</v>
      </c>
      <c r="J44" s="84"/>
      <c r="K44" s="83">
        <f>IF(J$61=0,0,J44/J$61)</f>
        <v>0</v>
      </c>
      <c r="L44" s="84"/>
      <c r="M44" s="83">
        <f>IF(L$61=0,0,L44/L$61)</f>
        <v>0</v>
      </c>
      <c r="N44" s="84"/>
      <c r="O44" s="85">
        <f t="shared" si="8"/>
        <v>0</v>
      </c>
    </row>
    <row r="45" spans="1:16" x14ac:dyDescent="0.15">
      <c r="A45" s="75" t="s">
        <v>47</v>
      </c>
      <c r="B45" s="76" t="s">
        <v>25</v>
      </c>
      <c r="C45" s="95" t="s">
        <v>100</v>
      </c>
      <c r="D45" s="96">
        <f>SUM(D37:D44)</f>
        <v>937709.52499999991</v>
      </c>
      <c r="E45" s="97">
        <f t="shared" si="5"/>
        <v>4.6926117728754282E-2</v>
      </c>
      <c r="F45" s="98">
        <f>SUM(F37:F44)</f>
        <v>860910</v>
      </c>
      <c r="G45" s="97">
        <f t="shared" si="6"/>
        <v>4.2656012218038317E-2</v>
      </c>
      <c r="H45" s="98">
        <f>SUM(H37:H44)</f>
        <v>1233033</v>
      </c>
      <c r="I45" s="97">
        <f t="shared" si="7"/>
        <v>6.0751267612961818E-2</v>
      </c>
      <c r="J45" s="98">
        <f>SUM(J37:J44)</f>
        <v>0</v>
      </c>
      <c r="K45" s="97">
        <f>IF(J$61=0,0,J45/J$61)</f>
        <v>0</v>
      </c>
      <c r="L45" s="98">
        <f>SUM(L37:L44)</f>
        <v>0</v>
      </c>
      <c r="M45" s="97">
        <f>IF(L$61=0,0,L45/L$61)</f>
        <v>0</v>
      </c>
      <c r="N45" s="98">
        <f>SUM(N37:N44)</f>
        <v>0</v>
      </c>
      <c r="O45" s="99">
        <f t="shared" si="8"/>
        <v>0</v>
      </c>
    </row>
    <row r="46" spans="1:16" x14ac:dyDescent="0.15">
      <c r="A46" s="75" t="s">
        <v>48</v>
      </c>
      <c r="B46" s="76" t="s">
        <v>40</v>
      </c>
      <c r="C46" s="127" t="s">
        <v>247</v>
      </c>
      <c r="D46" s="102">
        <v>3000000</v>
      </c>
      <c r="E46" s="101">
        <f t="shared" si="5"/>
        <v>0.15013002367258971</v>
      </c>
      <c r="F46" s="102">
        <v>3000000</v>
      </c>
      <c r="G46" s="101">
        <f t="shared" si="6"/>
        <v>0.14864275784241668</v>
      </c>
      <c r="H46" s="102">
        <v>3000000</v>
      </c>
      <c r="I46" s="101">
        <f t="shared" si="7"/>
        <v>0.14780934722662364</v>
      </c>
      <c r="J46" s="102"/>
      <c r="K46" s="101">
        <f>IF(J$61=0,0,J46/J$61)</f>
        <v>0</v>
      </c>
      <c r="L46" s="102">
        <v>0</v>
      </c>
      <c r="M46" s="101">
        <f>IF(L$61=0,0,L46/L$61)</f>
        <v>0</v>
      </c>
      <c r="N46" s="102"/>
      <c r="O46" s="103">
        <f t="shared" si="8"/>
        <v>0</v>
      </c>
    </row>
    <row r="47" spans="1:16" x14ac:dyDescent="0.15">
      <c r="A47" s="75" t="s">
        <v>49</v>
      </c>
      <c r="B47" s="76" t="s">
        <v>23</v>
      </c>
      <c r="C47" s="107" t="s">
        <v>246</v>
      </c>
      <c r="D47" s="71">
        <v>990833</v>
      </c>
      <c r="E47" s="105">
        <f t="shared" si="5"/>
        <v>4.9584593915194361E-2</v>
      </c>
      <c r="F47" s="106">
        <v>990833</v>
      </c>
      <c r="G47" s="105">
        <f t="shared" si="6"/>
        <v>4.9093383227091746E-2</v>
      </c>
      <c r="H47" s="106">
        <v>845831</v>
      </c>
      <c r="I47" s="105">
        <f t="shared" si="7"/>
        <v>4.167390932468077E-2</v>
      </c>
      <c r="J47" s="106"/>
      <c r="K47" s="105">
        <f>IF(J$61=0,0,J47/J$61)</f>
        <v>0</v>
      </c>
      <c r="L47" s="106">
        <v>0</v>
      </c>
      <c r="M47" s="105">
        <f>IF(L$61=0,0,L47/L$61)</f>
        <v>0</v>
      </c>
      <c r="N47" s="106"/>
      <c r="O47" s="80">
        <f t="shared" si="8"/>
        <v>0</v>
      </c>
    </row>
    <row r="48" spans="1:16" x14ac:dyDescent="0.15">
      <c r="A48" s="75" t="s">
        <v>50</v>
      </c>
      <c r="B48" s="76" t="s">
        <v>20</v>
      </c>
      <c r="C48" s="104" t="s">
        <v>308</v>
      </c>
      <c r="D48" s="71">
        <v>0</v>
      </c>
      <c r="E48" s="105">
        <f t="shared" si="5"/>
        <v>0</v>
      </c>
      <c r="F48" s="106">
        <v>0</v>
      </c>
      <c r="G48" s="105">
        <f t="shared" si="6"/>
        <v>0</v>
      </c>
      <c r="H48" s="106">
        <v>0</v>
      </c>
      <c r="I48" s="105">
        <f t="shared" si="7"/>
        <v>0</v>
      </c>
      <c r="J48" s="106"/>
      <c r="K48" s="105">
        <f>IF(J$61=0,0,J48/J$61)</f>
        <v>0</v>
      </c>
      <c r="L48" s="106">
        <v>0</v>
      </c>
      <c r="M48" s="105">
        <f>IF(L$61=0,0,L48/L$61)</f>
        <v>0</v>
      </c>
      <c r="N48" s="106"/>
      <c r="O48" s="80">
        <f t="shared" si="8"/>
        <v>0</v>
      </c>
    </row>
    <row r="49" spans="1:15" x14ac:dyDescent="0.15">
      <c r="A49" s="75" t="s">
        <v>51</v>
      </c>
      <c r="B49" s="76"/>
      <c r="C49" s="107" t="s">
        <v>240</v>
      </c>
      <c r="D49" s="71">
        <v>0</v>
      </c>
      <c r="E49" s="105">
        <f t="shared" si="5"/>
        <v>0</v>
      </c>
      <c r="F49" s="106">
        <v>0</v>
      </c>
      <c r="G49" s="105">
        <f t="shared" si="6"/>
        <v>0</v>
      </c>
      <c r="H49" s="106">
        <v>0</v>
      </c>
      <c r="I49" s="105">
        <f t="shared" si="7"/>
        <v>0</v>
      </c>
      <c r="J49" s="106" t="s">
        <v>323</v>
      </c>
      <c r="K49" s="105">
        <f>IF(J$61=0,0,J49/J$61)</f>
        <v>0</v>
      </c>
      <c r="L49" s="106">
        <v>0</v>
      </c>
      <c r="M49" s="105">
        <f>IF(L$61=0,0,L49/L$61)</f>
        <v>0</v>
      </c>
      <c r="N49" s="106"/>
      <c r="O49" s="80">
        <f t="shared" si="8"/>
        <v>0</v>
      </c>
    </row>
    <row r="50" spans="1:15" x14ac:dyDescent="0.15">
      <c r="A50" s="75" t="s">
        <v>52</v>
      </c>
      <c r="B50" s="76"/>
      <c r="C50" s="104" t="s">
        <v>101</v>
      </c>
      <c r="D50" s="71">
        <v>0</v>
      </c>
      <c r="E50" s="105">
        <f t="shared" si="5"/>
        <v>0</v>
      </c>
      <c r="F50" s="106">
        <v>0</v>
      </c>
      <c r="G50" s="105">
        <f t="shared" si="6"/>
        <v>0</v>
      </c>
      <c r="H50" s="106">
        <v>0</v>
      </c>
      <c r="I50" s="105">
        <f t="shared" si="7"/>
        <v>0</v>
      </c>
      <c r="J50" s="106">
        <v>0</v>
      </c>
      <c r="K50" s="105">
        <f>IF(J$61=0,0,J50/J$61)</f>
        <v>0</v>
      </c>
      <c r="L50" s="106">
        <v>0</v>
      </c>
      <c r="M50" s="105">
        <f>IF(L$61=0,0,L50/L$61)</f>
        <v>0</v>
      </c>
      <c r="N50" s="106"/>
      <c r="O50" s="80">
        <f t="shared" si="8"/>
        <v>0</v>
      </c>
    </row>
    <row r="51" spans="1:15" x14ac:dyDescent="0.15">
      <c r="A51" s="75" t="s">
        <v>53</v>
      </c>
      <c r="B51" s="76"/>
      <c r="C51" s="128" t="s">
        <v>102</v>
      </c>
      <c r="D51" s="84">
        <v>0</v>
      </c>
      <c r="E51" s="83">
        <f t="shared" si="5"/>
        <v>0</v>
      </c>
      <c r="F51" s="84">
        <v>0</v>
      </c>
      <c r="G51" s="83">
        <f t="shared" si="6"/>
        <v>0</v>
      </c>
      <c r="H51" s="129">
        <v>0</v>
      </c>
      <c r="I51" s="83">
        <f t="shared" si="7"/>
        <v>0</v>
      </c>
      <c r="J51" s="84">
        <v>0</v>
      </c>
      <c r="K51" s="83">
        <f>IF(J$61=0,0,J51/J$61)</f>
        <v>0</v>
      </c>
      <c r="L51" s="84">
        <v>0</v>
      </c>
      <c r="M51" s="83">
        <f>IF(L$61=0,0,L51/L$61)</f>
        <v>0</v>
      </c>
      <c r="N51" s="84"/>
      <c r="O51" s="85">
        <f t="shared" si="8"/>
        <v>0</v>
      </c>
    </row>
    <row r="52" spans="1:15" x14ac:dyDescent="0.15">
      <c r="A52" s="75" t="s">
        <v>54</v>
      </c>
      <c r="B52" s="76"/>
      <c r="C52" s="130" t="s">
        <v>103</v>
      </c>
      <c r="D52" s="111">
        <f>SUM(D46:D51)</f>
        <v>3990833</v>
      </c>
      <c r="E52" s="110">
        <f t="shared" si="5"/>
        <v>0.19971461758778408</v>
      </c>
      <c r="F52" s="111">
        <f>SUM(F46:F51)</f>
        <v>3990833</v>
      </c>
      <c r="G52" s="110">
        <f t="shared" si="6"/>
        <v>0.19773614106950843</v>
      </c>
      <c r="H52" s="111">
        <f>SUM(H46:H51)</f>
        <v>3845831</v>
      </c>
      <c r="I52" s="110">
        <f t="shared" si="7"/>
        <v>0.18948325655130444</v>
      </c>
      <c r="J52" s="111">
        <f>SUM(J46:J51)</f>
        <v>0</v>
      </c>
      <c r="K52" s="110">
        <f>IF(J$61=0,0,J52/J$61)</f>
        <v>0</v>
      </c>
      <c r="L52" s="111">
        <f>SUM(L46:L51)</f>
        <v>0</v>
      </c>
      <c r="M52" s="110">
        <f>IF(L$61=0,0,L52/L$61)</f>
        <v>0</v>
      </c>
      <c r="N52" s="111">
        <f>SUM(N46:N51)</f>
        <v>0</v>
      </c>
      <c r="O52" s="112">
        <f t="shared" si="8"/>
        <v>0</v>
      </c>
    </row>
    <row r="53" spans="1:15" x14ac:dyDescent="0.15">
      <c r="A53" s="75" t="s">
        <v>55</v>
      </c>
      <c r="B53" s="76"/>
      <c r="C53" s="131" t="s">
        <v>104</v>
      </c>
      <c r="D53" s="132">
        <f>D45+D52</f>
        <v>4928542.5250000004</v>
      </c>
      <c r="E53" s="133">
        <f t="shared" si="5"/>
        <v>0.24664073531653838</v>
      </c>
      <c r="F53" s="134">
        <f>F45+F52</f>
        <v>4851743</v>
      </c>
      <c r="G53" s="133">
        <f t="shared" si="6"/>
        <v>0.24039215328754673</v>
      </c>
      <c r="H53" s="134">
        <f>H45+H52</f>
        <v>5078864</v>
      </c>
      <c r="I53" s="133">
        <f t="shared" si="7"/>
        <v>0.25023452416426623</v>
      </c>
      <c r="J53" s="134">
        <f>J45+J52</f>
        <v>0</v>
      </c>
      <c r="K53" s="133">
        <f>IF(J$61=0,0,J53/J$61)</f>
        <v>0</v>
      </c>
      <c r="L53" s="134">
        <f>L45+L52</f>
        <v>0</v>
      </c>
      <c r="M53" s="133">
        <f>IF(L$61=0,0,L53/L$61)</f>
        <v>0</v>
      </c>
      <c r="N53" s="134">
        <f>N45+N52</f>
        <v>0</v>
      </c>
      <c r="O53" s="135">
        <f t="shared" si="8"/>
        <v>0</v>
      </c>
    </row>
    <row r="54" spans="1:15" x14ac:dyDescent="0.15">
      <c r="A54" s="75" t="s">
        <v>56</v>
      </c>
      <c r="B54" s="76" t="s">
        <v>57</v>
      </c>
      <c r="C54" s="100" t="s">
        <v>105</v>
      </c>
      <c r="D54" s="136">
        <v>1000000</v>
      </c>
      <c r="E54" s="101">
        <f t="shared" si="5"/>
        <v>5.0043341224196576E-2</v>
      </c>
      <c r="F54" s="102">
        <v>1000000</v>
      </c>
      <c r="G54" s="101">
        <f t="shared" si="6"/>
        <v>4.9547585947472224E-2</v>
      </c>
      <c r="H54" s="102">
        <v>1000000</v>
      </c>
      <c r="I54" s="101">
        <f t="shared" si="7"/>
        <v>4.926978240887455E-2</v>
      </c>
      <c r="J54" s="102"/>
      <c r="K54" s="101">
        <f>IF(J$61=0,0,J54/J$61)</f>
        <v>0</v>
      </c>
      <c r="L54" s="102"/>
      <c r="M54" s="101">
        <f>IF(L$61=0,0,L54/L$61)</f>
        <v>0</v>
      </c>
      <c r="N54" s="102"/>
      <c r="O54" s="103">
        <f t="shared" si="8"/>
        <v>0</v>
      </c>
    </row>
    <row r="55" spans="1:15" x14ac:dyDescent="0.15">
      <c r="A55" s="75" t="s">
        <v>58</v>
      </c>
      <c r="B55" s="137" t="s">
        <v>23</v>
      </c>
      <c r="C55" s="104" t="s">
        <v>106</v>
      </c>
      <c r="D55" s="71">
        <f>-2099806-1994644</f>
        <v>-4094450</v>
      </c>
      <c r="E55" s="78">
        <f t="shared" si="5"/>
        <v>-0.20489995847541165</v>
      </c>
      <c r="F55" s="79">
        <v>-4341391</v>
      </c>
      <c r="G55" s="78">
        <f t="shared" si="6"/>
        <v>-0.21510544370408238</v>
      </c>
      <c r="H55" s="79">
        <v>-5296600</v>
      </c>
      <c r="I55" s="78">
        <f t="shared" si="7"/>
        <v>-0.26096232950684495</v>
      </c>
      <c r="J55" s="79"/>
      <c r="K55" s="78">
        <f>IF(J$61=0,0,J55/J$61)</f>
        <v>0</v>
      </c>
      <c r="L55" s="79"/>
      <c r="M55" s="78">
        <f>IF(L$61=0,0,L55/L$61)</f>
        <v>0</v>
      </c>
      <c r="N55" s="79"/>
      <c r="O55" s="80">
        <f t="shared" si="8"/>
        <v>0</v>
      </c>
    </row>
    <row r="56" spans="1:15" x14ac:dyDescent="0.15">
      <c r="A56" s="75" t="s">
        <v>59</v>
      </c>
      <c r="B56" s="137" t="s">
        <v>25</v>
      </c>
      <c r="C56" s="104" t="s">
        <v>107</v>
      </c>
      <c r="D56" s="71">
        <v>0</v>
      </c>
      <c r="E56" s="78">
        <f t="shared" si="5"/>
        <v>0</v>
      </c>
      <c r="F56" s="79">
        <v>0</v>
      </c>
      <c r="G56" s="78">
        <f t="shared" si="6"/>
        <v>0</v>
      </c>
      <c r="H56" s="79">
        <v>0</v>
      </c>
      <c r="I56" s="78">
        <f t="shared" si="7"/>
        <v>0</v>
      </c>
      <c r="J56" s="79"/>
      <c r="K56" s="78">
        <f>IF(J$61=0,0,J56/J$61)</f>
        <v>0</v>
      </c>
      <c r="L56" s="79"/>
      <c r="M56" s="78">
        <f>IF(L$61=0,0,L56/L$61)</f>
        <v>0</v>
      </c>
      <c r="N56" s="79"/>
      <c r="O56" s="80">
        <f t="shared" si="8"/>
        <v>0</v>
      </c>
    </row>
    <row r="57" spans="1:15" x14ac:dyDescent="0.15">
      <c r="A57" s="75" t="s">
        <v>60</v>
      </c>
      <c r="B57" s="137" t="s">
        <v>61</v>
      </c>
      <c r="C57" s="104" t="s">
        <v>227</v>
      </c>
      <c r="D57" s="71">
        <v>0</v>
      </c>
      <c r="E57" s="78">
        <f t="shared" si="5"/>
        <v>0</v>
      </c>
      <c r="F57" s="79">
        <v>0</v>
      </c>
      <c r="G57" s="78">
        <f t="shared" si="6"/>
        <v>0</v>
      </c>
      <c r="H57" s="79">
        <v>0</v>
      </c>
      <c r="I57" s="78">
        <f t="shared" si="7"/>
        <v>0</v>
      </c>
      <c r="J57" s="79"/>
      <c r="K57" s="78">
        <f>IF(J$61=0,0,J57/J$61)</f>
        <v>0</v>
      </c>
      <c r="L57" s="79"/>
      <c r="M57" s="78">
        <f>IF(L$61=0,0,L57/L$61)</f>
        <v>0</v>
      </c>
      <c r="N57" s="79"/>
      <c r="O57" s="80">
        <f t="shared" si="8"/>
        <v>0</v>
      </c>
    </row>
    <row r="58" spans="1:15" x14ac:dyDescent="0.15">
      <c r="A58" s="75" t="s">
        <v>62</v>
      </c>
      <c r="B58" s="138" t="s">
        <v>63</v>
      </c>
      <c r="C58" s="104" t="s">
        <v>108</v>
      </c>
      <c r="D58" s="71">
        <f>19681445+67400-300-3660-2100000+30000</f>
        <v>17674885</v>
      </c>
      <c r="E58" s="78">
        <f t="shared" si="5"/>
        <v>0.88451030115343365</v>
      </c>
      <c r="F58" s="124">
        <v>18148546</v>
      </c>
      <c r="G58" s="78">
        <f t="shared" si="6"/>
        <v>0.89921664275665325</v>
      </c>
      <c r="H58" s="79">
        <v>17231518</v>
      </c>
      <c r="I58" s="78">
        <f t="shared" si="7"/>
        <v>0.84899314243460522</v>
      </c>
      <c r="J58" s="79"/>
      <c r="K58" s="78">
        <f>IF(J$61=0,0,J58/J$61)</f>
        <v>0</v>
      </c>
      <c r="L58" s="79"/>
      <c r="M58" s="78">
        <f>IF(L$61=0,0,L58/L$61)</f>
        <v>0</v>
      </c>
      <c r="N58" s="79"/>
      <c r="O58" s="80">
        <f t="shared" si="8"/>
        <v>0</v>
      </c>
    </row>
    <row r="59" spans="1:15" x14ac:dyDescent="0.15">
      <c r="A59" s="75" t="s">
        <v>64</v>
      </c>
      <c r="B59" s="76" t="s">
        <v>65</v>
      </c>
      <c r="C59" s="139" t="s">
        <v>250</v>
      </c>
      <c r="D59" s="140">
        <v>473701</v>
      </c>
      <c r="E59" s="83">
        <f t="shared" si="5"/>
        <v>2.370558078124314E-2</v>
      </c>
      <c r="F59" s="141">
        <v>523720</v>
      </c>
      <c r="G59" s="83">
        <f t="shared" si="6"/>
        <v>2.5949061712410154E-2</v>
      </c>
      <c r="H59" s="84">
        <f>742663+440595+606751+492625</f>
        <v>2282634</v>
      </c>
      <c r="I59" s="83">
        <f t="shared" si="7"/>
        <v>0.11246488049909896</v>
      </c>
      <c r="J59" s="84"/>
      <c r="K59" s="83">
        <f>IF(J$61=0,0,J59/J$61)</f>
        <v>0</v>
      </c>
      <c r="L59" s="84"/>
      <c r="M59" s="83">
        <f>IF(L$61=0,0,L59/L$61)</f>
        <v>0</v>
      </c>
      <c r="N59" s="84"/>
      <c r="O59" s="85">
        <f t="shared" si="8"/>
        <v>0</v>
      </c>
    </row>
    <row r="60" spans="1:15" x14ac:dyDescent="0.15">
      <c r="A60" s="75" t="s">
        <v>66</v>
      </c>
      <c r="B60" s="76" t="s">
        <v>25</v>
      </c>
      <c r="C60" s="95" t="s">
        <v>109</v>
      </c>
      <c r="D60" s="96">
        <f>SUM(D54:D59)</f>
        <v>15054136</v>
      </c>
      <c r="E60" s="97">
        <f t="shared" si="5"/>
        <v>0.7533592646834617</v>
      </c>
      <c r="F60" s="98">
        <f>SUM(F54:F59)</f>
        <v>15330875</v>
      </c>
      <c r="G60" s="97">
        <f t="shared" si="6"/>
        <v>0.75960784671245329</v>
      </c>
      <c r="H60" s="98">
        <f>SUM(H54:H59)</f>
        <v>15217552</v>
      </c>
      <c r="I60" s="97">
        <f t="shared" si="7"/>
        <v>0.74976547583573372</v>
      </c>
      <c r="J60" s="98">
        <f>SUM(J54:J59)</f>
        <v>0</v>
      </c>
      <c r="K60" s="97">
        <f>IF(J$61=0,0,J60/J$61)</f>
        <v>0</v>
      </c>
      <c r="L60" s="98">
        <f>SUM(L54:L59)</f>
        <v>0</v>
      </c>
      <c r="M60" s="97">
        <f>IF(L$61=0,0,L60/L$61)</f>
        <v>0</v>
      </c>
      <c r="N60" s="98">
        <f>SUM(N54:N59)</f>
        <v>0</v>
      </c>
      <c r="O60" s="99">
        <f t="shared" si="8"/>
        <v>0</v>
      </c>
    </row>
    <row r="61" spans="1:15" x14ac:dyDescent="0.15">
      <c r="A61" s="142" t="s">
        <v>67</v>
      </c>
      <c r="B61" s="143" t="s">
        <v>68</v>
      </c>
      <c r="C61" s="144" t="s">
        <v>110</v>
      </c>
      <c r="D61" s="145">
        <f>D53+D60</f>
        <v>19982678.524999999</v>
      </c>
      <c r="E61" s="146">
        <f t="shared" si="5"/>
        <v>1</v>
      </c>
      <c r="F61" s="147">
        <f>F53+F60</f>
        <v>20182618</v>
      </c>
      <c r="G61" s="146">
        <f t="shared" si="6"/>
        <v>1</v>
      </c>
      <c r="H61" s="147">
        <f>H53+H60</f>
        <v>20296416</v>
      </c>
      <c r="I61" s="146">
        <f t="shared" si="7"/>
        <v>1</v>
      </c>
      <c r="J61" s="147">
        <f>J53+J60</f>
        <v>0</v>
      </c>
      <c r="K61" s="146">
        <f>IF(J$61=0,0,J61/J$61)</f>
        <v>0</v>
      </c>
      <c r="L61" s="147">
        <f>L53+L60</f>
        <v>0</v>
      </c>
      <c r="M61" s="146">
        <f>IF(L$61=0,0,L61/L$61)</f>
        <v>0</v>
      </c>
      <c r="N61" s="147">
        <f>N53+N60</f>
        <v>0</v>
      </c>
      <c r="O61" s="148">
        <f t="shared" si="8"/>
        <v>0</v>
      </c>
    </row>
    <row r="62" spans="1:15" x14ac:dyDescent="0.15">
      <c r="A62" s="142">
        <v>43</v>
      </c>
      <c r="B62" s="143"/>
      <c r="C62" s="149" t="s">
        <v>111</v>
      </c>
      <c r="D62" s="150">
        <f>D36-D61</f>
        <v>-8.3999998867511749E-2</v>
      </c>
      <c r="E62" s="151"/>
      <c r="F62" s="150">
        <f>F36-F61</f>
        <v>-0.10000000149011612</v>
      </c>
      <c r="G62" s="151"/>
      <c r="H62" s="152">
        <f>H36-H61</f>
        <v>7.5999997556209564E-2</v>
      </c>
      <c r="I62" s="151"/>
      <c r="J62" s="152">
        <f>J36-J61</f>
        <v>0</v>
      </c>
      <c r="K62" s="151"/>
      <c r="L62" s="152">
        <f>L36-L61</f>
        <v>0</v>
      </c>
      <c r="M62" s="151"/>
      <c r="N62" s="152">
        <f>N36-N61</f>
        <v>0</v>
      </c>
      <c r="O62" s="153"/>
    </row>
    <row r="68" spans="6:6" x14ac:dyDescent="0.15">
      <c r="F68" s="154"/>
    </row>
  </sheetData>
  <mergeCells count="3">
    <mergeCell ref="L1:O1"/>
    <mergeCell ref="C1:E1"/>
    <mergeCell ref="C2:E2"/>
  </mergeCells>
  <printOptions horizontalCentered="1"/>
  <pageMargins left="0" right="0" top="0.78740157480314965" bottom="0.39370078740157483" header="0.59055118110236227" footer="0.39370078740157483"/>
  <pageSetup paperSize="9" scale="95" pageOrder="overThenDown"/>
  <headerFooter alignWithMargins="0"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AM67"/>
  <sheetViews>
    <sheetView topLeftCell="AE13" zoomScale="58" workbookViewId="0">
      <selection activeCell="AM14" sqref="AM14"/>
    </sheetView>
  </sheetViews>
  <sheetFormatPr defaultColWidth="9.03515625" defaultRowHeight="12.75" x14ac:dyDescent="0.15"/>
  <cols>
    <col min="4" max="4" width="25.75390625" bestFit="1" customWidth="1"/>
    <col min="5" max="5" width="10.11328125" bestFit="1" customWidth="1"/>
    <col min="6" max="6" width="17.80078125" bestFit="1" customWidth="1"/>
    <col min="7" max="7" width="26.0234375" bestFit="1" customWidth="1"/>
    <col min="8" max="8" width="17.125" bestFit="1" customWidth="1"/>
    <col min="12" max="12" width="25.75390625" bestFit="1" customWidth="1"/>
    <col min="13" max="13" width="11.8671875" bestFit="1" customWidth="1"/>
    <col min="15" max="15" width="26.0234375" bestFit="1" customWidth="1"/>
    <col min="16" max="16" width="20.765625" bestFit="1" customWidth="1"/>
    <col min="21" max="21" width="16.046875" bestFit="1" customWidth="1"/>
    <col min="22" max="22" width="7.01171875" bestFit="1" customWidth="1"/>
    <col min="24" max="24" width="15.640625" bestFit="1" customWidth="1"/>
    <col min="28" max="28" width="16.046875" bestFit="1" customWidth="1"/>
    <col min="31" max="31" width="15.640625" bestFit="1" customWidth="1"/>
    <col min="39" max="39" width="11.4609375" bestFit="1" customWidth="1"/>
  </cols>
  <sheetData>
    <row r="2" spans="4:39" ht="20.25" x14ac:dyDescent="0.25">
      <c r="D2" s="450" t="s">
        <v>290</v>
      </c>
      <c r="E2" s="450"/>
      <c r="F2" s="450"/>
      <c r="G2" s="450"/>
      <c r="H2" s="450"/>
      <c r="L2" s="450" t="s">
        <v>291</v>
      </c>
      <c r="M2" s="450"/>
      <c r="N2" s="450"/>
      <c r="O2" s="450"/>
      <c r="P2" s="450"/>
      <c r="U2" t="s">
        <v>296</v>
      </c>
      <c r="AB2" t="s">
        <v>297</v>
      </c>
    </row>
    <row r="3" spans="4:39" ht="20.25" x14ac:dyDescent="0.25">
      <c r="D3" s="452" t="s">
        <v>259</v>
      </c>
      <c r="E3" s="452"/>
      <c r="G3" s="155"/>
      <c r="H3" s="155"/>
      <c r="L3" s="452" t="s">
        <v>259</v>
      </c>
      <c r="M3" s="452"/>
      <c r="O3" s="155"/>
      <c r="P3" s="155"/>
      <c r="U3" t="s">
        <v>259</v>
      </c>
      <c r="X3" t="s">
        <v>266</v>
      </c>
      <c r="AB3" t="s">
        <v>259</v>
      </c>
      <c r="AE3" t="s">
        <v>266</v>
      </c>
      <c r="AI3" s="451" t="s">
        <v>309</v>
      </c>
      <c r="AJ3" s="451"/>
      <c r="AK3" s="451"/>
      <c r="AL3" s="451"/>
      <c r="AM3" s="451"/>
    </row>
    <row r="4" spans="4:39" ht="20.25" x14ac:dyDescent="0.25">
      <c r="D4" s="448" t="s">
        <v>252</v>
      </c>
      <c r="E4" s="449"/>
      <c r="G4" s="450" t="s">
        <v>266</v>
      </c>
      <c r="H4" s="450"/>
      <c r="L4" s="448" t="s">
        <v>252</v>
      </c>
      <c r="M4" s="449"/>
      <c r="O4" s="450" t="s">
        <v>266</v>
      </c>
      <c r="P4" s="450"/>
      <c r="U4" s="156" t="s">
        <v>252</v>
      </c>
      <c r="V4" s="156"/>
      <c r="X4" t="s">
        <v>267</v>
      </c>
      <c r="Y4">
        <v>10000</v>
      </c>
      <c r="AB4" s="156" t="s">
        <v>252</v>
      </c>
      <c r="AC4" s="156"/>
      <c r="AE4" t="s">
        <v>302</v>
      </c>
      <c r="AF4">
        <v>5000</v>
      </c>
      <c r="AI4" t="s">
        <v>259</v>
      </c>
      <c r="AL4" t="s">
        <v>266</v>
      </c>
    </row>
    <row r="5" spans="4:39" ht="20.25" x14ac:dyDescent="0.25">
      <c r="D5" s="157" t="s">
        <v>260</v>
      </c>
      <c r="E5" s="157">
        <v>2500</v>
      </c>
      <c r="G5" s="155" t="s">
        <v>267</v>
      </c>
      <c r="H5" s="155">
        <v>15000</v>
      </c>
      <c r="L5" s="157" t="s">
        <v>260</v>
      </c>
      <c r="M5" s="157">
        <v>0</v>
      </c>
      <c r="O5" s="155" t="s">
        <v>267</v>
      </c>
      <c r="P5" s="155">
        <v>0</v>
      </c>
      <c r="U5" s="156" t="s">
        <v>260</v>
      </c>
      <c r="V5" s="156">
        <v>2500</v>
      </c>
      <c r="X5" t="s">
        <v>268</v>
      </c>
      <c r="Y5">
        <v>12413</v>
      </c>
      <c r="AB5" s="156" t="s">
        <v>260</v>
      </c>
      <c r="AC5" s="156">
        <v>1000</v>
      </c>
      <c r="AE5" t="s">
        <v>268</v>
      </c>
      <c r="AF5" s="156">
        <v>16055</v>
      </c>
      <c r="AI5" t="s">
        <v>252</v>
      </c>
      <c r="AL5" t="s">
        <v>302</v>
      </c>
      <c r="AM5">
        <v>0</v>
      </c>
    </row>
    <row r="6" spans="4:39" ht="20.25" x14ac:dyDescent="0.25">
      <c r="D6" s="157" t="s">
        <v>261</v>
      </c>
      <c r="E6" s="157">
        <v>1000</v>
      </c>
      <c r="G6" s="155" t="s">
        <v>268</v>
      </c>
      <c r="H6" s="155">
        <v>17400</v>
      </c>
      <c r="L6" s="157" t="s">
        <v>261</v>
      </c>
      <c r="M6" s="157">
        <v>500</v>
      </c>
      <c r="O6" s="155" t="s">
        <v>268</v>
      </c>
      <c r="P6" s="155">
        <v>21083</v>
      </c>
      <c r="U6" s="156"/>
      <c r="V6" s="156"/>
      <c r="X6" t="s">
        <v>271</v>
      </c>
      <c r="Y6">
        <v>0</v>
      </c>
      <c r="AB6" s="156" t="s">
        <v>258</v>
      </c>
      <c r="AC6" s="156">
        <v>4500</v>
      </c>
      <c r="AE6" t="s">
        <v>263</v>
      </c>
      <c r="AF6" s="156">
        <v>1000</v>
      </c>
      <c r="AI6" t="s">
        <v>260</v>
      </c>
      <c r="AJ6">
        <v>500</v>
      </c>
      <c r="AL6" t="s">
        <v>268</v>
      </c>
      <c r="AM6">
        <v>15000</v>
      </c>
    </row>
    <row r="7" spans="4:39" ht="20.25" x14ac:dyDescent="0.25">
      <c r="D7" s="157" t="s">
        <v>262</v>
      </c>
      <c r="E7" s="157">
        <v>10000</v>
      </c>
      <c r="G7" s="450" t="s">
        <v>271</v>
      </c>
      <c r="H7" s="450"/>
      <c r="L7" s="157" t="s">
        <v>262</v>
      </c>
      <c r="M7" s="157">
        <v>9000</v>
      </c>
      <c r="O7" s="450" t="s">
        <v>271</v>
      </c>
      <c r="P7" s="450"/>
      <c r="U7" s="156" t="s">
        <v>261</v>
      </c>
      <c r="V7" s="156">
        <v>0</v>
      </c>
      <c r="X7" s="156" t="s">
        <v>272</v>
      </c>
      <c r="Y7" s="156">
        <v>550000</v>
      </c>
      <c r="AB7" s="156" t="s">
        <v>298</v>
      </c>
      <c r="AC7" s="156">
        <v>5000</v>
      </c>
      <c r="AE7" t="s">
        <v>271</v>
      </c>
      <c r="AF7">
        <v>0</v>
      </c>
      <c r="AI7" t="s">
        <v>258</v>
      </c>
      <c r="AJ7">
        <v>1500</v>
      </c>
      <c r="AL7" t="s">
        <v>263</v>
      </c>
      <c r="AM7">
        <v>0</v>
      </c>
    </row>
    <row r="8" spans="4:39" ht="20.25" x14ac:dyDescent="0.25">
      <c r="D8" s="157" t="s">
        <v>263</v>
      </c>
      <c r="E8" s="157">
        <v>2000</v>
      </c>
      <c r="G8" s="155" t="s">
        <v>272</v>
      </c>
      <c r="H8" s="155">
        <v>550000</v>
      </c>
      <c r="L8" s="157" t="s">
        <v>263</v>
      </c>
      <c r="M8" s="157">
        <v>1500</v>
      </c>
      <c r="O8" s="155" t="s">
        <v>272</v>
      </c>
      <c r="P8" s="155">
        <v>550000</v>
      </c>
      <c r="U8" s="156" t="s">
        <v>262</v>
      </c>
      <c r="V8" s="156" t="s">
        <v>75</v>
      </c>
      <c r="X8" s="156" t="s">
        <v>273</v>
      </c>
      <c r="Y8" s="156">
        <v>550000</v>
      </c>
      <c r="AB8" s="156" t="s">
        <v>262</v>
      </c>
      <c r="AC8" s="156">
        <v>5000</v>
      </c>
      <c r="AE8" s="156" t="s">
        <v>272</v>
      </c>
      <c r="AF8" s="156">
        <v>550000</v>
      </c>
      <c r="AI8" t="s">
        <v>298</v>
      </c>
      <c r="AJ8">
        <v>5000</v>
      </c>
      <c r="AL8" t="s">
        <v>271</v>
      </c>
      <c r="AM8">
        <v>0</v>
      </c>
    </row>
    <row r="9" spans="4:39" ht="20.25" x14ac:dyDescent="0.25">
      <c r="D9" s="157"/>
      <c r="E9" s="157"/>
      <c r="G9" s="155" t="s">
        <v>273</v>
      </c>
      <c r="H9" s="155">
        <v>550000</v>
      </c>
      <c r="L9" s="157" t="s">
        <v>293</v>
      </c>
      <c r="M9" s="157">
        <v>10000</v>
      </c>
      <c r="O9" s="155" t="s">
        <v>273</v>
      </c>
      <c r="P9" s="155">
        <v>550000</v>
      </c>
      <c r="U9" s="156" t="s">
        <v>263</v>
      </c>
      <c r="V9" s="156">
        <v>1000</v>
      </c>
      <c r="X9" s="156" t="s">
        <v>274</v>
      </c>
      <c r="Y9" s="156">
        <v>50000</v>
      </c>
      <c r="AB9" s="156"/>
      <c r="AC9" s="156"/>
      <c r="AE9" s="156" t="s">
        <v>273</v>
      </c>
      <c r="AF9" s="156">
        <v>550000</v>
      </c>
      <c r="AI9" t="s">
        <v>262</v>
      </c>
      <c r="AJ9">
        <v>4000</v>
      </c>
      <c r="AL9" t="s">
        <v>272</v>
      </c>
      <c r="AM9">
        <v>550000</v>
      </c>
    </row>
    <row r="10" spans="4:39" ht="20.25" x14ac:dyDescent="0.25">
      <c r="D10" s="157"/>
      <c r="E10" s="157"/>
      <c r="G10" s="155" t="s">
        <v>274</v>
      </c>
      <c r="H10" s="155">
        <v>50000</v>
      </c>
      <c r="L10" s="157" t="s">
        <v>294</v>
      </c>
      <c r="M10" s="157">
        <v>12000</v>
      </c>
      <c r="O10" s="155" t="s">
        <v>274</v>
      </c>
      <c r="P10" s="155">
        <v>50000</v>
      </c>
      <c r="U10" s="156" t="s">
        <v>293</v>
      </c>
      <c r="V10" s="156">
        <v>19000</v>
      </c>
      <c r="X10" t="s">
        <v>276</v>
      </c>
      <c r="Y10">
        <v>0</v>
      </c>
      <c r="AB10" s="156" t="s">
        <v>293</v>
      </c>
      <c r="AC10" s="156">
        <v>19180</v>
      </c>
      <c r="AE10" s="156" t="s">
        <v>274</v>
      </c>
      <c r="AF10" s="156">
        <v>50000</v>
      </c>
      <c r="AI10" t="s">
        <v>310</v>
      </c>
      <c r="AJ10">
        <v>5000</v>
      </c>
      <c r="AL10" t="s">
        <v>273</v>
      </c>
      <c r="AM10">
        <v>550000</v>
      </c>
    </row>
    <row r="11" spans="4:39" ht="20.25" x14ac:dyDescent="0.25">
      <c r="D11" s="448" t="s">
        <v>253</v>
      </c>
      <c r="E11" s="449"/>
      <c r="G11" s="155" t="s">
        <v>276</v>
      </c>
      <c r="H11" s="155">
        <v>29500</v>
      </c>
      <c r="L11" s="448" t="s">
        <v>253</v>
      </c>
      <c r="M11" s="449"/>
      <c r="O11" s="155" t="s">
        <v>276</v>
      </c>
      <c r="P11" s="155">
        <f>29500+28000</f>
        <v>57500</v>
      </c>
      <c r="U11" s="156" t="s">
        <v>294</v>
      </c>
      <c r="V11" s="156">
        <v>11000</v>
      </c>
      <c r="X11" t="s">
        <v>292</v>
      </c>
      <c r="Y11">
        <v>0</v>
      </c>
      <c r="AB11" s="156" t="s">
        <v>294</v>
      </c>
      <c r="AC11" s="156">
        <v>11000</v>
      </c>
      <c r="AE11" t="s">
        <v>276</v>
      </c>
      <c r="AF11">
        <v>0</v>
      </c>
      <c r="AI11" t="s">
        <v>293</v>
      </c>
      <c r="AJ11">
        <v>17180</v>
      </c>
      <c r="AL11" t="s">
        <v>274</v>
      </c>
      <c r="AM11">
        <v>50000</v>
      </c>
    </row>
    <row r="12" spans="4:39" ht="20.25" x14ac:dyDescent="0.25">
      <c r="D12" s="157" t="s">
        <v>258</v>
      </c>
      <c r="E12" s="157">
        <v>1000</v>
      </c>
      <c r="G12" s="155" t="s">
        <v>289</v>
      </c>
      <c r="H12" s="155">
        <f>100000-32600</f>
        <v>67400</v>
      </c>
      <c r="L12" s="157" t="s">
        <v>258</v>
      </c>
      <c r="M12" s="157">
        <v>1000</v>
      </c>
      <c r="O12" s="155" t="s">
        <v>292</v>
      </c>
      <c r="P12" s="155">
        <f>100000-32600+28000-80000</f>
        <v>15400</v>
      </c>
      <c r="U12" s="156" t="s">
        <v>295</v>
      </c>
      <c r="V12" s="156">
        <v>3000</v>
      </c>
      <c r="X12" t="s">
        <v>277</v>
      </c>
      <c r="Y12">
        <v>0</v>
      </c>
      <c r="AB12" s="156" t="s">
        <v>263</v>
      </c>
      <c r="AC12" s="156">
        <v>3000</v>
      </c>
      <c r="AE12" t="s">
        <v>292</v>
      </c>
      <c r="AF12">
        <v>150000</v>
      </c>
      <c r="AI12" t="s">
        <v>294</v>
      </c>
      <c r="AJ12">
        <v>10000</v>
      </c>
      <c r="AL12" t="s">
        <v>276</v>
      </c>
      <c r="AM12">
        <v>153865</v>
      </c>
    </row>
    <row r="13" spans="4:39" ht="20.25" x14ac:dyDescent="0.25">
      <c r="D13" s="157" t="s">
        <v>265</v>
      </c>
      <c r="E13" s="157">
        <v>1000</v>
      </c>
      <c r="G13" s="155" t="s">
        <v>277</v>
      </c>
      <c r="H13" s="155">
        <v>381000</v>
      </c>
      <c r="L13" s="157" t="s">
        <v>265</v>
      </c>
      <c r="M13" s="157">
        <v>1000</v>
      </c>
      <c r="O13" s="155" t="s">
        <v>277</v>
      </c>
      <c r="P13" s="155">
        <v>381000</v>
      </c>
      <c r="U13" t="s">
        <v>253</v>
      </c>
      <c r="X13" t="s">
        <v>278</v>
      </c>
      <c r="Y13">
        <v>381000</v>
      </c>
      <c r="AB13" s="156" t="s">
        <v>295</v>
      </c>
      <c r="AC13" s="156">
        <v>1000</v>
      </c>
      <c r="AE13" t="s">
        <v>277</v>
      </c>
      <c r="AF13">
        <v>381000</v>
      </c>
      <c r="AI13" t="s">
        <v>263</v>
      </c>
      <c r="AJ13">
        <v>4500</v>
      </c>
      <c r="AL13" t="s">
        <v>292</v>
      </c>
      <c r="AM13">
        <v>0</v>
      </c>
    </row>
    <row r="14" spans="4:39" ht="20.25" x14ac:dyDescent="0.25">
      <c r="D14" s="157" t="s">
        <v>269</v>
      </c>
      <c r="E14" s="157">
        <v>1000</v>
      </c>
      <c r="G14" s="450" t="s">
        <v>278</v>
      </c>
      <c r="H14" s="450"/>
      <c r="L14" s="157" t="s">
        <v>269</v>
      </c>
      <c r="M14" s="157">
        <v>1000</v>
      </c>
      <c r="O14" s="450" t="s">
        <v>278</v>
      </c>
      <c r="P14" s="450"/>
      <c r="U14" t="s">
        <v>258</v>
      </c>
      <c r="V14">
        <v>1000</v>
      </c>
      <c r="X14" s="156" t="s">
        <v>272</v>
      </c>
      <c r="Y14" s="156">
        <v>2274379.5</v>
      </c>
      <c r="AB14" s="156" t="s">
        <v>253</v>
      </c>
      <c r="AC14" s="156"/>
      <c r="AE14" t="s">
        <v>278</v>
      </c>
      <c r="AF14">
        <v>0</v>
      </c>
      <c r="AI14" t="s">
        <v>311</v>
      </c>
      <c r="AJ14">
        <v>4000</v>
      </c>
      <c r="AL14" t="s">
        <v>277</v>
      </c>
      <c r="AM14">
        <v>0</v>
      </c>
    </row>
    <row r="15" spans="4:39" ht="20.25" x14ac:dyDescent="0.25">
      <c r="D15" s="157" t="s">
        <v>270</v>
      </c>
      <c r="E15" s="157">
        <v>3000</v>
      </c>
      <c r="G15" s="155" t="s">
        <v>272</v>
      </c>
      <c r="H15" s="155">
        <v>1994644.5</v>
      </c>
      <c r="L15" s="157" t="s">
        <v>270</v>
      </c>
      <c r="M15" s="157">
        <v>3000</v>
      </c>
      <c r="O15" s="155" t="s">
        <v>272</v>
      </c>
      <c r="P15" s="155">
        <v>2126379.5</v>
      </c>
      <c r="U15" t="s">
        <v>265</v>
      </c>
      <c r="V15">
        <v>1000</v>
      </c>
      <c r="X15" s="156" t="s">
        <v>279</v>
      </c>
      <c r="Y15" s="156">
        <v>2371051.5</v>
      </c>
      <c r="AB15" s="156" t="s">
        <v>258</v>
      </c>
      <c r="AC15" s="156">
        <v>1000</v>
      </c>
      <c r="AE15" s="156" t="s">
        <v>272</v>
      </c>
      <c r="AF15">
        <v>0</v>
      </c>
      <c r="AI15" t="s">
        <v>253</v>
      </c>
      <c r="AJ15">
        <v>0</v>
      </c>
      <c r="AL15" t="s">
        <v>278</v>
      </c>
      <c r="AM15">
        <v>0</v>
      </c>
    </row>
    <row r="16" spans="4:39" ht="20.25" x14ac:dyDescent="0.25">
      <c r="D16" s="157" t="s">
        <v>275</v>
      </c>
      <c r="E16" s="157">
        <v>1000</v>
      </c>
      <c r="G16" s="155" t="s">
        <v>279</v>
      </c>
      <c r="H16" s="155">
        <v>2099806.5</v>
      </c>
      <c r="L16" s="157" t="s">
        <v>275</v>
      </c>
      <c r="M16" s="157">
        <v>1000</v>
      </c>
      <c r="O16" s="155" t="s">
        <v>279</v>
      </c>
      <c r="P16" s="155">
        <v>2215011.5</v>
      </c>
      <c r="U16" t="s">
        <v>269</v>
      </c>
      <c r="V16">
        <v>1000</v>
      </c>
      <c r="AB16" s="156" t="s">
        <v>300</v>
      </c>
      <c r="AC16" s="156">
        <v>1000</v>
      </c>
      <c r="AE16" s="156" t="s">
        <v>279</v>
      </c>
      <c r="AF16">
        <v>0</v>
      </c>
      <c r="AI16" t="s">
        <v>258</v>
      </c>
      <c r="AJ16">
        <v>1000</v>
      </c>
      <c r="AL16" t="s">
        <v>272</v>
      </c>
      <c r="AM16">
        <v>2758009.5</v>
      </c>
    </row>
    <row r="17" spans="4:39" ht="20.25" x14ac:dyDescent="0.25">
      <c r="D17" s="157"/>
      <c r="E17" s="157"/>
      <c r="G17" s="155"/>
      <c r="H17" s="155"/>
      <c r="L17" s="157"/>
      <c r="M17" s="157"/>
      <c r="O17" s="155"/>
      <c r="P17" s="155"/>
      <c r="U17" t="s">
        <v>270</v>
      </c>
      <c r="V17">
        <v>3000</v>
      </c>
      <c r="AB17" s="156" t="s">
        <v>299</v>
      </c>
      <c r="AC17" s="156">
        <v>1000</v>
      </c>
      <c r="AI17" t="s">
        <v>312</v>
      </c>
      <c r="AJ17">
        <v>1000</v>
      </c>
      <c r="AL17" t="s">
        <v>279</v>
      </c>
      <c r="AM17">
        <v>2842231.5</v>
      </c>
    </row>
    <row r="18" spans="4:39" ht="20.25" x14ac:dyDescent="0.25">
      <c r="D18" s="448" t="s">
        <v>254</v>
      </c>
      <c r="E18" s="449"/>
      <c r="G18" s="155"/>
      <c r="H18" s="155"/>
      <c r="L18" s="448" t="s">
        <v>254</v>
      </c>
      <c r="M18" s="449"/>
      <c r="O18" s="155"/>
      <c r="P18" s="155"/>
      <c r="U18" t="s">
        <v>275</v>
      </c>
      <c r="V18">
        <v>1000</v>
      </c>
      <c r="X18" t="s">
        <v>281</v>
      </c>
      <c r="Y18">
        <v>0</v>
      </c>
      <c r="AB18" s="156" t="s">
        <v>270</v>
      </c>
      <c r="AC18" s="156">
        <v>0</v>
      </c>
      <c r="AI18" t="s">
        <v>299</v>
      </c>
      <c r="AJ18">
        <v>1000</v>
      </c>
      <c r="AM18">
        <v>0</v>
      </c>
    </row>
    <row r="19" spans="4:39" ht="20.25" x14ac:dyDescent="0.25">
      <c r="D19" s="157" t="s">
        <v>255</v>
      </c>
      <c r="E19" s="157">
        <v>41484</v>
      </c>
      <c r="G19" s="155" t="s">
        <v>281</v>
      </c>
      <c r="H19" s="155">
        <v>21175</v>
      </c>
      <c r="L19" s="157" t="s">
        <v>255</v>
      </c>
      <c r="M19" s="157">
        <f>-8347-10600</f>
        <v>-18947</v>
      </c>
      <c r="O19" s="155" t="s">
        <v>281</v>
      </c>
      <c r="P19" s="155">
        <v>0</v>
      </c>
      <c r="X19" t="s">
        <v>283</v>
      </c>
      <c r="AB19" s="156" t="s">
        <v>275</v>
      </c>
      <c r="AC19" s="156">
        <v>1000</v>
      </c>
      <c r="AE19" t="s">
        <v>281</v>
      </c>
      <c r="AF19">
        <v>0</v>
      </c>
      <c r="AJ19">
        <v>0</v>
      </c>
      <c r="AM19">
        <v>0</v>
      </c>
    </row>
    <row r="20" spans="4:39" ht="20.25" x14ac:dyDescent="0.25">
      <c r="D20" s="157" t="s">
        <v>256</v>
      </c>
      <c r="E20" s="157">
        <v>31197</v>
      </c>
      <c r="G20" s="450" t="s">
        <v>283</v>
      </c>
      <c r="H20" s="450"/>
      <c r="L20" s="157" t="s">
        <v>256</v>
      </c>
      <c r="M20" s="157">
        <v>109399</v>
      </c>
      <c r="O20" s="450" t="s">
        <v>283</v>
      </c>
      <c r="P20" s="450"/>
      <c r="U20" t="s">
        <v>254</v>
      </c>
      <c r="X20" t="s">
        <v>284</v>
      </c>
      <c r="Y20">
        <v>0</v>
      </c>
      <c r="AB20" s="156"/>
      <c r="AC20" s="156"/>
      <c r="AE20" t="s">
        <v>283</v>
      </c>
      <c r="AI20" t="s">
        <v>275</v>
      </c>
      <c r="AJ20">
        <v>1000</v>
      </c>
      <c r="AL20" t="s">
        <v>281</v>
      </c>
      <c r="AM20">
        <v>0</v>
      </c>
    </row>
    <row r="21" spans="4:39" ht="20.25" x14ac:dyDescent="0.25">
      <c r="D21" s="157" t="s">
        <v>257</v>
      </c>
      <c r="E21" s="157">
        <v>63702</v>
      </c>
      <c r="G21" s="155" t="s">
        <v>284</v>
      </c>
      <c r="H21" s="155">
        <f>77095.3333333333+300</f>
        <v>77395.333333333299</v>
      </c>
      <c r="L21" s="157" t="s">
        <v>257</v>
      </c>
      <c r="M21" s="157">
        <v>33316</v>
      </c>
      <c r="O21" s="155" t="s">
        <v>284</v>
      </c>
      <c r="P21" s="155">
        <v>0</v>
      </c>
      <c r="U21" t="s">
        <v>255</v>
      </c>
      <c r="V21">
        <v>-34328</v>
      </c>
      <c r="X21" t="s">
        <v>285</v>
      </c>
      <c r="Y21">
        <v>0</v>
      </c>
      <c r="AB21" s="156" t="s">
        <v>254</v>
      </c>
      <c r="AC21" s="156"/>
      <c r="AE21" t="s">
        <v>284</v>
      </c>
      <c r="AF21">
        <v>0</v>
      </c>
      <c r="AL21" t="s">
        <v>283</v>
      </c>
      <c r="AM21">
        <v>0</v>
      </c>
    </row>
    <row r="22" spans="4:39" ht="20.25" x14ac:dyDescent="0.25">
      <c r="D22" s="157" t="s">
        <v>264</v>
      </c>
      <c r="E22" s="157">
        <v>19330</v>
      </c>
      <c r="G22" s="155" t="s">
        <v>285</v>
      </c>
      <c r="H22" s="155">
        <v>59010</v>
      </c>
      <c r="L22" s="157" t="s">
        <v>264</v>
      </c>
      <c r="M22" s="157">
        <v>12330</v>
      </c>
      <c r="O22" s="155" t="s">
        <v>285</v>
      </c>
      <c r="P22" s="155">
        <v>0</v>
      </c>
      <c r="U22" t="s">
        <v>256</v>
      </c>
      <c r="V22">
        <v>176069</v>
      </c>
      <c r="X22" t="s">
        <v>286</v>
      </c>
      <c r="Y22">
        <v>0</v>
      </c>
      <c r="AB22" s="156" t="s">
        <v>255</v>
      </c>
      <c r="AC22" s="156">
        <v>6592</v>
      </c>
      <c r="AE22" t="s">
        <v>285</v>
      </c>
      <c r="AF22">
        <v>0</v>
      </c>
      <c r="AI22" t="s">
        <v>254</v>
      </c>
      <c r="AL22" t="s">
        <v>284</v>
      </c>
    </row>
    <row r="23" spans="4:39" ht="20.25" x14ac:dyDescent="0.25">
      <c r="D23" s="157"/>
      <c r="E23" s="157"/>
      <c r="G23" s="155" t="s">
        <v>286</v>
      </c>
      <c r="H23" s="155">
        <v>44000</v>
      </c>
      <c r="L23" s="157"/>
      <c r="M23" s="157"/>
      <c r="O23" s="155" t="s">
        <v>286</v>
      </c>
      <c r="P23" s="155">
        <v>0</v>
      </c>
      <c r="U23" t="s">
        <v>257</v>
      </c>
      <c r="V23">
        <v>124460</v>
      </c>
      <c r="X23" t="s">
        <v>287</v>
      </c>
      <c r="Y23">
        <v>12000</v>
      </c>
      <c r="AB23" s="156" t="s">
        <v>256</v>
      </c>
      <c r="AC23" s="156">
        <v>414091</v>
      </c>
      <c r="AE23" t="s">
        <v>286</v>
      </c>
      <c r="AF23">
        <v>0</v>
      </c>
      <c r="AI23" t="s">
        <v>255</v>
      </c>
      <c r="AJ23">
        <v>-121002</v>
      </c>
      <c r="AL23" t="s">
        <v>285</v>
      </c>
      <c r="AM23">
        <v>54950</v>
      </c>
    </row>
    <row r="24" spans="4:39" ht="20.25" x14ac:dyDescent="0.25">
      <c r="D24" s="155"/>
      <c r="E24" s="155"/>
      <c r="G24" s="155" t="s">
        <v>287</v>
      </c>
      <c r="H24" s="155">
        <v>12000</v>
      </c>
      <c r="L24" s="155"/>
      <c r="M24" s="155"/>
      <c r="O24" s="155" t="s">
        <v>287</v>
      </c>
      <c r="P24" s="155">
        <v>12000</v>
      </c>
      <c r="U24" t="s">
        <v>264</v>
      </c>
      <c r="V24">
        <v>0</v>
      </c>
      <c r="X24" t="s">
        <v>288</v>
      </c>
      <c r="Y24">
        <v>0</v>
      </c>
      <c r="AB24" s="156" t="s">
        <v>301</v>
      </c>
      <c r="AC24" s="156">
        <v>42405</v>
      </c>
      <c r="AI24" t="s">
        <v>256</v>
      </c>
      <c r="AJ24">
        <v>173558</v>
      </c>
      <c r="AL24" t="s">
        <v>286</v>
      </c>
      <c r="AM24">
        <v>0</v>
      </c>
    </row>
    <row r="25" spans="4:39" ht="20.25" x14ac:dyDescent="0.25">
      <c r="D25" s="450"/>
      <c r="E25" s="450"/>
      <c r="G25" s="155" t="s">
        <v>288</v>
      </c>
      <c r="H25" s="155">
        <v>5000</v>
      </c>
      <c r="L25" s="450"/>
      <c r="M25" s="450"/>
      <c r="O25" s="155" t="s">
        <v>288</v>
      </c>
      <c r="P25" s="155">
        <v>5000</v>
      </c>
      <c r="AB25" s="156" t="s">
        <v>303</v>
      </c>
      <c r="AC25" s="156">
        <v>100155</v>
      </c>
      <c r="AE25" s="81" t="s">
        <v>304</v>
      </c>
      <c r="AF25">
        <v>1650</v>
      </c>
      <c r="AI25" t="s">
        <v>301</v>
      </c>
      <c r="AJ25">
        <v>125</v>
      </c>
      <c r="AM25">
        <v>0</v>
      </c>
    </row>
    <row r="26" spans="4:39" ht="20.25" x14ac:dyDescent="0.25">
      <c r="D26" s="155"/>
      <c r="E26" s="155"/>
      <c r="G26" s="155"/>
      <c r="H26" s="155"/>
      <c r="AE26" s="81" t="s">
        <v>305</v>
      </c>
      <c r="AF26">
        <v>6000</v>
      </c>
      <c r="AI26" t="s">
        <v>303</v>
      </c>
      <c r="AJ26">
        <v>0</v>
      </c>
      <c r="AL26" t="s">
        <v>304</v>
      </c>
      <c r="AM26">
        <v>2000</v>
      </c>
    </row>
    <row r="27" spans="4:39" ht="20.25" x14ac:dyDescent="0.25">
      <c r="D27" s="155"/>
      <c r="E27" s="155"/>
      <c r="AJ27">
        <f>SUM(AJ5:AJ26)</f>
        <v>108361</v>
      </c>
      <c r="AL27" t="s">
        <v>305</v>
      </c>
      <c r="AM27">
        <v>10000</v>
      </c>
    </row>
    <row r="28" spans="4:39" x14ac:dyDescent="0.15">
      <c r="D28" s="446"/>
      <c r="E28" s="447"/>
      <c r="AL28" t="s">
        <v>313</v>
      </c>
      <c r="AM28">
        <v>13302</v>
      </c>
    </row>
    <row r="29" spans="4:39" x14ac:dyDescent="0.15">
      <c r="D29" s="81"/>
    </row>
    <row r="30" spans="4:39" x14ac:dyDescent="0.15">
      <c r="D30" s="81"/>
      <c r="AI30" t="s">
        <v>314</v>
      </c>
      <c r="AM30">
        <v>0</v>
      </c>
    </row>
    <row r="31" spans="4:39" x14ac:dyDescent="0.15">
      <c r="D31" s="81"/>
      <c r="AI31" t="s">
        <v>315</v>
      </c>
    </row>
    <row r="32" spans="4:39" x14ac:dyDescent="0.15">
      <c r="D32" s="81"/>
      <c r="AI32" t="s">
        <v>316</v>
      </c>
      <c r="AJ32" t="s">
        <v>75</v>
      </c>
    </row>
    <row r="33" spans="4:36" x14ac:dyDescent="0.15">
      <c r="D33" s="81"/>
      <c r="AI33" t="s">
        <v>317</v>
      </c>
      <c r="AJ33">
        <v>3000000</v>
      </c>
    </row>
    <row r="34" spans="4:36" x14ac:dyDescent="0.15">
      <c r="D34" s="81"/>
      <c r="AI34" t="s">
        <v>318</v>
      </c>
      <c r="AJ34">
        <v>797497</v>
      </c>
    </row>
    <row r="35" spans="4:36" x14ac:dyDescent="0.15">
      <c r="D35" s="446"/>
      <c r="E35" s="446"/>
      <c r="AI35" t="s">
        <v>319</v>
      </c>
    </row>
    <row r="36" spans="4:36" x14ac:dyDescent="0.15">
      <c r="D36" s="81"/>
      <c r="AI36" t="s">
        <v>320</v>
      </c>
      <c r="AJ36">
        <v>1024190</v>
      </c>
    </row>
    <row r="37" spans="4:36" x14ac:dyDescent="0.15">
      <c r="D37" s="81"/>
      <c r="F37" s="81"/>
      <c r="AI37" t="s">
        <v>321</v>
      </c>
      <c r="AJ37">
        <v>220000</v>
      </c>
    </row>
    <row r="40" spans="4:36" x14ac:dyDescent="0.15">
      <c r="D40" s="81"/>
    </row>
    <row r="41" spans="4:36" x14ac:dyDescent="0.15">
      <c r="D41" s="446"/>
      <c r="E41" s="447"/>
    </row>
    <row r="42" spans="4:36" x14ac:dyDescent="0.15">
      <c r="D42" s="81"/>
    </row>
    <row r="43" spans="4:36" x14ac:dyDescent="0.15">
      <c r="D43" s="81"/>
    </row>
    <row r="44" spans="4:36" x14ac:dyDescent="0.15">
      <c r="D44" s="81"/>
    </row>
    <row r="45" spans="4:36" x14ac:dyDescent="0.15">
      <c r="D45" s="81"/>
    </row>
    <row r="46" spans="4:36" x14ac:dyDescent="0.15">
      <c r="D46" s="81"/>
    </row>
    <row r="61" spans="6:6" x14ac:dyDescent="0.15">
      <c r="F61" s="81" t="s">
        <v>280</v>
      </c>
    </row>
    <row r="62" spans="6:6" x14ac:dyDescent="0.15">
      <c r="F62" s="81" t="s">
        <v>280</v>
      </c>
    </row>
    <row r="67" spans="6:6" x14ac:dyDescent="0.15">
      <c r="F67" s="81" t="s">
        <v>282</v>
      </c>
    </row>
  </sheetData>
  <mergeCells count="24">
    <mergeCell ref="D2:H2"/>
    <mergeCell ref="L2:P2"/>
    <mergeCell ref="D28:E28"/>
    <mergeCell ref="D3:E3"/>
    <mergeCell ref="D25:E25"/>
    <mergeCell ref="L25:M25"/>
    <mergeCell ref="D18:E18"/>
    <mergeCell ref="O7:P7"/>
    <mergeCell ref="AI3:AM3"/>
    <mergeCell ref="D4:E4"/>
    <mergeCell ref="G4:H4"/>
    <mergeCell ref="L3:M3"/>
    <mergeCell ref="G7:H7"/>
    <mergeCell ref="L4:M4"/>
    <mergeCell ref="O4:P4"/>
    <mergeCell ref="D41:E41"/>
    <mergeCell ref="L11:M11"/>
    <mergeCell ref="O20:P20"/>
    <mergeCell ref="G20:H20"/>
    <mergeCell ref="D11:E11"/>
    <mergeCell ref="L18:M18"/>
    <mergeCell ref="G14:H14"/>
    <mergeCell ref="D35:E35"/>
    <mergeCell ref="O14:P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topLeftCell="C1" zoomScale="58" workbookViewId="0">
      <selection activeCell="D52" sqref="D52"/>
    </sheetView>
  </sheetViews>
  <sheetFormatPr defaultColWidth="9.03515625" defaultRowHeight="12.75" x14ac:dyDescent="0.15"/>
  <cols>
    <col min="1" max="1" width="3.7734375" customWidth="1"/>
    <col min="2" max="2" width="2.6953125" customWidth="1"/>
    <col min="3" max="3" width="24.67578125" customWidth="1"/>
    <col min="4" max="4" width="9.84375" bestFit="1" customWidth="1"/>
    <col min="5" max="5" width="7.8203125" bestFit="1" customWidth="1"/>
    <col min="6" max="6" width="14.6953125" bestFit="1" customWidth="1"/>
    <col min="7" max="7" width="4.98828125" customWidth="1"/>
    <col min="8" max="8" width="9.9765625" bestFit="1" customWidth="1"/>
    <col min="9" max="9" width="4.98828125" customWidth="1"/>
    <col min="10" max="10" width="15.23828125" bestFit="1" customWidth="1"/>
    <col min="11" max="11" width="4.98828125" customWidth="1"/>
    <col min="12" max="12" width="10.78515625" customWidth="1"/>
    <col min="13" max="13" width="4.98828125" customWidth="1"/>
    <col min="14" max="14" width="8.76171875" hidden="1" customWidth="1"/>
    <col min="15" max="15" width="4.98828125" hidden="1" customWidth="1"/>
  </cols>
  <sheetData>
    <row r="1" spans="1:15" ht="15.75" x14ac:dyDescent="0.2">
      <c r="A1" s="158" t="s">
        <v>75</v>
      </c>
      <c r="B1" s="159"/>
      <c r="C1" s="160" t="str">
        <f>'B.S.'!C1</f>
        <v>hanno pop</v>
      </c>
      <c r="D1" s="161"/>
      <c r="E1" s="161"/>
      <c r="F1" s="162" t="s">
        <v>1</v>
      </c>
      <c r="G1" s="163"/>
      <c r="H1" s="164" t="str">
        <f>'B.S.'!H1</f>
        <v>IMC</v>
      </c>
      <c r="I1" s="159"/>
      <c r="J1" s="165" t="s">
        <v>83</v>
      </c>
      <c r="K1" s="166"/>
      <c r="L1" s="440" t="str">
        <f>'B.S.'!L1</f>
        <v>ME</v>
      </c>
      <c r="M1" s="440">
        <f>'B.S.'!R1</f>
        <v>0</v>
      </c>
      <c r="N1" s="440">
        <f>'B.S.'!S1</f>
        <v>0</v>
      </c>
      <c r="O1" s="441">
        <f>'B.S.'!T1</f>
        <v>0</v>
      </c>
    </row>
    <row r="2" spans="1:15" ht="14.25" x14ac:dyDescent="0.15">
      <c r="A2" s="167" t="s">
        <v>2</v>
      </c>
      <c r="B2" s="168"/>
      <c r="C2" s="169" t="str">
        <f>'B.S.'!C2</f>
        <v xml:space="preserve"> </v>
      </c>
      <c r="D2" s="170"/>
      <c r="E2" s="170"/>
      <c r="F2" s="171" t="s">
        <v>3</v>
      </c>
      <c r="G2" s="168"/>
      <c r="H2" s="172" t="str">
        <f>'B.S.'!H2</f>
        <v>EGP</v>
      </c>
      <c r="I2" s="168"/>
      <c r="J2" s="173" t="s">
        <v>4</v>
      </c>
      <c r="K2" s="174"/>
      <c r="L2" s="175" t="str">
        <f>'B.S.'!L2</f>
        <v>12/2025</v>
      </c>
      <c r="M2" s="176"/>
      <c r="N2" s="177"/>
      <c r="O2" s="178"/>
    </row>
    <row r="3" spans="1:15" x14ac:dyDescent="0.1">
      <c r="A3" s="179" t="s">
        <v>5</v>
      </c>
      <c r="B3" s="168"/>
      <c r="C3" s="168"/>
      <c r="D3" s="180" t="str">
        <f>'B.S.'!D3</f>
        <v>Audited</v>
      </c>
      <c r="E3" s="180"/>
      <c r="F3" s="180" t="str">
        <f>'B.S.'!F3</f>
        <v>Audited</v>
      </c>
      <c r="G3" s="180"/>
      <c r="H3" s="180" t="str">
        <f>'B.S.'!H3</f>
        <v>Audited</v>
      </c>
      <c r="I3" s="180"/>
      <c r="J3" s="24" t="s">
        <v>6</v>
      </c>
      <c r="K3" s="180"/>
      <c r="L3" s="180"/>
      <c r="M3" s="180"/>
      <c r="N3" s="180"/>
      <c r="O3" s="181"/>
    </row>
    <row r="4" spans="1:15" hidden="1" x14ac:dyDescent="0.1">
      <c r="A4" s="179" t="s">
        <v>7</v>
      </c>
      <c r="B4" s="168"/>
      <c r="C4" s="168"/>
      <c r="D4" s="23" t="str">
        <f>'B.S.'!D4</f>
        <v>Unqualified</v>
      </c>
      <c r="E4" s="180"/>
      <c r="F4" s="23" t="str">
        <f>'B.S.'!F4</f>
        <v>Unqualifed</v>
      </c>
      <c r="G4" s="180"/>
      <c r="H4" s="23" t="str">
        <f>'B.S.'!H4</f>
        <v>Unqualified</v>
      </c>
      <c r="I4" s="180"/>
      <c r="J4" s="24" t="s">
        <v>8</v>
      </c>
      <c r="K4" s="180"/>
      <c r="L4" s="23"/>
      <c r="M4" s="180"/>
      <c r="N4" s="23"/>
      <c r="O4" s="181"/>
    </row>
    <row r="5" spans="1:15" x14ac:dyDescent="0.1">
      <c r="A5" s="179" t="s">
        <v>85</v>
      </c>
      <c r="B5" s="168"/>
      <c r="C5" s="168"/>
      <c r="D5" s="23"/>
      <c r="E5" s="180"/>
      <c r="F5" s="23"/>
      <c r="G5" s="180"/>
      <c r="H5" s="23"/>
      <c r="I5" s="180"/>
      <c r="J5" s="24"/>
      <c r="K5" s="180"/>
      <c r="L5" s="23"/>
      <c r="M5" s="180"/>
      <c r="N5" s="23"/>
      <c r="O5" s="181"/>
    </row>
    <row r="6" spans="1:15" x14ac:dyDescent="0.1">
      <c r="A6" s="179">
        <v>231</v>
      </c>
      <c r="B6" s="168"/>
      <c r="C6" s="168"/>
      <c r="D6" s="31" t="str">
        <f>'B.S.'!D6</f>
        <v>31/7/2025</v>
      </c>
      <c r="E6" s="182"/>
      <c r="F6" s="31" t="str">
        <f>'B.S.'!F6</f>
        <v>31/8/2025</v>
      </c>
      <c r="G6" s="182"/>
      <c r="H6" s="31" t="str">
        <f>'B.S.'!H6</f>
        <v>31/12/2025</v>
      </c>
      <c r="I6" s="182"/>
      <c r="J6" s="31"/>
      <c r="K6" s="182"/>
      <c r="L6" s="183"/>
      <c r="M6" s="182"/>
      <c r="N6" s="31"/>
      <c r="O6" s="184"/>
    </row>
    <row r="7" spans="1:15" x14ac:dyDescent="0.1">
      <c r="A7" s="179" t="s">
        <v>84</v>
      </c>
      <c r="B7" s="168"/>
      <c r="C7" s="168"/>
      <c r="D7" s="185">
        <v>1</v>
      </c>
      <c r="E7" s="182"/>
      <c r="F7" s="185">
        <v>1</v>
      </c>
      <c r="G7" s="182"/>
      <c r="H7" s="185">
        <v>1</v>
      </c>
      <c r="I7" s="182"/>
      <c r="J7" s="185"/>
      <c r="K7" s="182"/>
      <c r="L7" s="186"/>
      <c r="M7" s="182"/>
      <c r="N7" s="31"/>
      <c r="O7" s="184"/>
    </row>
    <row r="8" spans="1:15" x14ac:dyDescent="0.1">
      <c r="A8" s="187" t="s">
        <v>11</v>
      </c>
      <c r="B8" s="188"/>
      <c r="C8" s="188"/>
      <c r="D8" s="189" t="s">
        <v>12</v>
      </c>
      <c r="E8" s="189" t="s">
        <v>13</v>
      </c>
      <c r="F8" s="189" t="s">
        <v>12</v>
      </c>
      <c r="G8" s="189" t="s">
        <v>13</v>
      </c>
      <c r="H8" s="189" t="s">
        <v>12</v>
      </c>
      <c r="I8" s="189" t="s">
        <v>13</v>
      </c>
      <c r="J8" s="189" t="s">
        <v>12</v>
      </c>
      <c r="K8" s="189" t="s">
        <v>13</v>
      </c>
      <c r="L8" s="189" t="s">
        <v>12</v>
      </c>
      <c r="M8" s="189" t="s">
        <v>13</v>
      </c>
      <c r="N8" s="189" t="s">
        <v>12</v>
      </c>
      <c r="O8" s="190" t="s">
        <v>13</v>
      </c>
    </row>
    <row r="9" spans="1:15" ht="14.25" x14ac:dyDescent="0.15">
      <c r="A9" s="191" t="s">
        <v>69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</row>
    <row r="10" spans="1:15" s="1" customFormat="1" x14ac:dyDescent="0.15">
      <c r="A10" s="68">
        <v>43</v>
      </c>
      <c r="B10" s="192"/>
      <c r="C10" s="193" t="s">
        <v>112</v>
      </c>
      <c r="D10" s="194">
        <v>2536929</v>
      </c>
      <c r="E10" s="195">
        <f t="shared" ref="E10:E28" si="0">IF(D$10=0,0,D10/D$10)</f>
        <v>1</v>
      </c>
      <c r="F10" s="196">
        <v>3005991</v>
      </c>
      <c r="G10" s="195">
        <f t="shared" ref="G10:G28" si="1">IF(F$10=0,0,F10/F$10)</f>
        <v>1</v>
      </c>
      <c r="H10" s="196">
        <v>3170826</v>
      </c>
      <c r="I10" s="195">
        <f t="shared" ref="I10:I28" si="2">IF(H$10=0,0,H10/H$10)</f>
        <v>1</v>
      </c>
      <c r="J10" s="196"/>
      <c r="K10" s="195">
        <f t="shared" ref="K10:K28" si="3">IF(J$10=0,0,J10/J$10)</f>
        <v>0</v>
      </c>
      <c r="L10" s="196"/>
      <c r="M10" s="195">
        <f>IF(L$10=0,0,L10/L$10)</f>
        <v>0</v>
      </c>
      <c r="N10" s="196"/>
      <c r="O10" s="197">
        <f>IF(N$10=0,0,N10/N$10)</f>
        <v>0</v>
      </c>
    </row>
    <row r="11" spans="1:15" s="1" customFormat="1" x14ac:dyDescent="0.15">
      <c r="A11" s="198">
        <v>44</v>
      </c>
      <c r="B11" s="199"/>
      <c r="C11" s="200" t="s">
        <v>113</v>
      </c>
      <c r="D11" s="71">
        <v>1289237</v>
      </c>
      <c r="E11" s="201">
        <f t="shared" si="0"/>
        <v>0.50818804940934492</v>
      </c>
      <c r="F11" s="79">
        <v>1745079</v>
      </c>
      <c r="G11" s="201">
        <f t="shared" si="1"/>
        <v>0.58053367425251767</v>
      </c>
      <c r="H11" s="79">
        <v>1795859</v>
      </c>
      <c r="I11" s="201">
        <f t="shared" si="2"/>
        <v>0.56636945704368513</v>
      </c>
      <c r="J11" s="79"/>
      <c r="K11" s="201">
        <f t="shared" si="3"/>
        <v>0</v>
      </c>
      <c r="L11" s="79"/>
      <c r="M11" s="201">
        <f t="shared" ref="M11:O28" si="4">IF(L$10=0,0,L11/L$10)</f>
        <v>0</v>
      </c>
      <c r="N11" s="79"/>
      <c r="O11" s="202">
        <f t="shared" si="4"/>
        <v>0</v>
      </c>
    </row>
    <row r="12" spans="1:15" s="1" customFormat="1" x14ac:dyDescent="0.15">
      <c r="A12" s="198">
        <v>45</v>
      </c>
      <c r="B12" s="203"/>
      <c r="C12" s="204" t="s">
        <v>114</v>
      </c>
      <c r="D12" s="94">
        <v>388487</v>
      </c>
      <c r="E12" s="205">
        <f t="shared" si="0"/>
        <v>0.15313278377124467</v>
      </c>
      <c r="F12" s="84">
        <v>413078</v>
      </c>
      <c r="G12" s="205">
        <f t="shared" si="1"/>
        <v>0.13741824243652093</v>
      </c>
      <c r="H12" s="84">
        <v>533003</v>
      </c>
      <c r="I12" s="205">
        <f t="shared" si="2"/>
        <v>0.16809594723898441</v>
      </c>
      <c r="J12" s="84"/>
      <c r="K12" s="205">
        <f t="shared" si="3"/>
        <v>0</v>
      </c>
      <c r="L12" s="84"/>
      <c r="M12" s="205">
        <f t="shared" si="4"/>
        <v>0</v>
      </c>
      <c r="N12" s="84"/>
      <c r="O12" s="206">
        <f t="shared" si="4"/>
        <v>0</v>
      </c>
    </row>
    <row r="13" spans="1:15" s="1" customFormat="1" x14ac:dyDescent="0.15">
      <c r="A13" s="198">
        <v>46</v>
      </c>
      <c r="B13" s="207"/>
      <c r="C13" s="208" t="s">
        <v>115</v>
      </c>
      <c r="D13" s="98">
        <f>D10-D11-D12</f>
        <v>859205</v>
      </c>
      <c r="E13" s="209">
        <f t="shared" si="0"/>
        <v>0.3386791668194104</v>
      </c>
      <c r="F13" s="98">
        <f>F10-F11-F12</f>
        <v>847834</v>
      </c>
      <c r="G13" s="209">
        <f t="shared" si="1"/>
        <v>0.28204808331096132</v>
      </c>
      <c r="H13" s="98">
        <f>H10-H11-H12</f>
        <v>841964</v>
      </c>
      <c r="I13" s="209">
        <f t="shared" si="2"/>
        <v>0.26553459571733046</v>
      </c>
      <c r="J13" s="98">
        <f>J10-J11-J12</f>
        <v>0</v>
      </c>
      <c r="K13" s="209">
        <f t="shared" si="3"/>
        <v>0</v>
      </c>
      <c r="L13" s="98">
        <f>L10-L11-L12</f>
        <v>0</v>
      </c>
      <c r="M13" s="209">
        <f t="shared" si="4"/>
        <v>0</v>
      </c>
      <c r="N13" s="98">
        <f>N10-N11-N12</f>
        <v>0</v>
      </c>
      <c r="O13" s="99">
        <f t="shared" si="4"/>
        <v>0</v>
      </c>
    </row>
    <row r="14" spans="1:15" s="1" customFormat="1" x14ac:dyDescent="0.15">
      <c r="A14" s="198">
        <v>47</v>
      </c>
      <c r="B14" s="210"/>
      <c r="C14" s="211" t="s">
        <v>116</v>
      </c>
      <c r="D14" s="136">
        <v>0</v>
      </c>
      <c r="E14" s="212">
        <f t="shared" si="0"/>
        <v>0</v>
      </c>
      <c r="F14" s="102">
        <v>0</v>
      </c>
      <c r="G14" s="212">
        <f t="shared" si="1"/>
        <v>0</v>
      </c>
      <c r="H14" s="102">
        <v>1346288</v>
      </c>
      <c r="I14" s="212">
        <f t="shared" si="2"/>
        <v>0.42458589654556889</v>
      </c>
      <c r="J14" s="102"/>
      <c r="K14" s="212">
        <f t="shared" si="3"/>
        <v>0</v>
      </c>
      <c r="L14" s="102">
        <v>0</v>
      </c>
      <c r="M14" s="212">
        <f t="shared" si="4"/>
        <v>0</v>
      </c>
      <c r="N14" s="102"/>
      <c r="O14" s="213">
        <f t="shared" si="4"/>
        <v>0</v>
      </c>
    </row>
    <row r="15" spans="1:15" s="1" customFormat="1" x14ac:dyDescent="0.15">
      <c r="A15" s="198">
        <v>48</v>
      </c>
      <c r="B15" s="199"/>
      <c r="C15" s="200" t="s">
        <v>234</v>
      </c>
      <c r="D15" s="71">
        <v>0</v>
      </c>
      <c r="E15" s="201">
        <f t="shared" si="0"/>
        <v>0</v>
      </c>
      <c r="F15" s="79">
        <v>0</v>
      </c>
      <c r="G15" s="201">
        <f t="shared" si="1"/>
        <v>0</v>
      </c>
      <c r="H15" s="79">
        <v>0</v>
      </c>
      <c r="I15" s="201">
        <f t="shared" si="2"/>
        <v>0</v>
      </c>
      <c r="J15" s="79"/>
      <c r="K15" s="201">
        <f t="shared" si="3"/>
        <v>0</v>
      </c>
      <c r="L15" s="79">
        <v>0</v>
      </c>
      <c r="M15" s="201">
        <f t="shared" si="4"/>
        <v>0</v>
      </c>
      <c r="N15" s="79"/>
      <c r="O15" s="202">
        <f t="shared" si="4"/>
        <v>0</v>
      </c>
    </row>
    <row r="16" spans="1:15" s="1" customFormat="1" x14ac:dyDescent="0.15">
      <c r="A16" s="198">
        <v>49</v>
      </c>
      <c r="B16" s="214"/>
      <c r="C16" s="200" t="s">
        <v>228</v>
      </c>
      <c r="D16" s="71">
        <v>0</v>
      </c>
      <c r="E16" s="201">
        <f t="shared" si="0"/>
        <v>0</v>
      </c>
      <c r="F16" s="79">
        <v>0</v>
      </c>
      <c r="G16" s="201">
        <f t="shared" si="1"/>
        <v>0</v>
      </c>
      <c r="H16" s="79">
        <v>0</v>
      </c>
      <c r="I16" s="201">
        <f t="shared" si="2"/>
        <v>0</v>
      </c>
      <c r="J16" s="79"/>
      <c r="K16" s="201">
        <f t="shared" si="3"/>
        <v>0</v>
      </c>
      <c r="L16" s="79">
        <v>0</v>
      </c>
      <c r="M16" s="201">
        <f t="shared" si="4"/>
        <v>0</v>
      </c>
      <c r="N16" s="79"/>
      <c r="O16" s="202">
        <f t="shared" si="4"/>
        <v>0</v>
      </c>
    </row>
    <row r="17" spans="1:15" s="1" customFormat="1" x14ac:dyDescent="0.15">
      <c r="A17" s="198">
        <v>50</v>
      </c>
      <c r="B17" s="199"/>
      <c r="C17" s="200" t="s">
        <v>117</v>
      </c>
      <c r="D17" s="71">
        <v>0</v>
      </c>
      <c r="E17" s="201">
        <f t="shared" si="0"/>
        <v>0</v>
      </c>
      <c r="F17" s="79">
        <v>0</v>
      </c>
      <c r="G17" s="201">
        <f t="shared" si="1"/>
        <v>0</v>
      </c>
      <c r="H17" s="79">
        <v>0</v>
      </c>
      <c r="I17" s="201">
        <f t="shared" si="2"/>
        <v>0</v>
      </c>
      <c r="J17" s="79"/>
      <c r="K17" s="201">
        <f t="shared" si="3"/>
        <v>0</v>
      </c>
      <c r="L17" s="79"/>
      <c r="M17" s="201">
        <f t="shared" si="4"/>
        <v>0</v>
      </c>
      <c r="N17" s="79"/>
      <c r="O17" s="202">
        <f t="shared" si="4"/>
        <v>0</v>
      </c>
    </row>
    <row r="18" spans="1:15" s="1" customFormat="1" x14ac:dyDescent="0.15">
      <c r="A18" s="198">
        <v>51</v>
      </c>
      <c r="B18" s="214"/>
      <c r="C18" s="200" t="s">
        <v>118</v>
      </c>
      <c r="D18" s="71">
        <v>0</v>
      </c>
      <c r="E18" s="201">
        <f t="shared" si="0"/>
        <v>0</v>
      </c>
      <c r="F18" s="79">
        <v>0</v>
      </c>
      <c r="G18" s="201">
        <f t="shared" si="1"/>
        <v>0</v>
      </c>
      <c r="H18" s="79">
        <v>0</v>
      </c>
      <c r="I18" s="201">
        <f t="shared" si="2"/>
        <v>0</v>
      </c>
      <c r="J18" s="79"/>
      <c r="K18" s="201">
        <f t="shared" si="3"/>
        <v>0</v>
      </c>
      <c r="L18" s="79"/>
      <c r="M18" s="201">
        <f t="shared" si="4"/>
        <v>0</v>
      </c>
      <c r="N18" s="79"/>
      <c r="O18" s="202">
        <f t="shared" si="4"/>
        <v>0</v>
      </c>
    </row>
    <row r="19" spans="1:15" s="1" customFormat="1" x14ac:dyDescent="0.15">
      <c r="A19" s="198">
        <v>52</v>
      </c>
      <c r="B19" s="199"/>
      <c r="C19" s="200" t="s">
        <v>119</v>
      </c>
      <c r="D19" s="71">
        <v>259384</v>
      </c>
      <c r="E19" s="201"/>
      <c r="F19" s="79">
        <v>324112</v>
      </c>
      <c r="G19" s="201">
        <f t="shared" si="1"/>
        <v>0.10782201277382401</v>
      </c>
      <c r="H19" s="79">
        <v>278826</v>
      </c>
      <c r="I19" s="201">
        <f t="shared" si="2"/>
        <v>8.79348157230955E-2</v>
      </c>
      <c r="J19" s="79"/>
      <c r="K19" s="201">
        <f t="shared" si="3"/>
        <v>0</v>
      </c>
      <c r="L19" s="79"/>
      <c r="M19" s="201">
        <f t="shared" si="4"/>
        <v>0</v>
      </c>
      <c r="N19" s="79"/>
      <c r="O19" s="202">
        <f t="shared" si="4"/>
        <v>0</v>
      </c>
    </row>
    <row r="20" spans="1:15" s="1" customFormat="1" x14ac:dyDescent="0.15">
      <c r="A20" s="198">
        <v>53</v>
      </c>
      <c r="B20" s="214"/>
      <c r="C20" s="200" t="s">
        <v>120</v>
      </c>
      <c r="D20" s="71">
        <v>0</v>
      </c>
      <c r="E20" s="201">
        <f t="shared" si="0"/>
        <v>0</v>
      </c>
      <c r="F20" s="79">
        <v>0</v>
      </c>
      <c r="G20" s="201">
        <f t="shared" si="1"/>
        <v>0</v>
      </c>
      <c r="H20" s="79">
        <v>0</v>
      </c>
      <c r="I20" s="201">
        <f t="shared" si="2"/>
        <v>0</v>
      </c>
      <c r="J20" s="79"/>
      <c r="K20" s="201">
        <f t="shared" si="3"/>
        <v>0</v>
      </c>
      <c r="L20" s="79"/>
      <c r="M20" s="201">
        <f t="shared" si="4"/>
        <v>0</v>
      </c>
      <c r="N20" s="79"/>
      <c r="O20" s="202">
        <f t="shared" si="4"/>
        <v>0</v>
      </c>
    </row>
    <row r="21" spans="1:15" x14ac:dyDescent="0.15">
      <c r="A21" s="75">
        <v>54</v>
      </c>
      <c r="B21" s="199"/>
      <c r="C21" s="200" t="s">
        <v>121</v>
      </c>
      <c r="D21" s="71">
        <v>0</v>
      </c>
      <c r="E21" s="201">
        <f t="shared" si="0"/>
        <v>0</v>
      </c>
      <c r="F21" s="79">
        <v>0</v>
      </c>
      <c r="G21" s="201">
        <f t="shared" si="1"/>
        <v>0</v>
      </c>
      <c r="H21" s="79">
        <v>70512</v>
      </c>
      <c r="I21" s="201">
        <f t="shared" si="2"/>
        <v>2.2237738683863448E-2</v>
      </c>
      <c r="J21" s="79"/>
      <c r="K21" s="201">
        <f t="shared" si="3"/>
        <v>0</v>
      </c>
      <c r="L21" s="79"/>
      <c r="M21" s="201">
        <f t="shared" si="4"/>
        <v>0</v>
      </c>
      <c r="N21" s="79"/>
      <c r="O21" s="202">
        <f t="shared" si="4"/>
        <v>0</v>
      </c>
    </row>
    <row r="22" spans="1:15" s="1" customFormat="1" x14ac:dyDescent="0.15">
      <c r="A22" s="75">
        <v>55</v>
      </c>
      <c r="B22" s="203"/>
      <c r="C22" s="215" t="s">
        <v>98</v>
      </c>
      <c r="D22" s="94">
        <v>0</v>
      </c>
      <c r="E22" s="205">
        <f t="shared" si="0"/>
        <v>0</v>
      </c>
      <c r="F22" s="84">
        <v>0</v>
      </c>
      <c r="G22" s="205">
        <f t="shared" si="1"/>
        <v>0</v>
      </c>
      <c r="H22" s="84">
        <v>0</v>
      </c>
      <c r="I22" s="205">
        <f t="shared" si="2"/>
        <v>0</v>
      </c>
      <c r="J22" s="84"/>
      <c r="K22" s="205">
        <f t="shared" si="3"/>
        <v>0</v>
      </c>
      <c r="L22" s="84"/>
      <c r="M22" s="205">
        <f t="shared" si="4"/>
        <v>0</v>
      </c>
      <c r="N22" s="84"/>
      <c r="O22" s="206">
        <f t="shared" si="4"/>
        <v>0</v>
      </c>
    </row>
    <row r="23" spans="1:15" x14ac:dyDescent="0.15">
      <c r="A23" s="75">
        <v>56</v>
      </c>
      <c r="B23" s="207"/>
      <c r="C23" s="95" t="s">
        <v>122</v>
      </c>
      <c r="D23" s="96">
        <f>D13-D14-D15-D16+D17+D18-D19+D20-D21-D22</f>
        <v>599821</v>
      </c>
      <c r="E23" s="209">
        <f t="shared" si="0"/>
        <v>0.23643586399146369</v>
      </c>
      <c r="F23" s="98">
        <f>F13-F14-F15-F16+F17+F18-F19+F20-F21-F22</f>
        <v>523722</v>
      </c>
      <c r="G23" s="209">
        <f t="shared" si="1"/>
        <v>0.17422607053713735</v>
      </c>
      <c r="H23" s="98">
        <f>H13-H14-H15-H16+H17+H18-H19+H20-H21-H22</f>
        <v>-853662</v>
      </c>
      <c r="I23" s="209">
        <f t="shared" si="2"/>
        <v>-0.26922385523519737</v>
      </c>
      <c r="J23" s="98">
        <f>J13-J14-J15-J16+J17+J18-J19+J20-J21-J22</f>
        <v>0</v>
      </c>
      <c r="K23" s="209">
        <f t="shared" si="3"/>
        <v>0</v>
      </c>
      <c r="L23" s="98">
        <f>L13-L14-L15-L16+L17+L18-L19+L20-L21-L22</f>
        <v>0</v>
      </c>
      <c r="M23" s="209">
        <f t="shared" si="4"/>
        <v>0</v>
      </c>
      <c r="N23" s="98">
        <f>N13-N14-N15-N16+N17+N18-N19+N20-N21-N22</f>
        <v>0</v>
      </c>
      <c r="O23" s="99">
        <f t="shared" si="4"/>
        <v>0</v>
      </c>
    </row>
    <row r="24" spans="1:15" x14ac:dyDescent="0.15">
      <c r="A24" s="198">
        <v>57</v>
      </c>
      <c r="B24" s="216"/>
      <c r="C24" s="217" t="s">
        <v>123</v>
      </c>
      <c r="D24" s="218">
        <v>126120</v>
      </c>
      <c r="E24" s="219">
        <f t="shared" si="0"/>
        <v>4.9713649849877549E-2</v>
      </c>
      <c r="F24" s="90">
        <v>0</v>
      </c>
      <c r="G24" s="219">
        <f t="shared" si="1"/>
        <v>0</v>
      </c>
      <c r="H24" s="90">
        <v>0</v>
      </c>
      <c r="I24" s="219">
        <f t="shared" si="2"/>
        <v>0</v>
      </c>
      <c r="J24" s="90"/>
      <c r="K24" s="219">
        <f t="shared" si="3"/>
        <v>0</v>
      </c>
      <c r="L24" s="90"/>
      <c r="M24" s="219">
        <f t="shared" si="4"/>
        <v>0</v>
      </c>
      <c r="N24" s="90"/>
      <c r="O24" s="220">
        <f t="shared" si="4"/>
        <v>0</v>
      </c>
    </row>
    <row r="25" spans="1:15" x14ac:dyDescent="0.15">
      <c r="A25" s="75">
        <v>58</v>
      </c>
      <c r="B25" s="207"/>
      <c r="C25" s="221" t="s">
        <v>124</v>
      </c>
      <c r="D25" s="98">
        <f>D23-D24</f>
        <v>473701</v>
      </c>
      <c r="E25" s="209">
        <f t="shared" si="0"/>
        <v>0.18672221414158616</v>
      </c>
      <c r="F25" s="98">
        <f>F23-F24</f>
        <v>523722</v>
      </c>
      <c r="G25" s="209">
        <f t="shared" si="1"/>
        <v>0.17422607053713735</v>
      </c>
      <c r="H25" s="98">
        <f>H23-H24</f>
        <v>-853662</v>
      </c>
      <c r="I25" s="209">
        <f t="shared" si="2"/>
        <v>-0.26922385523519737</v>
      </c>
      <c r="J25" s="98">
        <f>J23-J24</f>
        <v>0</v>
      </c>
      <c r="K25" s="209">
        <f t="shared" si="3"/>
        <v>0</v>
      </c>
      <c r="L25" s="98">
        <f>L23-L24</f>
        <v>0</v>
      </c>
      <c r="M25" s="209">
        <f t="shared" si="4"/>
        <v>0</v>
      </c>
      <c r="N25" s="98">
        <f>N23-N24</f>
        <v>0</v>
      </c>
      <c r="O25" s="99">
        <f t="shared" si="4"/>
        <v>0</v>
      </c>
    </row>
    <row r="26" spans="1:15" x14ac:dyDescent="0.15">
      <c r="A26" s="75">
        <v>59</v>
      </c>
      <c r="B26" s="222"/>
      <c r="C26" s="223" t="s">
        <v>125</v>
      </c>
      <c r="D26" s="224">
        <v>0</v>
      </c>
      <c r="E26" s="225">
        <f t="shared" si="0"/>
        <v>0</v>
      </c>
      <c r="F26" s="226">
        <v>0</v>
      </c>
      <c r="G26" s="225">
        <f t="shared" si="1"/>
        <v>0</v>
      </c>
      <c r="H26" s="226">
        <v>0</v>
      </c>
      <c r="I26" s="225">
        <f t="shared" si="2"/>
        <v>0</v>
      </c>
      <c r="J26" s="226"/>
      <c r="K26" s="225">
        <f t="shared" si="3"/>
        <v>0</v>
      </c>
      <c r="L26" s="226">
        <v>0</v>
      </c>
      <c r="M26" s="225">
        <f t="shared" si="4"/>
        <v>0</v>
      </c>
      <c r="N26" s="226"/>
      <c r="O26" s="227">
        <f t="shared" si="4"/>
        <v>0</v>
      </c>
    </row>
    <row r="27" spans="1:15" x14ac:dyDescent="0.15">
      <c r="A27" s="75">
        <v>60</v>
      </c>
      <c r="B27" s="203"/>
      <c r="C27" s="204" t="s">
        <v>126</v>
      </c>
      <c r="D27" s="94">
        <v>0</v>
      </c>
      <c r="E27" s="205">
        <f t="shared" si="0"/>
        <v>0</v>
      </c>
      <c r="F27" s="84">
        <v>0</v>
      </c>
      <c r="G27" s="205">
        <f t="shared" si="1"/>
        <v>0</v>
      </c>
      <c r="H27" s="84">
        <v>0</v>
      </c>
      <c r="I27" s="205">
        <f t="shared" si="2"/>
        <v>0</v>
      </c>
      <c r="J27" s="84">
        <v>0</v>
      </c>
      <c r="K27" s="205">
        <f t="shared" si="3"/>
        <v>0</v>
      </c>
      <c r="L27" s="84">
        <v>0</v>
      </c>
      <c r="M27" s="205">
        <f t="shared" si="4"/>
        <v>0</v>
      </c>
      <c r="N27" s="84"/>
      <c r="O27" s="206">
        <f t="shared" si="4"/>
        <v>0</v>
      </c>
    </row>
    <row r="28" spans="1:15" x14ac:dyDescent="0.15">
      <c r="A28" s="142">
        <v>61</v>
      </c>
      <c r="B28" s="228"/>
      <c r="C28" s="229" t="s">
        <v>127</v>
      </c>
      <c r="D28" s="230">
        <f>D25-D26+D27</f>
        <v>473701</v>
      </c>
      <c r="E28" s="231">
        <f t="shared" si="0"/>
        <v>0.18672221414158616</v>
      </c>
      <c r="F28" s="232">
        <f>F25-F26+F27</f>
        <v>523722</v>
      </c>
      <c r="G28" s="231">
        <f t="shared" si="1"/>
        <v>0.17422607053713735</v>
      </c>
      <c r="H28" s="232">
        <f>H25-H26+H27</f>
        <v>-853662</v>
      </c>
      <c r="I28" s="231">
        <f t="shared" si="2"/>
        <v>-0.26922385523519737</v>
      </c>
      <c r="J28" s="232">
        <f>J25-J26+J27</f>
        <v>0</v>
      </c>
      <c r="K28" s="231">
        <f t="shared" si="3"/>
        <v>0</v>
      </c>
      <c r="L28" s="232">
        <f>L25-L26+L27</f>
        <v>0</v>
      </c>
      <c r="M28" s="231">
        <f t="shared" si="4"/>
        <v>0</v>
      </c>
      <c r="N28" s="232">
        <f>N25-N26+N27</f>
        <v>0</v>
      </c>
      <c r="O28" s="233">
        <f t="shared" si="4"/>
        <v>0</v>
      </c>
    </row>
    <row r="30" spans="1:15" ht="14.25" x14ac:dyDescent="0.15">
      <c r="A30" s="234" t="s">
        <v>70</v>
      </c>
      <c r="B30" s="235"/>
      <c r="C30" s="235"/>
      <c r="D30" s="236"/>
      <c r="E30" s="237"/>
      <c r="F30" s="234"/>
      <c r="G30" s="238"/>
      <c r="H30" s="239"/>
      <c r="I30" s="238"/>
      <c r="J30" s="238"/>
      <c r="K30" s="237"/>
      <c r="L30" s="237"/>
      <c r="M30" s="237"/>
      <c r="N30" s="237"/>
      <c r="O30" s="235"/>
    </row>
    <row r="31" spans="1:15" ht="14.25" x14ac:dyDescent="0.15">
      <c r="A31" s="240"/>
      <c r="B31" s="241"/>
      <c r="C31" s="241"/>
      <c r="D31" s="242"/>
      <c r="E31" s="243"/>
      <c r="F31" s="240"/>
      <c r="G31" s="244"/>
      <c r="H31" s="245"/>
      <c r="I31" s="244"/>
      <c r="J31" s="244"/>
      <c r="K31" s="243"/>
      <c r="L31" s="243"/>
      <c r="M31" s="243"/>
      <c r="N31" s="243"/>
      <c r="O31" s="241"/>
    </row>
    <row r="32" spans="1:15" ht="24.75" x14ac:dyDescent="0.4">
      <c r="A32" s="240"/>
      <c r="B32" s="241"/>
      <c r="C32" s="241"/>
      <c r="D32" s="246" t="s">
        <v>71</v>
      </c>
      <c r="E32" s="247"/>
      <c r="F32" s="247"/>
      <c r="G32" s="247"/>
      <c r="H32" s="247"/>
      <c r="I32" s="247"/>
      <c r="J32" s="248"/>
      <c r="L32" s="243"/>
      <c r="M32" s="243"/>
      <c r="N32" s="243"/>
      <c r="O32" s="241"/>
    </row>
    <row r="33" spans="1:15" x14ac:dyDescent="0.15">
      <c r="A33" s="249">
        <v>61</v>
      </c>
      <c r="B33" s="250"/>
      <c r="C33" s="251" t="s">
        <v>128</v>
      </c>
      <c r="D33" s="252"/>
      <c r="E33" s="253"/>
      <c r="F33" s="254">
        <f>'B.S.'!D60</f>
        <v>15054136</v>
      </c>
      <c r="G33" s="253"/>
      <c r="H33" s="254">
        <f>'B.S.'!F60</f>
        <v>15330875</v>
      </c>
      <c r="I33" s="253"/>
      <c r="J33" s="254">
        <f>'B.S.'!H60</f>
        <v>15217552</v>
      </c>
      <c r="K33" s="253"/>
      <c r="L33" s="254">
        <f>'B.S.'!J60</f>
        <v>0</v>
      </c>
      <c r="M33" s="253"/>
      <c r="N33" s="254">
        <f>'B.S.'!L60</f>
        <v>0</v>
      </c>
      <c r="O33" s="47"/>
    </row>
    <row r="34" spans="1:15" x14ac:dyDescent="0.15">
      <c r="A34" s="75"/>
      <c r="B34" s="255"/>
      <c r="C34" s="256" t="s">
        <v>129</v>
      </c>
      <c r="D34" s="257"/>
      <c r="E34" s="258"/>
      <c r="F34" s="106"/>
      <c r="G34" s="258"/>
      <c r="H34" s="106"/>
      <c r="I34" s="258"/>
      <c r="J34" s="106"/>
      <c r="K34" s="258"/>
      <c r="L34" s="106"/>
      <c r="M34" s="258"/>
      <c r="N34" s="106"/>
      <c r="O34" s="259"/>
    </row>
    <row r="35" spans="1:15" x14ac:dyDescent="0.15">
      <c r="A35" s="75">
        <v>62</v>
      </c>
      <c r="B35" s="255"/>
      <c r="C35" s="260" t="s">
        <v>130</v>
      </c>
      <c r="D35" s="261">
        <f>D28</f>
        <v>473701</v>
      </c>
      <c r="E35" s="258"/>
      <c r="F35" s="258">
        <f>F28</f>
        <v>523722</v>
      </c>
      <c r="G35" s="258"/>
      <c r="H35" s="258">
        <f>H28</f>
        <v>-853662</v>
      </c>
      <c r="I35" s="258"/>
      <c r="J35" s="258">
        <f>J28</f>
        <v>0</v>
      </c>
      <c r="K35" s="258"/>
      <c r="L35" s="258">
        <f>L28</f>
        <v>0</v>
      </c>
      <c r="M35" s="258"/>
      <c r="N35" s="258">
        <f>N28</f>
        <v>0</v>
      </c>
      <c r="O35" s="259"/>
    </row>
    <row r="36" spans="1:15" x14ac:dyDescent="0.15">
      <c r="A36" s="75">
        <v>63</v>
      </c>
      <c r="B36" s="255"/>
      <c r="C36" s="260" t="s">
        <v>131</v>
      </c>
      <c r="D36" s="257">
        <v>0</v>
      </c>
      <c r="E36" s="258"/>
      <c r="F36" s="106">
        <v>0</v>
      </c>
      <c r="G36" s="258"/>
      <c r="H36" s="106">
        <v>0</v>
      </c>
      <c r="I36" s="258"/>
      <c r="J36" s="106">
        <v>0</v>
      </c>
      <c r="K36" s="258"/>
      <c r="L36" s="106">
        <v>0</v>
      </c>
      <c r="M36" s="258"/>
      <c r="N36" s="106">
        <v>0</v>
      </c>
      <c r="O36" s="259"/>
    </row>
    <row r="37" spans="1:15" x14ac:dyDescent="0.15">
      <c r="A37" s="75">
        <v>64</v>
      </c>
      <c r="B37" s="255"/>
      <c r="C37" s="260" t="s">
        <v>132</v>
      </c>
      <c r="D37" s="261">
        <f>IF((D33+D35+D36+D38-D41-D43)&lt;D46,D46-(D33+D35+D36+D38-D41-D43),0)</f>
        <v>14580435</v>
      </c>
      <c r="E37" s="258"/>
      <c r="F37" s="258">
        <f>IF((F33+F35+F36+F38-F41-F43)&lt;F46,F46-(F33+F35+F36+F38-F41-F43),0)</f>
        <v>0</v>
      </c>
      <c r="G37" s="258"/>
      <c r="H37" s="258">
        <f>IF((H33+H35+H36+H38-H41-H43)&lt;H46,H46-(H33+H35+H36+H38-H41-H43),0)</f>
        <v>740339</v>
      </c>
      <c r="I37" s="258"/>
      <c r="J37" s="258">
        <f>IF((J33+J35+J36+J38-J41-J43)&lt;J46,J46-(J33+J35+J36+J38-J41-J43),0)</f>
        <v>0</v>
      </c>
      <c r="K37" s="258"/>
      <c r="L37" s="258">
        <f>IF((L33+L35+L36+L38-L41-L43)&lt;L46,L46-(L33+L35+L36+L38-L41-L43),0)</f>
        <v>0</v>
      </c>
      <c r="M37" s="258"/>
      <c r="N37" s="258">
        <f>IF((N33+N35+N36+N38-N41-N43)&lt;N46,N46-(N33+N35+N36+N38-N41-N43),0)</f>
        <v>0</v>
      </c>
      <c r="O37" s="259"/>
    </row>
    <row r="38" spans="1:15" x14ac:dyDescent="0.15">
      <c r="A38" s="75">
        <v>65</v>
      </c>
      <c r="B38" s="255"/>
      <c r="C38" s="262" t="s">
        <v>133</v>
      </c>
      <c r="D38" s="263">
        <v>0</v>
      </c>
      <c r="E38" s="264"/>
      <c r="F38" s="264">
        <v>0</v>
      </c>
      <c r="G38" s="265"/>
      <c r="H38" s="264">
        <v>0</v>
      </c>
      <c r="I38" s="265"/>
      <c r="J38" s="264">
        <v>0</v>
      </c>
      <c r="K38" s="265"/>
      <c r="L38" s="264">
        <v>0</v>
      </c>
      <c r="M38" s="265"/>
      <c r="N38" s="264">
        <v>0</v>
      </c>
      <c r="O38" s="51"/>
    </row>
    <row r="39" spans="1:15" x14ac:dyDescent="0.15">
      <c r="A39" s="75">
        <v>66</v>
      </c>
      <c r="B39" s="255"/>
      <c r="C39" s="266" t="s">
        <v>134</v>
      </c>
      <c r="D39" s="267">
        <f>D35+D36+D37+D38</f>
        <v>15054136</v>
      </c>
      <c r="E39" s="268"/>
      <c r="F39" s="268">
        <f>F35+F36+F37+F38</f>
        <v>523722</v>
      </c>
      <c r="G39" s="268"/>
      <c r="H39" s="268">
        <f>H35+H36+H37+H38</f>
        <v>-113323</v>
      </c>
      <c r="I39" s="268"/>
      <c r="J39" s="268">
        <f>J35+J36+J37+J38</f>
        <v>0</v>
      </c>
      <c r="K39" s="268"/>
      <c r="L39" s="268">
        <f>L35+L36+L37+L38</f>
        <v>0</v>
      </c>
      <c r="M39" s="268"/>
      <c r="N39" s="268">
        <f>N35+N36+N37+N38</f>
        <v>0</v>
      </c>
      <c r="O39" s="269"/>
    </row>
    <row r="40" spans="1:15" x14ac:dyDescent="0.15">
      <c r="A40" s="75"/>
      <c r="B40" s="255"/>
      <c r="C40" s="270" t="s">
        <v>135</v>
      </c>
      <c r="D40" s="271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</row>
    <row r="41" spans="1:15" x14ac:dyDescent="0.15">
      <c r="A41" s="75">
        <v>67</v>
      </c>
      <c r="B41" s="255"/>
      <c r="C41" s="274" t="s">
        <v>136</v>
      </c>
      <c r="D41" s="275">
        <v>0</v>
      </c>
      <c r="E41" s="106"/>
      <c r="F41" s="106">
        <v>0</v>
      </c>
      <c r="G41" s="258"/>
      <c r="H41" s="106">
        <v>0</v>
      </c>
      <c r="I41" s="258"/>
      <c r="J41" s="106">
        <v>0</v>
      </c>
      <c r="K41" s="258"/>
      <c r="L41" s="106"/>
      <c r="M41" s="258"/>
      <c r="N41" s="106">
        <v>0</v>
      </c>
      <c r="O41" s="276"/>
    </row>
    <row r="42" spans="1:15" x14ac:dyDescent="0.15">
      <c r="A42" s="75">
        <v>68</v>
      </c>
      <c r="B42" s="255"/>
      <c r="C42" s="274" t="s">
        <v>137</v>
      </c>
      <c r="D42" s="277">
        <f>IF((D33+D35+D36+D38-D41-D43)&gt;D46,(D33+D35+D36+D38-D41-D43)-D46,0)</f>
        <v>0</v>
      </c>
      <c r="E42" s="258"/>
      <c r="F42" s="258">
        <f>IF((F33+F35+F36+F38-F41-F43)&gt;F46,(F33+F35+F36+F38-F41-F43)-F46,0)</f>
        <v>246983</v>
      </c>
      <c r="G42" s="258"/>
      <c r="H42" s="258">
        <f>IF((H33+H35+H36+H38-H41-H43)&gt;H46,(H33+H35+H36+H38-H41-H43)-H46,0)</f>
        <v>0</v>
      </c>
      <c r="I42" s="258"/>
      <c r="J42" s="258">
        <f>IF((J33+J35+J36+J38-J41-J43)&gt;J46,(J33+J35+J36+J38-J41-J43)-J46,0)</f>
        <v>15217552</v>
      </c>
      <c r="K42" s="258"/>
      <c r="L42" s="258">
        <f>IF((L33+L35+L36+L38-L41-L43)&gt;L46,(L33+L35+L36+L38-L41-L43)-L46,0)</f>
        <v>0</v>
      </c>
      <c r="M42" s="258"/>
      <c r="N42" s="258">
        <f>IF((N33+N35+N36+N38-N41-N43)&gt;N46,(N33+N35+N36+N38-N41-N43)-N46,0)</f>
        <v>0</v>
      </c>
      <c r="O42" s="276"/>
    </row>
    <row r="43" spans="1:15" x14ac:dyDescent="0.15">
      <c r="A43" s="75">
        <v>69</v>
      </c>
      <c r="B43" s="255"/>
      <c r="C43" s="278" t="s">
        <v>138</v>
      </c>
      <c r="D43" s="279">
        <v>0</v>
      </c>
      <c r="E43" s="129"/>
      <c r="F43" s="129">
        <v>0</v>
      </c>
      <c r="G43" s="280"/>
      <c r="H43" s="129">
        <v>0</v>
      </c>
      <c r="I43" s="280"/>
      <c r="J43" s="129">
        <v>0</v>
      </c>
      <c r="K43" s="280"/>
      <c r="L43" s="129">
        <v>0</v>
      </c>
      <c r="M43" s="280"/>
      <c r="N43" s="129">
        <v>0</v>
      </c>
      <c r="O43" s="281"/>
    </row>
    <row r="44" spans="1:15" x14ac:dyDescent="0.15">
      <c r="A44" s="75">
        <v>70</v>
      </c>
      <c r="B44" s="255"/>
      <c r="C44" s="282" t="s">
        <v>139</v>
      </c>
      <c r="D44" s="271">
        <f>D41+D42+D43</f>
        <v>0</v>
      </c>
      <c r="E44" s="272"/>
      <c r="F44" s="272">
        <f>F41+F42+F43</f>
        <v>246983</v>
      </c>
      <c r="G44" s="272"/>
      <c r="H44" s="272">
        <f>H41+H42+H43</f>
        <v>0</v>
      </c>
      <c r="I44" s="272"/>
      <c r="J44" s="272">
        <f>J41+J42+J43</f>
        <v>15217552</v>
      </c>
      <c r="K44" s="272"/>
      <c r="L44" s="272">
        <f>L41+L42+L43</f>
        <v>0</v>
      </c>
      <c r="M44" s="272"/>
      <c r="N44" s="272">
        <f>N41+N42+N43</f>
        <v>0</v>
      </c>
      <c r="O44" s="273"/>
    </row>
    <row r="45" spans="1:15" x14ac:dyDescent="0.15">
      <c r="A45" s="75">
        <v>71</v>
      </c>
      <c r="B45" s="255"/>
      <c r="C45" s="283" t="s">
        <v>140</v>
      </c>
      <c r="D45" s="284">
        <f>D39-D44</f>
        <v>15054136</v>
      </c>
      <c r="E45" s="285"/>
      <c r="F45" s="285">
        <f>F39-F44</f>
        <v>276739</v>
      </c>
      <c r="G45" s="285"/>
      <c r="H45" s="285">
        <f>H39-H44</f>
        <v>-113323</v>
      </c>
      <c r="I45" s="285"/>
      <c r="J45" s="285">
        <f>J39-J44</f>
        <v>-15217552</v>
      </c>
      <c r="K45" s="285"/>
      <c r="L45" s="285">
        <f>L39-L44</f>
        <v>0</v>
      </c>
      <c r="M45" s="285"/>
      <c r="N45" s="285">
        <f>N39-N44</f>
        <v>0</v>
      </c>
      <c r="O45" s="286"/>
    </row>
    <row r="46" spans="1:15" x14ac:dyDescent="0.15">
      <c r="A46" s="142">
        <v>72</v>
      </c>
      <c r="B46" s="287"/>
      <c r="C46" s="288" t="s">
        <v>141</v>
      </c>
      <c r="D46" s="289">
        <f>'B.S.'!D60</f>
        <v>15054136</v>
      </c>
      <c r="E46" s="290"/>
      <c r="F46" s="290">
        <f>'B.S.'!F60</f>
        <v>15330875</v>
      </c>
      <c r="G46" s="290"/>
      <c r="H46" s="290">
        <f>'B.S.'!H60</f>
        <v>15217552</v>
      </c>
      <c r="I46" s="290"/>
      <c r="J46" s="290">
        <f>'B.S.'!J60</f>
        <v>0</v>
      </c>
      <c r="K46" s="290"/>
      <c r="L46" s="290">
        <f>'B.S.'!L60</f>
        <v>0</v>
      </c>
      <c r="M46" s="290"/>
      <c r="N46" s="290">
        <f>'B.S.'!N60</f>
        <v>0</v>
      </c>
      <c r="O46" s="291"/>
    </row>
    <row r="49" spans="1:15" ht="24.75" x14ac:dyDescent="0.4">
      <c r="D49" s="292" t="s">
        <v>72</v>
      </c>
      <c r="E49" s="293"/>
      <c r="F49" s="293"/>
      <c r="G49" s="293"/>
      <c r="H49" s="293"/>
      <c r="I49" s="293"/>
      <c r="J49" s="294"/>
    </row>
    <row r="50" spans="1:15" x14ac:dyDescent="0.15">
      <c r="A50" s="249">
        <v>73</v>
      </c>
      <c r="B50" s="250"/>
      <c r="C50" s="251" t="s">
        <v>142</v>
      </c>
      <c r="D50" s="194"/>
      <c r="E50" s="253"/>
      <c r="F50" s="254">
        <f>'B.S.'!D29</f>
        <v>13311725</v>
      </c>
      <c r="G50" s="253"/>
      <c r="H50" s="254">
        <f>'B.S.'!F29</f>
        <v>13315225</v>
      </c>
      <c r="I50" s="253"/>
      <c r="J50" s="254">
        <f>'B.S.'!H29</f>
        <v>12116587</v>
      </c>
      <c r="K50" s="253"/>
      <c r="L50" s="254">
        <f>'B.S.'!J29</f>
        <v>0</v>
      </c>
      <c r="M50" s="253"/>
      <c r="N50" s="254">
        <f>'B.S.'!L29</f>
        <v>0</v>
      </c>
      <c r="O50" s="295"/>
    </row>
    <row r="51" spans="1:15" x14ac:dyDescent="0.15">
      <c r="A51" s="75"/>
      <c r="B51" s="255"/>
      <c r="C51" s="296" t="s">
        <v>143</v>
      </c>
      <c r="D51" s="71"/>
      <c r="E51" s="258"/>
      <c r="F51" s="106"/>
      <c r="G51" s="258"/>
      <c r="H51" s="106"/>
      <c r="I51" s="258"/>
      <c r="J51" s="106"/>
      <c r="K51" s="258"/>
      <c r="L51" s="106"/>
      <c r="M51" s="258"/>
      <c r="N51" s="106"/>
      <c r="O51" s="259"/>
    </row>
    <row r="52" spans="1:15" x14ac:dyDescent="0.15">
      <c r="A52" s="75">
        <v>74</v>
      </c>
      <c r="B52" s="255"/>
      <c r="C52" s="274" t="s">
        <v>116</v>
      </c>
      <c r="D52" s="297">
        <f>D14</f>
        <v>0</v>
      </c>
      <c r="E52" s="258"/>
      <c r="F52" s="258">
        <f>F14</f>
        <v>0</v>
      </c>
      <c r="G52" s="258"/>
      <c r="H52" s="258">
        <f>H14</f>
        <v>1346288</v>
      </c>
      <c r="I52" s="258"/>
      <c r="J52" s="258">
        <f>J14</f>
        <v>0</v>
      </c>
      <c r="K52" s="258"/>
      <c r="L52" s="258">
        <f>L14</f>
        <v>0</v>
      </c>
      <c r="M52" s="258"/>
      <c r="N52" s="258">
        <f>N14</f>
        <v>0</v>
      </c>
      <c r="O52" s="259"/>
    </row>
    <row r="53" spans="1:15" x14ac:dyDescent="0.15">
      <c r="A53" s="75"/>
      <c r="B53" s="255"/>
      <c r="C53" s="298" t="s">
        <v>144</v>
      </c>
      <c r="D53" s="299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300"/>
    </row>
    <row r="54" spans="1:15" x14ac:dyDescent="0.15">
      <c r="A54" s="75">
        <v>75</v>
      </c>
      <c r="B54" s="255"/>
      <c r="C54" s="266" t="s">
        <v>145</v>
      </c>
      <c r="D54" s="301">
        <f>D50-D52-D53</f>
        <v>0</v>
      </c>
      <c r="E54" s="268"/>
      <c r="F54" s="268">
        <f>F50-F52-F53</f>
        <v>13311725</v>
      </c>
      <c r="G54" s="268"/>
      <c r="H54" s="268">
        <f>H50-H52-H53</f>
        <v>11968937</v>
      </c>
      <c r="I54" s="268"/>
      <c r="J54" s="268">
        <f>J50-J52-J53</f>
        <v>12116587</v>
      </c>
      <c r="K54" s="268"/>
      <c r="L54" s="268">
        <f>L50-L52-L53</f>
        <v>0</v>
      </c>
      <c r="M54" s="268"/>
      <c r="N54" s="268">
        <f>N50-N52-N53</f>
        <v>0</v>
      </c>
      <c r="O54" s="302"/>
    </row>
    <row r="55" spans="1:15" x14ac:dyDescent="0.15">
      <c r="A55" s="75">
        <v>76</v>
      </c>
      <c r="B55" s="255"/>
      <c r="C55" s="303" t="s">
        <v>146</v>
      </c>
      <c r="D55" s="304">
        <f>'B.S.'!D29</f>
        <v>13311725</v>
      </c>
      <c r="E55" s="290"/>
      <c r="F55" s="290">
        <f>'B.S.'!F29</f>
        <v>13315225</v>
      </c>
      <c r="G55" s="290"/>
      <c r="H55" s="290">
        <f>'B.S.'!H29</f>
        <v>12116587</v>
      </c>
      <c r="I55" s="290"/>
      <c r="J55" s="290">
        <f>'B.S.'!J29</f>
        <v>0</v>
      </c>
      <c r="K55" s="290"/>
      <c r="L55" s="290">
        <f>'B.S.'!L29</f>
        <v>0</v>
      </c>
      <c r="M55" s="290"/>
      <c r="N55" s="290">
        <f>'B.S.'!N29</f>
        <v>0</v>
      </c>
      <c r="O55" s="305"/>
    </row>
    <row r="56" spans="1:15" x14ac:dyDescent="0.15">
      <c r="A56" s="75">
        <v>77</v>
      </c>
      <c r="B56" s="255"/>
      <c r="C56" s="306" t="s">
        <v>147</v>
      </c>
      <c r="D56" s="307">
        <f>D55-D54</f>
        <v>13311725</v>
      </c>
      <c r="E56" s="308"/>
      <c r="F56" s="308">
        <f>F55-F54</f>
        <v>3500</v>
      </c>
      <c r="G56" s="308"/>
      <c r="H56" s="308">
        <f>H55-H54</f>
        <v>147650</v>
      </c>
      <c r="I56" s="308"/>
      <c r="J56" s="308">
        <f>J55-J54</f>
        <v>-12116587</v>
      </c>
      <c r="K56" s="308"/>
      <c r="L56" s="308">
        <f>L55-L54</f>
        <v>0</v>
      </c>
      <c r="M56" s="308"/>
      <c r="N56" s="308">
        <f>N55-N54</f>
        <v>0</v>
      </c>
      <c r="O56" s="309"/>
    </row>
    <row r="57" spans="1:15" x14ac:dyDescent="0.15">
      <c r="A57" s="75"/>
      <c r="B57" s="255"/>
      <c r="C57" s="310" t="s">
        <v>148</v>
      </c>
      <c r="D57" s="299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300"/>
    </row>
    <row r="58" spans="1:15" x14ac:dyDescent="0.15">
      <c r="A58" s="75">
        <v>78</v>
      </c>
      <c r="B58" s="255"/>
      <c r="C58" s="274" t="s">
        <v>149</v>
      </c>
      <c r="D58" s="71">
        <v>0</v>
      </c>
      <c r="E58" s="106"/>
      <c r="F58" s="106">
        <v>0</v>
      </c>
      <c r="G58" s="258"/>
      <c r="H58" s="106">
        <v>0</v>
      </c>
      <c r="I58" s="258"/>
      <c r="J58" s="106">
        <v>0</v>
      </c>
      <c r="K58" s="258"/>
      <c r="L58" s="106">
        <v>0</v>
      </c>
      <c r="M58" s="258"/>
      <c r="N58" s="106">
        <v>0</v>
      </c>
      <c r="O58" s="259"/>
    </row>
    <row r="59" spans="1:15" x14ac:dyDescent="0.15">
      <c r="A59" s="75">
        <v>79</v>
      </c>
      <c r="B59" s="255"/>
      <c r="C59" s="298" t="s">
        <v>150</v>
      </c>
      <c r="D59" s="218">
        <v>0</v>
      </c>
      <c r="E59" s="264"/>
      <c r="F59" s="264">
        <v>0</v>
      </c>
      <c r="G59" s="265"/>
      <c r="H59" s="264">
        <v>0</v>
      </c>
      <c r="I59" s="265"/>
      <c r="J59" s="264">
        <v>0</v>
      </c>
      <c r="K59" s="265"/>
      <c r="L59" s="264">
        <v>0</v>
      </c>
      <c r="M59" s="265"/>
      <c r="N59" s="264">
        <v>0</v>
      </c>
      <c r="O59" s="300"/>
    </row>
    <row r="60" spans="1:15" x14ac:dyDescent="0.15">
      <c r="A60" s="142">
        <v>80</v>
      </c>
      <c r="B60" s="287"/>
      <c r="C60" s="311" t="s">
        <v>151</v>
      </c>
      <c r="D60" s="312">
        <f>D56+D58+D59</f>
        <v>13311725</v>
      </c>
      <c r="E60" s="313"/>
      <c r="F60" s="313">
        <f>F56+F58+F59</f>
        <v>3500</v>
      </c>
      <c r="G60" s="313"/>
      <c r="H60" s="313">
        <f>H56+H58+H59</f>
        <v>147650</v>
      </c>
      <c r="I60" s="313"/>
      <c r="J60" s="313">
        <f>J56+J58+J59</f>
        <v>-12116587</v>
      </c>
      <c r="K60" s="313"/>
      <c r="L60" s="313">
        <f>L56+L58+L59</f>
        <v>0</v>
      </c>
      <c r="M60" s="313"/>
      <c r="N60" s="313">
        <f>N56+N58+N59</f>
        <v>0</v>
      </c>
      <c r="O60" s="314"/>
    </row>
  </sheetData>
  <mergeCells count="1">
    <mergeCell ref="L1:O1"/>
  </mergeCells>
  <printOptions horizontalCentered="1" verticalCentered="1"/>
  <pageMargins left="0" right="0" top="0.39370078740157499" bottom="0.39370078740157499" header="0.511811023622047" footer="0.511811023622047"/>
  <pageSetup paperSize="9" fitToWidth="0" fitToHeight="0" pageOrder="overThenDown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9"/>
  <sheetViews>
    <sheetView zoomScale="34" workbookViewId="0">
      <selection activeCell="H53" sqref="H53"/>
    </sheetView>
  </sheetViews>
  <sheetFormatPr defaultColWidth="9.03515625" defaultRowHeight="12.75" x14ac:dyDescent="0.15"/>
  <cols>
    <col min="1" max="1" width="3.7734375" customWidth="1"/>
    <col min="2" max="2" width="2.6953125" customWidth="1"/>
    <col min="3" max="3" width="31.82421875" customWidth="1"/>
    <col min="4" max="4" width="12.67578125" customWidth="1"/>
    <col min="5" max="5" width="14.29296875" bestFit="1" customWidth="1"/>
    <col min="6" max="6" width="14.6953125" customWidth="1"/>
    <col min="7" max="7" width="14.42578125" customWidth="1"/>
    <col min="8" max="8" width="12.67578125" customWidth="1"/>
    <col min="9" max="9" width="12.67578125" hidden="1" customWidth="1"/>
  </cols>
  <sheetData>
    <row r="1" spans="1:9" ht="15.75" x14ac:dyDescent="0.2">
      <c r="A1" s="315" t="s">
        <v>0</v>
      </c>
      <c r="B1" s="316"/>
      <c r="C1" s="317" t="s">
        <v>245</v>
      </c>
      <c r="D1" s="318"/>
      <c r="E1" s="8" t="s">
        <v>1</v>
      </c>
      <c r="F1" s="319" t="str">
        <f>'B.S.'!H1</f>
        <v>IMC</v>
      </c>
      <c r="G1" s="165" t="s">
        <v>83</v>
      </c>
      <c r="H1" s="320" t="str">
        <f>'B.S.'!L1</f>
        <v>ME</v>
      </c>
      <c r="I1" s="321"/>
    </row>
    <row r="2" spans="1:9" ht="14.25" x14ac:dyDescent="0.15">
      <c r="A2" s="322" t="s">
        <v>2</v>
      </c>
      <c r="B2" s="323"/>
      <c r="C2" s="324" t="str">
        <f>'B.S.'!C2</f>
        <v xml:space="preserve"> </v>
      </c>
      <c r="D2" s="325"/>
      <c r="E2" s="12" t="s">
        <v>3</v>
      </c>
      <c r="F2" s="326" t="str">
        <f>'B.S.'!H2</f>
        <v>EGP</v>
      </c>
      <c r="G2" s="327" t="s">
        <v>4</v>
      </c>
      <c r="H2" s="175" t="str">
        <f>'B.S.'!L2</f>
        <v>12/2025</v>
      </c>
      <c r="I2" s="328"/>
    </row>
    <row r="3" spans="1:9" x14ac:dyDescent="0.15">
      <c r="A3" s="21" t="s">
        <v>5</v>
      </c>
      <c r="B3" s="22"/>
      <c r="C3" s="22"/>
      <c r="D3" s="180" t="str">
        <f>'B.S.'!D3</f>
        <v>Audited</v>
      </c>
      <c r="E3" s="180" t="str">
        <f>'B.S.'!F3</f>
        <v>Audited</v>
      </c>
      <c r="F3" s="180" t="str">
        <f>'B.S.'!H3</f>
        <v>Audited</v>
      </c>
      <c r="G3" s="24" t="s">
        <v>6</v>
      </c>
      <c r="H3" s="180"/>
      <c r="I3" s="181"/>
    </row>
    <row r="4" spans="1:9" hidden="1" x14ac:dyDescent="0.15">
      <c r="A4" s="21" t="s">
        <v>7</v>
      </c>
      <c r="B4" s="22"/>
      <c r="C4" s="26"/>
      <c r="D4" s="180" t="str">
        <f>'B.S.'!D4</f>
        <v>Unqualified</v>
      </c>
      <c r="E4" s="180" t="str">
        <f>'B.S.'!F4</f>
        <v>Unqualifed</v>
      </c>
      <c r="F4" s="180" t="str">
        <f>'B.S.'!H4</f>
        <v>Unqualified</v>
      </c>
      <c r="G4" s="24" t="s">
        <v>8</v>
      </c>
      <c r="H4" s="180"/>
      <c r="I4" s="181"/>
    </row>
    <row r="5" spans="1:9" x14ac:dyDescent="0.15">
      <c r="A5" s="21" t="s">
        <v>85</v>
      </c>
      <c r="B5" s="22"/>
      <c r="C5" s="26"/>
      <c r="D5" s="180"/>
      <c r="E5" s="180"/>
      <c r="F5" s="180"/>
      <c r="G5" s="24"/>
      <c r="H5" s="180"/>
      <c r="I5" s="181"/>
    </row>
    <row r="6" spans="1:9" x14ac:dyDescent="0.15">
      <c r="A6" s="21" t="s">
        <v>10</v>
      </c>
      <c r="B6" s="22"/>
      <c r="C6" s="22"/>
      <c r="D6" s="31" t="str">
        <f>'B.S.'!D6</f>
        <v>31/7/2025</v>
      </c>
      <c r="E6" s="31" t="str">
        <f>'B.S.'!F6</f>
        <v>31/8/2025</v>
      </c>
      <c r="F6" s="31" t="str">
        <f>'B.S.'!H6</f>
        <v>31/12/2025</v>
      </c>
      <c r="G6" s="27" t="s">
        <v>322</v>
      </c>
      <c r="H6" s="183">
        <f>'B.S.'!L6</f>
        <v>0</v>
      </c>
      <c r="I6" s="329"/>
    </row>
    <row r="7" spans="1:9" x14ac:dyDescent="0.15">
      <c r="A7" s="330" t="s">
        <v>11</v>
      </c>
      <c r="B7" s="35"/>
      <c r="C7" s="35"/>
      <c r="D7" s="189" t="s">
        <v>12</v>
      </c>
      <c r="E7" s="189" t="s">
        <v>12</v>
      </c>
      <c r="F7" s="189" t="s">
        <v>12</v>
      </c>
      <c r="G7" s="189" t="s">
        <v>12</v>
      </c>
      <c r="H7" s="189" t="s">
        <v>12</v>
      </c>
      <c r="I7" s="190" t="s">
        <v>12</v>
      </c>
    </row>
    <row r="8" spans="1:9" ht="14.25" x14ac:dyDescent="0.15">
      <c r="A8" s="331" t="s">
        <v>73</v>
      </c>
      <c r="B8" s="332"/>
      <c r="C8" s="332"/>
      <c r="D8" s="332"/>
      <c r="E8" s="332"/>
      <c r="F8" s="332"/>
      <c r="G8" s="332"/>
      <c r="H8" s="332"/>
      <c r="I8" s="332"/>
    </row>
    <row r="9" spans="1:9" x14ac:dyDescent="0.15">
      <c r="A9" s="249">
        <v>91</v>
      </c>
      <c r="B9" s="333"/>
      <c r="C9" s="334" t="s">
        <v>130</v>
      </c>
      <c r="D9" s="335"/>
      <c r="E9" s="253">
        <f>'I.S.'!F28</f>
        <v>523722</v>
      </c>
      <c r="F9" s="253">
        <f>'I.S.'!H28</f>
        <v>-853662</v>
      </c>
      <c r="G9" s="253">
        <f>'I.S.'!J28</f>
        <v>0</v>
      </c>
      <c r="H9" s="253">
        <f>'I.S.'!L28</f>
        <v>0</v>
      </c>
      <c r="I9" s="47">
        <f>'I.S.'!N28</f>
        <v>0</v>
      </c>
    </row>
    <row r="10" spans="1:9" x14ac:dyDescent="0.15">
      <c r="A10" s="75">
        <v>92</v>
      </c>
      <c r="B10" s="336" t="s">
        <v>57</v>
      </c>
      <c r="C10" s="77" t="s">
        <v>116</v>
      </c>
      <c r="D10" s="277"/>
      <c r="E10" s="258">
        <f>'I.S.'!F14</f>
        <v>0</v>
      </c>
      <c r="F10" s="258">
        <f>'I.S.'!H14</f>
        <v>1346288</v>
      </c>
      <c r="G10" s="258">
        <f>'I.S.'!J14</f>
        <v>0</v>
      </c>
      <c r="H10" s="258">
        <f>'I.S.'!L14</f>
        <v>0</v>
      </c>
      <c r="I10" s="276">
        <f>'I.S.'!N14</f>
        <v>0</v>
      </c>
    </row>
    <row r="11" spans="1:9" x14ac:dyDescent="0.15">
      <c r="A11" s="75">
        <v>93</v>
      </c>
      <c r="B11" s="336" t="s">
        <v>23</v>
      </c>
      <c r="C11" s="82" t="s">
        <v>152</v>
      </c>
      <c r="D11" s="337"/>
      <c r="E11" s="338">
        <f>'I.S.'!F15+'I.S.'!F16</f>
        <v>0</v>
      </c>
      <c r="F11" s="338">
        <f>'I.S.'!H15+'I.S.'!H16</f>
        <v>0</v>
      </c>
      <c r="G11" s="338">
        <f>'I.S.'!J15+'I.S.'!J16</f>
        <v>0</v>
      </c>
      <c r="H11" s="338">
        <f>'I.S.'!L15+'I.S.'!L16</f>
        <v>0</v>
      </c>
      <c r="I11" s="339">
        <f>'I.S.'!N15+'I.S.'!N16</f>
        <v>0</v>
      </c>
    </row>
    <row r="12" spans="1:9" x14ac:dyDescent="0.15">
      <c r="A12" s="75">
        <v>94</v>
      </c>
      <c r="B12" s="336" t="s">
        <v>25</v>
      </c>
      <c r="C12" s="340" t="s">
        <v>153</v>
      </c>
      <c r="D12" s="341"/>
      <c r="E12" s="342">
        <f>E9+E10+E11</f>
        <v>523722</v>
      </c>
      <c r="F12" s="342">
        <f>F9+F10+F11</f>
        <v>492626</v>
      </c>
      <c r="G12" s="342">
        <f>G9+G10+G11</f>
        <v>0</v>
      </c>
      <c r="H12" s="342">
        <f>H9+H10+H11</f>
        <v>0</v>
      </c>
      <c r="I12" s="343">
        <f>I9+I10+I11</f>
        <v>0</v>
      </c>
    </row>
    <row r="13" spans="1:9" x14ac:dyDescent="0.15">
      <c r="A13" s="75" t="s">
        <v>74</v>
      </c>
      <c r="B13" s="336"/>
      <c r="C13" s="344" t="s">
        <v>154</v>
      </c>
      <c r="D13" s="345"/>
      <c r="E13" s="346"/>
      <c r="F13" s="346"/>
      <c r="G13" s="346"/>
      <c r="H13" s="346"/>
      <c r="I13" s="347"/>
    </row>
    <row r="14" spans="1:9" x14ac:dyDescent="0.15">
      <c r="A14" s="75" t="s">
        <v>75</v>
      </c>
      <c r="B14" s="336" t="s">
        <v>63</v>
      </c>
      <c r="C14" s="348" t="s">
        <v>155</v>
      </c>
      <c r="D14" s="349"/>
      <c r="E14" s="265"/>
      <c r="F14" s="265"/>
      <c r="G14" s="265"/>
      <c r="H14" s="265"/>
      <c r="I14" s="51"/>
    </row>
    <row r="15" spans="1:9" x14ac:dyDescent="0.15">
      <c r="A15" s="75">
        <v>95</v>
      </c>
      <c r="B15" s="336" t="s">
        <v>76</v>
      </c>
      <c r="C15" s="350" t="str">
        <f>'B.S.'!C23</f>
        <v>اوراق القبض+ رصيد العملاء</v>
      </c>
      <c r="D15" s="349"/>
      <c r="E15" s="265">
        <f>'B.S.'!F23-'B.S.'!D23</f>
        <v>249809.24599999981</v>
      </c>
      <c r="F15" s="265">
        <f>'B.S.'!H23-'B.S.'!F23</f>
        <v>182766.75400000019</v>
      </c>
      <c r="G15" s="265">
        <f>'B.S.'!J23-'B.S.'!H23</f>
        <v>-2389644</v>
      </c>
      <c r="H15" s="265">
        <f>'B.S.'!L23-'B.S.'!J23</f>
        <v>0</v>
      </c>
      <c r="I15" s="51">
        <f>'B.S.'!N23-'B.S.'!L23</f>
        <v>0</v>
      </c>
    </row>
    <row r="16" spans="1:9" x14ac:dyDescent="0.15">
      <c r="A16" s="75">
        <v>96</v>
      </c>
      <c r="B16" s="336" t="s">
        <v>23</v>
      </c>
      <c r="C16" s="77" t="str">
        <f>'B.S.'!C24</f>
        <v>المخزون</v>
      </c>
      <c r="D16" s="277"/>
      <c r="E16" s="258">
        <f>'B.S.'!F24-'B.S.'!D24</f>
        <v>-39800.186999999918</v>
      </c>
      <c r="F16" s="258">
        <f>'B.S.'!H24-'B.S.'!F24</f>
        <v>253050.32200000016</v>
      </c>
      <c r="G16" s="258">
        <f>'B.S.'!J24-'B.S.'!H24</f>
        <v>-2951082.0759999999</v>
      </c>
      <c r="H16" s="258">
        <f>'B.S.'!L24-'B.S.'!J24</f>
        <v>0</v>
      </c>
      <c r="I16" s="276">
        <f>'B.S.'!N24-'B.S.'!L24</f>
        <v>0</v>
      </c>
    </row>
    <row r="17" spans="1:9" x14ac:dyDescent="0.15">
      <c r="A17" s="75">
        <v>97</v>
      </c>
      <c r="B17" s="336" t="s">
        <v>65</v>
      </c>
      <c r="C17" s="77" t="s">
        <v>156</v>
      </c>
      <c r="D17" s="277"/>
      <c r="E17" s="258">
        <f>'B.S.'!F25-'B.S.'!D25</f>
        <v>-21175</v>
      </c>
      <c r="F17" s="258">
        <f>'B.S.'!H25-'B.S.'!F25</f>
        <v>0</v>
      </c>
      <c r="G17" s="258">
        <f>'B.S.'!J25-'B.S.'!H25</f>
        <v>0</v>
      </c>
      <c r="H17" s="258">
        <f>'B.S.'!L25-'B.S.'!J25</f>
        <v>0</v>
      </c>
      <c r="I17" s="276">
        <f>'B.S.'!N25-'B.S.'!L25</f>
        <v>0</v>
      </c>
    </row>
    <row r="18" spans="1:9" x14ac:dyDescent="0.15">
      <c r="A18" s="75">
        <v>98</v>
      </c>
      <c r="B18" s="336" t="s">
        <v>18</v>
      </c>
      <c r="C18" s="77" t="str">
        <f>'B.S.'!C26</f>
        <v xml:space="preserve">اصول متداوله اخرى </v>
      </c>
      <c r="D18" s="277"/>
      <c r="E18" s="258">
        <f>'B.S.'!F26-'B.S.'!D26</f>
        <v>-37432</v>
      </c>
      <c r="F18" s="258">
        <f>'B.S.'!H26-'B.S.'!F26</f>
        <v>518897</v>
      </c>
      <c r="G18" s="258">
        <f>'B.S.'!J26-'B.S.'!H26</f>
        <v>-1169978</v>
      </c>
      <c r="H18" s="258">
        <f>'B.S.'!L26-'B.S.'!J26</f>
        <v>0</v>
      </c>
      <c r="I18" s="276">
        <f>'B.S.'!N26-'B.S.'!L26</f>
        <v>0</v>
      </c>
    </row>
    <row r="19" spans="1:9" x14ac:dyDescent="0.15">
      <c r="A19" s="75">
        <v>99</v>
      </c>
      <c r="B19" s="336" t="s">
        <v>25</v>
      </c>
      <c r="C19" s="82" t="str">
        <f>'B.S.'!C27</f>
        <v>جاري شركات تابعة</v>
      </c>
      <c r="D19" s="337"/>
      <c r="E19" s="338">
        <f>'B.S.'!F27-'B.S.'!D27</f>
        <v>0</v>
      </c>
      <c r="F19" s="338">
        <f>'B.S.'!H27-'B.S.'!F27</f>
        <v>0</v>
      </c>
      <c r="G19" s="338">
        <f>'B.S.'!J27-'B.S.'!H27</f>
        <v>0</v>
      </c>
      <c r="H19" s="338">
        <f>'B.S.'!L27-'B.S.'!J27</f>
        <v>0</v>
      </c>
      <c r="I19" s="339">
        <f>'B.S.'!N27-'B.S.'!L27</f>
        <v>0</v>
      </c>
    </row>
    <row r="20" spans="1:9" x14ac:dyDescent="0.15">
      <c r="A20" s="75">
        <v>100</v>
      </c>
      <c r="B20" s="336" t="s">
        <v>40</v>
      </c>
      <c r="C20" s="351" t="s">
        <v>157</v>
      </c>
      <c r="D20" s="352"/>
      <c r="E20" s="353">
        <f>SUM(E15:E19)</f>
        <v>151402.05899999989</v>
      </c>
      <c r="F20" s="353">
        <f>SUM(F15:F19)</f>
        <v>954714.07600000035</v>
      </c>
      <c r="G20" s="353">
        <f>SUM(G15:G19)</f>
        <v>-6510704.0759999994</v>
      </c>
      <c r="H20" s="353">
        <f>SUM(H15:H19)</f>
        <v>0</v>
      </c>
      <c r="I20" s="354">
        <f>SUM(I15:I19)</f>
        <v>0</v>
      </c>
    </row>
    <row r="21" spans="1:9" x14ac:dyDescent="0.15">
      <c r="A21" s="75"/>
      <c r="B21" s="336" t="s">
        <v>57</v>
      </c>
      <c r="C21" s="344" t="s">
        <v>154</v>
      </c>
      <c r="D21" s="345"/>
      <c r="E21" s="346"/>
      <c r="F21" s="346"/>
      <c r="G21" s="346"/>
      <c r="H21" s="346"/>
      <c r="I21" s="347"/>
    </row>
    <row r="22" spans="1:9" x14ac:dyDescent="0.15">
      <c r="A22" s="75"/>
      <c r="B22" s="336" t="s">
        <v>77</v>
      </c>
      <c r="C22" s="348" t="s">
        <v>158</v>
      </c>
      <c r="D22" s="349"/>
      <c r="E22" s="265"/>
      <c r="F22" s="265"/>
      <c r="G22" s="265"/>
      <c r="H22" s="265"/>
      <c r="I22" s="51"/>
    </row>
    <row r="23" spans="1:9" x14ac:dyDescent="0.15">
      <c r="A23" s="75">
        <v>101</v>
      </c>
      <c r="B23" s="336"/>
      <c r="C23" s="350" t="str">
        <f>'B.S.'!C38</f>
        <v xml:space="preserve">موردون واوراق دفع </v>
      </c>
      <c r="D23" s="349"/>
      <c r="E23" s="265">
        <f>'B.S.'!F38-'B.S.'!D38</f>
        <v>-245140.52499999991</v>
      </c>
      <c r="F23" s="265">
        <f>'B.S.'!H38-'B.S.'!F38</f>
        <v>550919</v>
      </c>
      <c r="G23" s="265">
        <f>'B.S.'!J38-'B.S.'!H38</f>
        <v>-1046083</v>
      </c>
      <c r="H23" s="265">
        <f>'B.S.'!L38-'B.S.'!J38</f>
        <v>0</v>
      </c>
      <c r="I23" s="51">
        <f>'B.S.'!N38-'B.S.'!L38</f>
        <v>0</v>
      </c>
    </row>
    <row r="24" spans="1:9" x14ac:dyDescent="0.15">
      <c r="A24" s="75">
        <v>102</v>
      </c>
      <c r="B24" s="336" t="s">
        <v>78</v>
      </c>
      <c r="C24" s="77" t="str">
        <f>'B.S.'!C39</f>
        <v>مصروفات مستحقه</v>
      </c>
      <c r="D24" s="277"/>
      <c r="E24" s="258">
        <f>'B.S.'!F39-'B.S.'!D39</f>
        <v>168341</v>
      </c>
      <c r="F24" s="258">
        <f>'B.S.'!H39-'B.S.'!F39</f>
        <v>-178796</v>
      </c>
      <c r="G24" s="258">
        <f>'B.S.'!J39-'B.S.'!H39</f>
        <v>-186950</v>
      </c>
      <c r="H24" s="258">
        <f>'B.S.'!L39-'B.S.'!J39</f>
        <v>0</v>
      </c>
      <c r="I24" s="276">
        <f>'B.S.'!N39-'B.S.'!L39</f>
        <v>0</v>
      </c>
    </row>
    <row r="25" spans="1:9" x14ac:dyDescent="0.15">
      <c r="A25" s="75">
        <v>103</v>
      </c>
      <c r="B25" s="336" t="s">
        <v>18</v>
      </c>
      <c r="C25" s="77" t="str">
        <f>'B.S.'!C40</f>
        <v xml:space="preserve">ارصده دائنه اخرى </v>
      </c>
      <c r="D25" s="277"/>
      <c r="E25" s="258">
        <f>'B.S.'!F40-'B.S.'!D40</f>
        <v>0</v>
      </c>
      <c r="F25" s="258">
        <f>'B.S.'!H40-'B.S.'!F40</f>
        <v>0</v>
      </c>
      <c r="G25" s="258">
        <f>'B.S.'!J40-'B.S.'!H40</f>
        <v>0</v>
      </c>
      <c r="H25" s="258">
        <f>'B.S.'!L40-'B.S.'!J40</f>
        <v>0</v>
      </c>
      <c r="I25" s="276">
        <f>'B.S.'!N40-'B.S.'!L40</f>
        <v>0</v>
      </c>
    </row>
    <row r="26" spans="1:9" x14ac:dyDescent="0.15">
      <c r="A26" s="75">
        <v>104</v>
      </c>
      <c r="B26" s="336" t="s">
        <v>20</v>
      </c>
      <c r="C26" s="77" t="str">
        <f>'B.S.'!C41</f>
        <v>دائنو توزيعات</v>
      </c>
      <c r="D26" s="277"/>
      <c r="E26" s="258">
        <f>'B.S.'!F41-'B.S.'!D41</f>
        <v>0</v>
      </c>
      <c r="F26" s="258">
        <f>'B.S.'!H41-'B.S.'!F41</f>
        <v>0</v>
      </c>
      <c r="G26" s="258">
        <f>'B.S.'!J41-'B.S.'!H41</f>
        <v>0</v>
      </c>
      <c r="H26" s="258">
        <f>'B.S.'!L41-'B.S.'!J41</f>
        <v>0</v>
      </c>
      <c r="I26" s="276">
        <f>'B.S.'!N41-'B.S.'!L41</f>
        <v>0</v>
      </c>
    </row>
    <row r="27" spans="1:9" x14ac:dyDescent="0.15">
      <c r="A27" s="75">
        <v>105</v>
      </c>
      <c r="B27" s="336" t="s">
        <v>68</v>
      </c>
      <c r="C27" s="77" t="str">
        <f>'B.S.'!C42</f>
        <v xml:space="preserve">مخصصات </v>
      </c>
      <c r="D27" s="277"/>
      <c r="E27" s="258">
        <f>'B.S.'!F42-'B.S.'!D42</f>
        <v>0</v>
      </c>
      <c r="F27" s="258">
        <f>'B.S.'!H42-'B.S.'!F42</f>
        <v>0</v>
      </c>
      <c r="G27" s="258">
        <f>'B.S.'!J42-'B.S.'!H42</f>
        <v>0</v>
      </c>
      <c r="H27" s="258">
        <f>'B.S.'!L42-'B.S.'!J42</f>
        <v>0</v>
      </c>
      <c r="I27" s="276">
        <f>'B.S.'!N42-'B.S.'!L42</f>
        <v>0</v>
      </c>
    </row>
    <row r="28" spans="1:9" x14ac:dyDescent="0.15">
      <c r="A28" s="75">
        <v>106</v>
      </c>
      <c r="B28" s="336"/>
      <c r="C28" s="82" t="str">
        <f>'B.S.'!C43</f>
        <v>مستحق لشركات تابعه</v>
      </c>
      <c r="D28" s="337"/>
      <c r="E28" s="338">
        <f>'B.S.'!F43-'B.S.'!D43</f>
        <v>0</v>
      </c>
      <c r="F28" s="338">
        <f>'B.S.'!H43-'B.S.'!F43</f>
        <v>0</v>
      </c>
      <c r="G28" s="338">
        <f>'B.S.'!J43-'B.S.'!H43</f>
        <v>0</v>
      </c>
      <c r="H28" s="338">
        <f>'B.S.'!L43-'B.S.'!J43</f>
        <v>0</v>
      </c>
      <c r="I28" s="339">
        <f>'B.S.'!N43-'B.S.'!L43</f>
        <v>0</v>
      </c>
    </row>
    <row r="29" spans="1:9" x14ac:dyDescent="0.15">
      <c r="A29" s="75">
        <v>107</v>
      </c>
      <c r="B29" s="336"/>
      <c r="C29" s="355" t="s">
        <v>159</v>
      </c>
      <c r="D29" s="352"/>
      <c r="E29" s="353">
        <f>SUM(E23:E28)</f>
        <v>-76799.524999999907</v>
      </c>
      <c r="F29" s="353">
        <f>SUM(F23:F28)</f>
        <v>372123</v>
      </c>
      <c r="G29" s="353">
        <f>SUM(G23:G28)</f>
        <v>-1233033</v>
      </c>
      <c r="H29" s="353">
        <f>SUM(H23:H28)</f>
        <v>0</v>
      </c>
      <c r="I29" s="354">
        <f>SUM(I23:I28)</f>
        <v>0</v>
      </c>
    </row>
    <row r="30" spans="1:9" x14ac:dyDescent="0.15">
      <c r="A30" s="75" t="s">
        <v>74</v>
      </c>
      <c r="B30" s="336"/>
      <c r="C30" s="356"/>
      <c r="D30" s="277"/>
      <c r="E30" s="258"/>
      <c r="F30" s="258"/>
      <c r="G30" s="258"/>
      <c r="H30" s="258"/>
      <c r="I30" s="276"/>
    </row>
    <row r="31" spans="1:9" x14ac:dyDescent="0.15">
      <c r="A31" s="75">
        <v>108</v>
      </c>
      <c r="B31" s="336"/>
      <c r="C31" s="340" t="s">
        <v>160</v>
      </c>
      <c r="D31" s="341"/>
      <c r="E31" s="342">
        <f>E12-E20+E29</f>
        <v>295520.4160000002</v>
      </c>
      <c r="F31" s="342">
        <f>F12-F20+F29</f>
        <v>-89965.07600000035</v>
      </c>
      <c r="G31" s="342">
        <f>G12-G20+G29</f>
        <v>5277671.0759999994</v>
      </c>
      <c r="H31" s="342">
        <f>H12-H20+H29</f>
        <v>0</v>
      </c>
      <c r="I31" s="343">
        <f>I12-I20+I29</f>
        <v>0</v>
      </c>
    </row>
    <row r="32" spans="1:9" x14ac:dyDescent="0.15">
      <c r="A32" s="75"/>
      <c r="B32" s="336"/>
      <c r="C32" s="357"/>
      <c r="D32" s="345"/>
      <c r="E32" s="346"/>
      <c r="F32" s="346"/>
      <c r="G32" s="346"/>
      <c r="H32" s="346"/>
      <c r="I32" s="347"/>
    </row>
    <row r="33" spans="1:9" x14ac:dyDescent="0.15">
      <c r="A33" s="75" t="s">
        <v>74</v>
      </c>
      <c r="B33" s="336"/>
      <c r="C33" s="358" t="s">
        <v>154</v>
      </c>
      <c r="D33" s="349"/>
      <c r="E33" s="265"/>
      <c r="F33" s="265"/>
      <c r="G33" s="265"/>
      <c r="H33" s="265"/>
      <c r="I33" s="51"/>
    </row>
    <row r="34" spans="1:9" x14ac:dyDescent="0.15">
      <c r="A34" s="75"/>
      <c r="B34" s="336"/>
      <c r="C34" s="348" t="s">
        <v>161</v>
      </c>
      <c r="D34" s="349"/>
      <c r="E34" s="359" t="s">
        <v>75</v>
      </c>
      <c r="F34" s="359" t="s">
        <v>75</v>
      </c>
      <c r="G34" s="359" t="s">
        <v>75</v>
      </c>
      <c r="H34" s="359" t="s">
        <v>75</v>
      </c>
      <c r="I34" s="360" t="s">
        <v>75</v>
      </c>
    </row>
    <row r="35" spans="1:9" x14ac:dyDescent="0.15">
      <c r="A35" s="75">
        <v>109</v>
      </c>
      <c r="B35" s="336" t="s">
        <v>57</v>
      </c>
      <c r="C35" s="350" t="str">
        <f>'I.S.'!C60</f>
        <v xml:space="preserve">اجمالى المصروفات الراسماليه </v>
      </c>
      <c r="D35" s="349"/>
      <c r="E35" s="265">
        <f>'I.S.'!F60</f>
        <v>3500</v>
      </c>
      <c r="F35" s="265">
        <f>'I.S.'!H60</f>
        <v>147650</v>
      </c>
      <c r="G35" s="265">
        <f>'I.S.'!J60</f>
        <v>-12116587</v>
      </c>
      <c r="H35" s="265">
        <f>'I.S.'!L60</f>
        <v>0</v>
      </c>
      <c r="I35" s="51">
        <f>'I.S.'!N60</f>
        <v>0</v>
      </c>
    </row>
    <row r="36" spans="1:9" x14ac:dyDescent="0.15">
      <c r="A36" s="75">
        <v>110</v>
      </c>
      <c r="B36" s="336" t="s">
        <v>63</v>
      </c>
      <c r="C36" s="77" t="s">
        <v>136</v>
      </c>
      <c r="D36" s="277"/>
      <c r="E36" s="258">
        <f>'I.S.'!F41</f>
        <v>0</v>
      </c>
      <c r="F36" s="258">
        <f>'I.S.'!H41</f>
        <v>0</v>
      </c>
      <c r="G36" s="258">
        <f>'I.S.'!J41</f>
        <v>0</v>
      </c>
      <c r="H36" s="258">
        <f>'I.S.'!L41</f>
        <v>0</v>
      </c>
      <c r="I36" s="276">
        <f>'I.S.'!N41</f>
        <v>0</v>
      </c>
    </row>
    <row r="37" spans="1:9" x14ac:dyDescent="0.15">
      <c r="A37" s="75">
        <v>111</v>
      </c>
      <c r="B37" s="336" t="s">
        <v>57</v>
      </c>
      <c r="C37" s="77" t="s">
        <v>162</v>
      </c>
      <c r="D37" s="277"/>
      <c r="E37" s="258">
        <f>-IF(('B.S.'!F44+'B.S.'!F46+'B.S.'!F47+'B.S.'!F48)&lt;('B.S.'!D44+'B.S.'!D46+'B.S.'!D47+'B.S.'!D48),('B.S.'!F44+'B.S.'!F46+'B.S.'!F47+'B.S.'!F48)-('B.S.'!D44+'B.S.'!D46+'B.S.'!D47+'B.S.'!D48),0)</f>
        <v>0</v>
      </c>
      <c r="F37" s="258">
        <f>-IF(('B.S.'!H44+'B.S.'!H46+'B.S.'!H47+'B.S.'!H48)&lt;('B.S.'!F44+'B.S.'!F46+'B.S.'!F47+'B.S.'!F48),('B.S.'!H44+'B.S.'!H46+'B.S.'!H47+'B.S.'!H48)-('B.S.'!F44+'B.S.'!F46+'B.S.'!F47+'B.S.'!F48),0)</f>
        <v>145002</v>
      </c>
      <c r="G37" s="258">
        <f>-IF(('B.S.'!J44+'B.S.'!J46+'B.S.'!J47+'B.S.'!J48)&lt;('B.S.'!H44+'B.S.'!H46+'B.S.'!H47+'B.S.'!H48),('B.S.'!J44+'B.S.'!J46+'B.S.'!J47+'B.S.'!J48)-('B.S.'!H44+'B.S.'!H46+'B.S.'!H47+'B.S.'!H48),0)</f>
        <v>3845831</v>
      </c>
      <c r="H37" s="258">
        <f>-IF(('B.S.'!L44+'B.S.'!L46+'B.S.'!L47+'B.S.'!L48)&lt;('B.S.'!J44+'B.S.'!J46+'B.S.'!J47+'B.S.'!J48),('B.S.'!L44+'B.S.'!L46+'B.S.'!L47+'B.S.'!L48)-('B.S.'!J44+'B.S.'!J46+'B.S.'!J47+'B.S.'!J48),0)</f>
        <v>0</v>
      </c>
      <c r="I37" s="276">
        <f>-IF(('B.S.'!N44+'B.S.'!N46+'B.S.'!N47+'B.S.'!N48)&lt;('B.S.'!L44+'B.S.'!L46+'B.S.'!L47+'B.S.'!L48),('B.S.'!N44+'B.S.'!N46+'B.S.'!N47+'B.S.'!N48)-('B.S.'!L44+'B.S.'!L46+'B.S.'!L47+'B.S.'!L48),0)</f>
        <v>0</v>
      </c>
    </row>
    <row r="38" spans="1:9" x14ac:dyDescent="0.15">
      <c r="A38" s="75">
        <v>112</v>
      </c>
      <c r="B38" s="336"/>
      <c r="C38" s="77" t="s">
        <v>163</v>
      </c>
      <c r="D38" s="277"/>
      <c r="E38" s="258">
        <f>-IF('B.S.'!F37&lt;'B.S.'!D37,'B.S.'!F37-'B.S.'!D37,0)</f>
        <v>0</v>
      </c>
      <c r="F38" s="258">
        <f>-IF('B.S.'!H37&lt;'B.S.'!F37,'B.S.'!H37-'B.S.'!F37,0)</f>
        <v>0</v>
      </c>
      <c r="G38" s="258">
        <f>-IF('B.S.'!J37&lt;'B.S.'!H37,'B.S.'!J37-'B.S.'!H37,0)</f>
        <v>0</v>
      </c>
      <c r="H38" s="258">
        <f>-IF('B.S.'!L37&lt;'B.S.'!J37,'B.S.'!L37-'B.S.'!J37,0)</f>
        <v>0</v>
      </c>
      <c r="I38" s="276">
        <f>-IF('B.S.'!N37&lt;'B.S.'!L37,'B.S.'!N37-'B.S.'!L37,0)</f>
        <v>0</v>
      </c>
    </row>
    <row r="39" spans="1:9" x14ac:dyDescent="0.15">
      <c r="A39" s="75">
        <v>113</v>
      </c>
      <c r="B39" s="336" t="s">
        <v>63</v>
      </c>
      <c r="C39" s="77" t="s">
        <v>164</v>
      </c>
      <c r="D39" s="277"/>
      <c r="E39" s="258">
        <f>'I.S.'!F42+'I.S.'!F43</f>
        <v>246983</v>
      </c>
      <c r="F39" s="258">
        <f>'I.S.'!H42+'I.S.'!H43</f>
        <v>0</v>
      </c>
      <c r="G39" s="258">
        <f>'I.S.'!J42+'I.S.'!J43</f>
        <v>15217552</v>
      </c>
      <c r="H39" s="258">
        <f>'I.S.'!L42+'I.S.'!L43</f>
        <v>0</v>
      </c>
      <c r="I39" s="276">
        <f>'I.S.'!N42+'I.S.'!N43</f>
        <v>0</v>
      </c>
    </row>
    <row r="40" spans="1:9" x14ac:dyDescent="0.15">
      <c r="A40" s="75">
        <v>114</v>
      </c>
      <c r="B40" s="336" t="s">
        <v>76</v>
      </c>
      <c r="C40" s="77" t="str">
        <f>'B.S.'!C30</f>
        <v>استثمارات في شركات تابعة</v>
      </c>
      <c r="D40" s="277"/>
      <c r="E40" s="258">
        <f>'B.S.'!F30-'B.S.'!D30</f>
        <v>0</v>
      </c>
      <c r="F40" s="258">
        <f>'B.S.'!H30-'B.S.'!F30</f>
        <v>0</v>
      </c>
      <c r="G40" s="258">
        <f>'B.S.'!J30-'B.S.'!H30</f>
        <v>0</v>
      </c>
      <c r="H40" s="258">
        <f>'B.S.'!L30-'B.S.'!J30</f>
        <v>0</v>
      </c>
      <c r="I40" s="276">
        <f>'B.S.'!N30-'B.S.'!L30</f>
        <v>0</v>
      </c>
    </row>
    <row r="41" spans="1:9" x14ac:dyDescent="0.15">
      <c r="A41" s="75">
        <v>115</v>
      </c>
      <c r="B41" s="336" t="s">
        <v>23</v>
      </c>
      <c r="C41" s="77" t="str">
        <f>'B.S.'!C31</f>
        <v>استثمارات طويلة الأجل</v>
      </c>
      <c r="D41" s="277"/>
      <c r="E41" s="258">
        <f>'B.S.'!F31-'B.S.'!D31</f>
        <v>0</v>
      </c>
      <c r="F41" s="258">
        <f>'B.S.'!H31-'B.S.'!F31</f>
        <v>0</v>
      </c>
      <c r="G41" s="258">
        <f>'B.S.'!J31-'B.S.'!H31</f>
        <v>0</v>
      </c>
      <c r="H41" s="258">
        <f>'B.S.'!L31-'B.S.'!J31</f>
        <v>0</v>
      </c>
      <c r="I41" s="276">
        <f>'B.S.'!N31-'B.S.'!L31</f>
        <v>0</v>
      </c>
    </row>
    <row r="42" spans="1:9" x14ac:dyDescent="0.15">
      <c r="A42" s="75">
        <v>116</v>
      </c>
      <c r="B42" s="336" t="s">
        <v>65</v>
      </c>
      <c r="C42" s="77" t="str">
        <f>'B.S.'!C32</f>
        <v>جاري مصلحة الضرائب</v>
      </c>
      <c r="D42" s="277"/>
      <c r="E42" s="258">
        <f>'B.S.'!F32-'B.S.'!D32</f>
        <v>0</v>
      </c>
      <c r="F42" s="258">
        <f>'B.S.'!H32-'B.S.'!F32</f>
        <v>0</v>
      </c>
      <c r="G42" s="258">
        <f>'B.S.'!J32-'B.S.'!H32</f>
        <v>0</v>
      </c>
      <c r="H42" s="258">
        <f>'B.S.'!L32-'B.S.'!J32</f>
        <v>0</v>
      </c>
      <c r="I42" s="276">
        <f>'B.S.'!N32-'B.S.'!L32</f>
        <v>0</v>
      </c>
    </row>
    <row r="43" spans="1:9" x14ac:dyDescent="0.15">
      <c r="A43" s="75">
        <v>117</v>
      </c>
      <c r="B43" s="336" t="s">
        <v>18</v>
      </c>
      <c r="C43" s="77" t="str">
        <f>'B.S.'!C33</f>
        <v>اصول اخرى غير متداوله</v>
      </c>
      <c r="D43" s="277"/>
      <c r="E43" s="258">
        <f>'B.S.'!F33-'B.S.'!D33</f>
        <v>0</v>
      </c>
      <c r="F43" s="258">
        <f>'B.S.'!H33-'B.S.'!F33</f>
        <v>0</v>
      </c>
      <c r="G43" s="258">
        <f>'B.S.'!J33-'B.S.'!H33</f>
        <v>0</v>
      </c>
      <c r="H43" s="258">
        <f>'B.S.'!L33-'B.S.'!J33</f>
        <v>0</v>
      </c>
      <c r="I43" s="276">
        <f>'B.S.'!N33-'B.S.'!L33</f>
        <v>0</v>
      </c>
    </row>
    <row r="44" spans="1:9" x14ac:dyDescent="0.15">
      <c r="A44" s="75">
        <v>118</v>
      </c>
      <c r="B44" s="336" t="s">
        <v>25</v>
      </c>
      <c r="C44" s="82" t="str">
        <f>'B.S.'!C34</f>
        <v xml:space="preserve"> (شهرة ) اصول غير ملموسه</v>
      </c>
      <c r="D44" s="337"/>
      <c r="E44" s="338">
        <f>'B.S.'!F34-'B.S.'!D34+'I.S.'!F15+'I.S.'!F16</f>
        <v>0</v>
      </c>
      <c r="F44" s="338">
        <f>'B.S.'!H34-'B.S.'!F34+'I.S.'!H15+'I.S.'!H16</f>
        <v>0</v>
      </c>
      <c r="G44" s="338">
        <f>'B.S.'!J34-'B.S.'!H34+'I.S.'!J15+'I.S.'!J16</f>
        <v>0</v>
      </c>
      <c r="H44" s="338">
        <f>'B.S.'!L34-'B.S.'!J34+'I.S.'!L15+'I.S.'!L16</f>
        <v>0</v>
      </c>
      <c r="I44" s="339">
        <f>'B.S.'!N34-'B.S.'!L34+'I.S.'!N15+'I.S.'!N16</f>
        <v>0</v>
      </c>
    </row>
    <row r="45" spans="1:9" x14ac:dyDescent="0.15">
      <c r="A45" s="75">
        <v>119</v>
      </c>
      <c r="B45" s="336" t="s">
        <v>40</v>
      </c>
      <c r="C45" s="351" t="s">
        <v>165</v>
      </c>
      <c r="D45" s="352"/>
      <c r="E45" s="353">
        <f>SUM(E35:E44)</f>
        <v>250483</v>
      </c>
      <c r="F45" s="353">
        <f>SUM(F35:F44)</f>
        <v>292652</v>
      </c>
      <c r="G45" s="353">
        <f>SUM(G35:G44)</f>
        <v>6946796</v>
      </c>
      <c r="H45" s="353">
        <f>SUM(H35:H44)</f>
        <v>0</v>
      </c>
      <c r="I45" s="354">
        <f>SUM(I35:I44)</f>
        <v>0</v>
      </c>
    </row>
    <row r="46" spans="1:9" x14ac:dyDescent="0.15">
      <c r="A46" s="75" t="s">
        <v>74</v>
      </c>
      <c r="B46" s="336" t="s">
        <v>57</v>
      </c>
      <c r="C46" s="361" t="s">
        <v>166</v>
      </c>
      <c r="D46" s="345"/>
      <c r="E46" s="346"/>
      <c r="F46" s="346"/>
      <c r="G46" s="346"/>
      <c r="H46" s="346"/>
      <c r="I46" s="347"/>
    </row>
    <row r="47" spans="1:9" x14ac:dyDescent="0.15">
      <c r="A47" s="75"/>
      <c r="B47" s="336" t="s">
        <v>77</v>
      </c>
      <c r="C47" s="348" t="s">
        <v>167</v>
      </c>
      <c r="D47" s="349"/>
      <c r="E47" s="265"/>
      <c r="F47" s="265"/>
      <c r="G47" s="265"/>
      <c r="H47" s="265"/>
      <c r="I47" s="51"/>
    </row>
    <row r="48" spans="1:9" x14ac:dyDescent="0.15">
      <c r="A48" s="75">
        <v>120</v>
      </c>
      <c r="B48" s="336"/>
      <c r="C48" s="350" t="s">
        <v>168</v>
      </c>
      <c r="D48" s="349"/>
      <c r="E48" s="265">
        <f>'I.S.'!F36</f>
        <v>0</v>
      </c>
      <c r="F48" s="265">
        <f>'I.S.'!H36</f>
        <v>0</v>
      </c>
      <c r="G48" s="265">
        <f>'I.S.'!J36</f>
        <v>0</v>
      </c>
      <c r="H48" s="265">
        <f>'I.S.'!L36</f>
        <v>0</v>
      </c>
      <c r="I48" s="51">
        <f>'I.S.'!N36</f>
        <v>0</v>
      </c>
    </row>
    <row r="49" spans="1:9" x14ac:dyDescent="0.15">
      <c r="A49" s="75">
        <v>121</v>
      </c>
      <c r="B49" s="336" t="s">
        <v>78</v>
      </c>
      <c r="C49" s="77" t="s">
        <v>169</v>
      </c>
      <c r="D49" s="277"/>
      <c r="E49" s="258">
        <f>IF(('B.S.'!F44+'B.S.'!F46+'B.S.'!F47+'B.S.'!F48)&gt;('B.S.'!D44+'B.S.'!D46+'B.S.'!D47+'B.S.'!D48),('B.S.'!F44+'B.S.'!F46+'B.S.'!F47+'B.S.'!F48)-('B.S.'!D44+'B.S.'!D46+'B.S.'!D47+'B.S.'!D48),0)</f>
        <v>0</v>
      </c>
      <c r="F49" s="258">
        <f>IF(('B.S.'!H44+'B.S.'!H46+'B.S.'!H47+'B.S.'!H48)&gt;('B.S.'!F44+'B.S.'!F46+'B.S.'!F47+'B.S.'!F48),('B.S.'!H44+'B.S.'!H46+'B.S.'!H47+'B.S.'!H48)-('B.S.'!F44+'B.S.'!F46+'B.S.'!F47+'B.S.'!F48),0)</f>
        <v>0</v>
      </c>
      <c r="G49" s="258">
        <f>IF(('B.S.'!J44+'B.S.'!J46+'B.S.'!J47+'B.S.'!J48)&gt;('B.S.'!H44+'B.S.'!H46+'B.S.'!H47+'B.S.'!H48),('B.S.'!J44+'B.S.'!J46+'B.S.'!J47+'B.S.'!J48)-('B.S.'!H44+'B.S.'!H46+'B.S.'!H47+'B.S.'!H48),0)</f>
        <v>0</v>
      </c>
      <c r="H49" s="258">
        <f>IF(('B.S.'!L44+'B.S.'!L46+'B.S.'!L47+'B.S.'!L48)&gt;('B.S.'!J44+'B.S.'!J46+'B.S.'!J47+'B.S.'!J48),('B.S.'!L44+'B.S.'!L46+'B.S.'!L47+'B.S.'!L48)-('B.S.'!J44+'B.S.'!J46+'B.S.'!J47+'B.S.'!J48),0)</f>
        <v>0</v>
      </c>
      <c r="I49" s="276">
        <f>IF(('B.S.'!N44+'B.S.'!N46+'B.S.'!N47+'B.S.'!N48)&gt;('B.S.'!L44+'B.S.'!L46+'B.S.'!L47+'B.S.'!L48),('B.S.'!N44+'B.S.'!N46+'B.S.'!N47+'B.S.'!N48)-('B.S.'!L44+'B.S.'!L46+'B.S.'!L47+'B.S.'!L48),0)</f>
        <v>0</v>
      </c>
    </row>
    <row r="50" spans="1:9" x14ac:dyDescent="0.15">
      <c r="A50" s="75">
        <v>122</v>
      </c>
      <c r="B50" s="336" t="s">
        <v>18</v>
      </c>
      <c r="C50" s="77" t="s">
        <v>170</v>
      </c>
      <c r="D50" s="277"/>
      <c r="E50" s="258">
        <f>IF('B.S.'!F37&gt;'B.S.'!D37,'B.S.'!F37-'B.S.'!D37,0)</f>
        <v>0</v>
      </c>
      <c r="F50" s="258">
        <f>IF('B.S.'!H37&gt;'B.S.'!F37,'B.S.'!H37-'B.S.'!F37,0)</f>
        <v>0</v>
      </c>
      <c r="G50" s="258">
        <f>IF('B.S.'!J37&gt;'B.S.'!H37,'B.S.'!J37-'B.S.'!H37,0)</f>
        <v>0</v>
      </c>
      <c r="H50" s="258">
        <f>IF('B.S.'!L37&gt;'B.S.'!J37,'B.S.'!L37-'B.S.'!J37,0)</f>
        <v>0</v>
      </c>
      <c r="I50" s="276">
        <f>IF('B.S.'!N37&gt;'B.S.'!L37,'B.S.'!N37-'B.S.'!L37,0)</f>
        <v>0</v>
      </c>
    </row>
    <row r="51" spans="1:9" x14ac:dyDescent="0.15">
      <c r="A51" s="75">
        <v>123</v>
      </c>
      <c r="B51" s="336" t="s">
        <v>20</v>
      </c>
      <c r="C51" s="77" t="s">
        <v>171</v>
      </c>
      <c r="D51" s="277"/>
      <c r="E51" s="258">
        <f>'I.S.'!F58</f>
        <v>0</v>
      </c>
      <c r="F51" s="258">
        <f>'I.S.'!H58</f>
        <v>0</v>
      </c>
      <c r="G51" s="258">
        <f>'I.S.'!J58</f>
        <v>0</v>
      </c>
      <c r="H51" s="258">
        <f>'I.S.'!L58</f>
        <v>0</v>
      </c>
      <c r="I51" s="276">
        <f>'I.S.'!N58</f>
        <v>0</v>
      </c>
    </row>
    <row r="52" spans="1:9" x14ac:dyDescent="0.15">
      <c r="A52" s="75">
        <v>124</v>
      </c>
      <c r="B52" s="336" t="s">
        <v>68</v>
      </c>
      <c r="C52" s="77" t="s">
        <v>172</v>
      </c>
      <c r="D52" s="277"/>
      <c r="E52" s="258">
        <f>'I.S.'!F37+'I.S.'!F38</f>
        <v>0</v>
      </c>
      <c r="F52" s="258">
        <f>'I.S.'!H37+'I.S.'!H38</f>
        <v>740339</v>
      </c>
      <c r="G52" s="258">
        <f>'I.S.'!J37+'I.S.'!J38</f>
        <v>0</v>
      </c>
      <c r="H52" s="258">
        <f>'I.S.'!L37+'I.S.'!L38</f>
        <v>0</v>
      </c>
      <c r="I52" s="276">
        <f>'I.S.'!N37+'I.S.'!N38</f>
        <v>0</v>
      </c>
    </row>
    <row r="53" spans="1:9" x14ac:dyDescent="0.15">
      <c r="A53" s="75">
        <v>125</v>
      </c>
      <c r="B53" s="336"/>
      <c r="C53" s="77" t="s">
        <v>97</v>
      </c>
      <c r="D53" s="277"/>
      <c r="E53" s="258">
        <f>'B.S.'!F49-'B.S.'!D49</f>
        <v>0</v>
      </c>
      <c r="F53" s="258">
        <f>'B.S.'!H49-'B.S.'!F49</f>
        <v>0</v>
      </c>
      <c r="G53" s="258" t="e">
        <f>'B.S.'!J49-'B.S.'!H49</f>
        <v>#VALUE!</v>
      </c>
      <c r="H53" s="258" t="e">
        <f>'B.S.'!L49-'B.S.'!J49</f>
        <v>#VALUE!</v>
      </c>
      <c r="I53" s="276">
        <f>'B.S.'!N49-'B.S.'!L49</f>
        <v>0</v>
      </c>
    </row>
    <row r="54" spans="1:9" x14ac:dyDescent="0.15">
      <c r="A54" s="75">
        <v>126</v>
      </c>
      <c r="B54" s="336"/>
      <c r="C54" s="77" t="str">
        <f>'B.S.'!C50</f>
        <v xml:space="preserve">مخصص ضرائب </v>
      </c>
      <c r="D54" s="277"/>
      <c r="E54" s="258">
        <f>'B.S.'!F50-'B.S.'!D50</f>
        <v>0</v>
      </c>
      <c r="F54" s="258">
        <f>'B.S.'!H50-'B.S.'!F50</f>
        <v>0</v>
      </c>
      <c r="G54" s="258">
        <f>'B.S.'!J50-'B.S.'!H50</f>
        <v>0</v>
      </c>
      <c r="H54" s="258">
        <f>'B.S.'!L50-'B.S.'!J50</f>
        <v>0</v>
      </c>
      <c r="I54" s="276">
        <f>'B.S.'!N50-'B.S.'!L50</f>
        <v>0</v>
      </c>
    </row>
    <row r="55" spans="1:9" x14ac:dyDescent="0.15">
      <c r="A55" s="75">
        <v>127</v>
      </c>
      <c r="B55" s="336"/>
      <c r="C55" s="82" t="str">
        <f>'B.S.'!C51</f>
        <v xml:space="preserve">مخصصات اخرى </v>
      </c>
      <c r="D55" s="362"/>
      <c r="E55" s="338">
        <f>'B.S.'!F51-'B.S.'!D51</f>
        <v>0</v>
      </c>
      <c r="F55" s="338">
        <f>'B.S.'!H51-'B.S.'!F51</f>
        <v>0</v>
      </c>
      <c r="G55" s="338">
        <f>'B.S.'!J51-'B.S.'!H51</f>
        <v>0</v>
      </c>
      <c r="H55" s="338">
        <f>'B.S.'!L51-'B.S.'!J51</f>
        <v>0</v>
      </c>
      <c r="I55" s="339">
        <f>'B.S.'!N51-'B.S.'!L51</f>
        <v>0</v>
      </c>
    </row>
    <row r="56" spans="1:9" x14ac:dyDescent="0.15">
      <c r="A56" s="75">
        <v>128</v>
      </c>
      <c r="B56" s="336"/>
      <c r="C56" s="355" t="s">
        <v>173</v>
      </c>
      <c r="D56" s="352"/>
      <c r="E56" s="353">
        <f>SUM(E48:E55)</f>
        <v>0</v>
      </c>
      <c r="F56" s="353">
        <f>SUM(F48:F55)</f>
        <v>740339</v>
      </c>
      <c r="G56" s="353" t="e">
        <f>SUM(G48:G55)</f>
        <v>#VALUE!</v>
      </c>
      <c r="H56" s="353" t="e">
        <f>SUM(H48:H55)</f>
        <v>#VALUE!</v>
      </c>
      <c r="I56" s="354">
        <f>SUM(I48:I55)</f>
        <v>0</v>
      </c>
    </row>
    <row r="57" spans="1:9" x14ac:dyDescent="0.15">
      <c r="A57" s="75"/>
      <c r="B57" s="336"/>
      <c r="C57" s="363"/>
      <c r="D57" s="364"/>
      <c r="E57" s="365"/>
      <c r="F57" s="365"/>
      <c r="G57" s="365"/>
      <c r="H57" s="365"/>
      <c r="I57" s="366"/>
    </row>
    <row r="58" spans="1:9" x14ac:dyDescent="0.15">
      <c r="A58" s="75">
        <v>129</v>
      </c>
      <c r="B58" s="336"/>
      <c r="C58" s="367" t="s">
        <v>174</v>
      </c>
      <c r="D58" s="368"/>
      <c r="E58" s="369">
        <f>E31-E45+E56</f>
        <v>45037.416000000201</v>
      </c>
      <c r="F58" s="369">
        <f>F31-F45+F56</f>
        <v>357721.92399999965</v>
      </c>
      <c r="G58" s="369" t="e">
        <f>G31-G45+G56</f>
        <v>#VALUE!</v>
      </c>
      <c r="H58" s="369" t="e">
        <f>H31-H45+H56</f>
        <v>#VALUE!</v>
      </c>
      <c r="I58" s="370">
        <f>I31-I45+I56</f>
        <v>0</v>
      </c>
    </row>
    <row r="59" spans="1:9" x14ac:dyDescent="0.15">
      <c r="A59" s="142">
        <v>130</v>
      </c>
      <c r="B59" s="371"/>
      <c r="C59" s="372" t="s">
        <v>175</v>
      </c>
      <c r="D59" s="289"/>
      <c r="E59" s="290">
        <f>'B.S.'!F21+'B.S.'!F22-'B.S.'!D21-'B.S.'!D22</f>
        <v>45037.399999999907</v>
      </c>
      <c r="F59" s="290">
        <f>'B.S.'!H21+'B.S.'!H22-'B.S.'!F21-'B.S.'!F22</f>
        <v>357722.10000000009</v>
      </c>
      <c r="G59" s="290">
        <f>'B.S.'!J21+'B.S.'!J22-'B.S.'!H21-'B.S.'!H22</f>
        <v>-1669125</v>
      </c>
      <c r="H59" s="290">
        <f>'B.S.'!L21+'B.S.'!L22-'B.S.'!J21-'B.S.'!J22</f>
        <v>0</v>
      </c>
      <c r="I59" s="291">
        <f>'B.S.'!N21+'B.S.'!N22-'B.S.'!L21-'B.S.'!L22</f>
        <v>0</v>
      </c>
    </row>
  </sheetData>
  <printOptions horizontalCentered="1" verticalCentered="1"/>
  <pageMargins left="0" right="0" top="0.39370078740157483" bottom="0.39370078740157483" header="0.51181102362204722" footer="0.51181102362204722"/>
  <pageSetup paperSize="9" scale="98" pageOrder="overThenDown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1"/>
  <sheetViews>
    <sheetView zoomScale="61" workbookViewId="0">
      <selection activeCell="F39" sqref="F39"/>
    </sheetView>
  </sheetViews>
  <sheetFormatPr defaultColWidth="9.03515625" defaultRowHeight="12.75" x14ac:dyDescent="0.15"/>
  <cols>
    <col min="1" max="1" width="6.47265625" customWidth="1"/>
    <col min="2" max="2" width="28.72265625" customWidth="1"/>
    <col min="3" max="3" width="12.67578125" customWidth="1"/>
    <col min="4" max="4" width="14.29296875" bestFit="1" customWidth="1"/>
    <col min="5" max="5" width="12.67578125" customWidth="1"/>
    <col min="6" max="6" width="14.42578125" customWidth="1"/>
    <col min="7" max="7" width="12.67578125" customWidth="1"/>
    <col min="8" max="8" width="12.67578125" hidden="1" customWidth="1"/>
  </cols>
  <sheetData>
    <row r="1" spans="1:8" ht="15.75" x14ac:dyDescent="0.2">
      <c r="A1" s="373" t="s">
        <v>0</v>
      </c>
      <c r="B1" s="317" t="str">
        <f>'I.S.'!C1</f>
        <v>hanno pop</v>
      </c>
      <c r="C1" s="318"/>
      <c r="D1" s="374" t="s">
        <v>1</v>
      </c>
      <c r="E1" s="319" t="str">
        <f>'B.S.'!H1</f>
        <v>IMC</v>
      </c>
      <c r="F1" s="375" t="s">
        <v>83</v>
      </c>
      <c r="G1" s="376" t="str">
        <f>'B.S.'!L1</f>
        <v>ME</v>
      </c>
      <c r="H1" s="321"/>
    </row>
    <row r="2" spans="1:8" ht="14.25" x14ac:dyDescent="0.15">
      <c r="A2" s="10" t="s">
        <v>2</v>
      </c>
      <c r="B2" s="324" t="str">
        <f>'I.S.'!C2</f>
        <v xml:space="preserve"> </v>
      </c>
      <c r="C2" s="325"/>
      <c r="D2" s="377" t="s">
        <v>3</v>
      </c>
      <c r="E2" s="326" t="str">
        <f>'B.S.'!H2</f>
        <v>EGP</v>
      </c>
      <c r="F2" s="15" t="s">
        <v>4</v>
      </c>
      <c r="G2" s="175" t="str">
        <f>'B.S.'!L2</f>
        <v>12/2025</v>
      </c>
      <c r="H2" s="328"/>
    </row>
    <row r="3" spans="1:8" x14ac:dyDescent="0.15">
      <c r="A3" s="21" t="s">
        <v>5</v>
      </c>
      <c r="B3" s="22"/>
      <c r="C3" s="180" t="str">
        <f>'B.S.'!D3</f>
        <v>Audited</v>
      </c>
      <c r="D3" s="180" t="str">
        <f>'B.S.'!F3</f>
        <v>Audited</v>
      </c>
      <c r="E3" s="180" t="str">
        <f>'B.S.'!H3</f>
        <v>Audited</v>
      </c>
      <c r="F3" s="378" t="s">
        <v>6</v>
      </c>
      <c r="G3" s="378" t="s">
        <v>6</v>
      </c>
      <c r="H3" s="181"/>
    </row>
    <row r="4" spans="1:8" hidden="1" x14ac:dyDescent="0.15">
      <c r="A4" s="21" t="s">
        <v>7</v>
      </c>
      <c r="B4" s="26"/>
      <c r="C4" s="180" t="str">
        <f>'B.S.'!D4</f>
        <v>Unqualified</v>
      </c>
      <c r="D4" s="180" t="str">
        <f>'B.S.'!F4</f>
        <v>Unqualifed</v>
      </c>
      <c r="E4" s="180" t="str">
        <f>'B.S.'!H4</f>
        <v>Unqualified</v>
      </c>
      <c r="F4" s="378" t="s">
        <v>8</v>
      </c>
      <c r="G4" s="180"/>
      <c r="H4" s="181"/>
    </row>
    <row r="5" spans="1:8" x14ac:dyDescent="0.15">
      <c r="A5" s="21" t="s">
        <v>85</v>
      </c>
      <c r="B5" s="26"/>
      <c r="C5" s="180"/>
      <c r="D5" s="180"/>
      <c r="E5" s="180"/>
      <c r="F5" s="24"/>
      <c r="G5" s="180"/>
      <c r="H5" s="181"/>
    </row>
    <row r="6" spans="1:8" x14ac:dyDescent="0.15">
      <c r="A6" s="21" t="s">
        <v>10</v>
      </c>
      <c r="B6" s="22"/>
      <c r="C6" s="27" t="s">
        <v>243</v>
      </c>
      <c r="D6" s="27" t="s">
        <v>243</v>
      </c>
      <c r="E6" s="27" t="s">
        <v>243</v>
      </c>
      <c r="F6" s="27" t="s">
        <v>244</v>
      </c>
      <c r="G6" s="183">
        <f>'B.S.'!L6</f>
        <v>0</v>
      </c>
      <c r="H6" s="329"/>
    </row>
    <row r="7" spans="1:8" x14ac:dyDescent="0.15">
      <c r="A7" s="330" t="s">
        <v>11</v>
      </c>
      <c r="B7" s="35"/>
      <c r="C7" s="189" t="s">
        <v>12</v>
      </c>
      <c r="D7" s="189" t="s">
        <v>12</v>
      </c>
      <c r="E7" s="189" t="s">
        <v>12</v>
      </c>
      <c r="F7" s="189" t="s">
        <v>12</v>
      </c>
      <c r="G7" s="189" t="s">
        <v>12</v>
      </c>
      <c r="H7" s="190" t="s">
        <v>12</v>
      </c>
    </row>
    <row r="8" spans="1:8" ht="14.25" x14ac:dyDescent="0.15">
      <c r="A8" s="331" t="s">
        <v>79</v>
      </c>
      <c r="B8" s="332"/>
      <c r="C8" s="332"/>
      <c r="D8" s="332"/>
      <c r="E8" s="332"/>
      <c r="F8" s="332"/>
      <c r="G8" s="332"/>
      <c r="H8" s="332"/>
    </row>
    <row r="9" spans="1:8" ht="14.25" x14ac:dyDescent="0.15">
      <c r="A9" s="379" t="s">
        <v>80</v>
      </c>
      <c r="B9" s="380"/>
      <c r="C9" s="381"/>
      <c r="D9" s="381"/>
      <c r="E9" s="381"/>
      <c r="F9" s="381"/>
      <c r="G9" s="381"/>
      <c r="H9" s="382"/>
    </row>
    <row r="10" spans="1:8" x14ac:dyDescent="0.15">
      <c r="A10" s="249">
        <v>91</v>
      </c>
      <c r="B10" s="334" t="s">
        <v>130</v>
      </c>
      <c r="C10" s="299"/>
      <c r="D10" s="299">
        <f>'I.S.'!F28</f>
        <v>523722</v>
      </c>
      <c r="E10" s="299">
        <f>'I.S.'!H28</f>
        <v>-853662</v>
      </c>
      <c r="F10" s="299">
        <f>'I.S.'!J28</f>
        <v>0</v>
      </c>
      <c r="G10" s="299">
        <f>'I.S.'!L28</f>
        <v>0</v>
      </c>
      <c r="H10" s="383">
        <f>'I.S.'!N28</f>
        <v>0</v>
      </c>
    </row>
    <row r="11" spans="1:8" x14ac:dyDescent="0.15">
      <c r="A11" s="75">
        <v>92</v>
      </c>
      <c r="B11" s="77" t="s">
        <v>116</v>
      </c>
      <c r="C11" s="297"/>
      <c r="D11" s="297">
        <f>'I.S.'!F14</f>
        <v>0</v>
      </c>
      <c r="E11" s="297">
        <f>'I.S.'!H14</f>
        <v>1346288</v>
      </c>
      <c r="F11" s="297">
        <f>'I.S.'!J14</f>
        <v>0</v>
      </c>
      <c r="G11" s="297">
        <f>'I.S.'!L14</f>
        <v>0</v>
      </c>
      <c r="H11" s="384">
        <f>'I.S.'!N14</f>
        <v>0</v>
      </c>
    </row>
    <row r="12" spans="1:8" x14ac:dyDescent="0.15">
      <c r="A12" s="75">
        <v>93</v>
      </c>
      <c r="B12" s="77" t="s">
        <v>152</v>
      </c>
      <c r="C12" s="297"/>
      <c r="D12" s="297">
        <f>'I.S.'!F15+'I.S.'!F16</f>
        <v>0</v>
      </c>
      <c r="E12" s="297">
        <f>'I.S.'!H15+'I.S.'!H16</f>
        <v>0</v>
      </c>
      <c r="F12" s="297">
        <f>'I.S.'!J15+'I.S.'!J16</f>
        <v>0</v>
      </c>
      <c r="G12" s="297">
        <f>'I.S.'!L15+'I.S.'!L16</f>
        <v>0</v>
      </c>
      <c r="H12" s="384">
        <f>'I.S.'!N15+'I.S.'!N16</f>
        <v>0</v>
      </c>
    </row>
    <row r="13" spans="1:8" x14ac:dyDescent="0.15">
      <c r="A13" s="75"/>
      <c r="B13" s="350"/>
      <c r="C13" s="299"/>
      <c r="D13" s="299"/>
      <c r="E13" s="299"/>
      <c r="F13" s="299"/>
      <c r="G13" s="299"/>
      <c r="H13" s="383"/>
    </row>
    <row r="14" spans="1:8" ht="13.5" x14ac:dyDescent="0.15">
      <c r="A14" s="75"/>
      <c r="B14" s="385" t="s">
        <v>176</v>
      </c>
      <c r="C14" s="299"/>
      <c r="D14" s="299"/>
      <c r="E14" s="299"/>
      <c r="F14" s="299"/>
      <c r="G14" s="299"/>
      <c r="H14" s="383"/>
    </row>
    <row r="15" spans="1:8" ht="13.5" x14ac:dyDescent="0.15">
      <c r="A15" s="75"/>
      <c r="B15" s="386" t="s">
        <v>177</v>
      </c>
      <c r="C15" s="299"/>
      <c r="D15" s="299"/>
      <c r="E15" s="299"/>
      <c r="F15" s="299"/>
      <c r="G15" s="299"/>
      <c r="H15" s="383"/>
    </row>
    <row r="16" spans="1:8" x14ac:dyDescent="0.15">
      <c r="A16" s="75">
        <v>94</v>
      </c>
      <c r="B16" s="350" t="str">
        <f>'B.S.'!C23</f>
        <v>اوراق القبض+ رصيد العملاء</v>
      </c>
      <c r="C16" s="299"/>
      <c r="D16" s="299">
        <f>-('B.S.'!F23-'B.S.'!D23)</f>
        <v>-249809.24599999981</v>
      </c>
      <c r="E16" s="299">
        <f>-('B.S.'!H23-'B.S.'!F23)</f>
        <v>-182766.75400000019</v>
      </c>
      <c r="F16" s="299">
        <f>-('B.S.'!J23-'B.S.'!H23)</f>
        <v>2389644</v>
      </c>
      <c r="G16" s="299">
        <f>-('B.S.'!L23-'B.S.'!J23)</f>
        <v>0</v>
      </c>
      <c r="H16" s="383">
        <f>-('B.S.'!N23-'B.S.'!L23)</f>
        <v>0</v>
      </c>
    </row>
    <row r="17" spans="1:8" x14ac:dyDescent="0.15">
      <c r="A17" s="75">
        <v>95</v>
      </c>
      <c r="B17" s="77" t="str">
        <f>'B.S.'!C24</f>
        <v>المخزون</v>
      </c>
      <c r="C17" s="297"/>
      <c r="D17" s="297">
        <f>-('B.S.'!F24-'B.S.'!D24)</f>
        <v>39800.186999999918</v>
      </c>
      <c r="E17" s="297">
        <f>-('B.S.'!H24-'B.S.'!F24)</f>
        <v>-253050.32200000016</v>
      </c>
      <c r="F17" s="297">
        <f>-('B.S.'!J24-'B.S.'!H24)</f>
        <v>2951082.0759999999</v>
      </c>
      <c r="G17" s="297">
        <f>-('B.S.'!L24-'B.S.'!J24)</f>
        <v>0</v>
      </c>
      <c r="H17" s="384">
        <f>-('B.S.'!N24-'B.S.'!L24)</f>
        <v>0</v>
      </c>
    </row>
    <row r="18" spans="1:8" x14ac:dyDescent="0.15">
      <c r="A18" s="75">
        <v>96</v>
      </c>
      <c r="B18" s="77" t="s">
        <v>156</v>
      </c>
      <c r="C18" s="297"/>
      <c r="D18" s="297">
        <f>-('B.S.'!F25-'B.S.'!D25)</f>
        <v>21175</v>
      </c>
      <c r="E18" s="297">
        <f>-('B.S.'!H25-'B.S.'!F25)</f>
        <v>0</v>
      </c>
      <c r="F18" s="297">
        <f>-('B.S.'!J25-'B.S.'!H25)</f>
        <v>0</v>
      </c>
      <c r="G18" s="297">
        <f>-('B.S.'!L25-'B.S.'!J25)</f>
        <v>0</v>
      </c>
      <c r="H18" s="384">
        <f>-('B.S.'!N25-'B.S.'!L25)</f>
        <v>0</v>
      </c>
    </row>
    <row r="19" spans="1:8" x14ac:dyDescent="0.15">
      <c r="A19" s="75">
        <v>97</v>
      </c>
      <c r="B19" s="77" t="str">
        <f>'B.S.'!C26</f>
        <v xml:space="preserve">اصول متداوله اخرى </v>
      </c>
      <c r="C19" s="297"/>
      <c r="D19" s="297">
        <f>-('B.S.'!F26-'B.S.'!D26)</f>
        <v>37432</v>
      </c>
      <c r="E19" s="297">
        <f>-('B.S.'!H26-'B.S.'!F26)</f>
        <v>-518897</v>
      </c>
      <c r="F19" s="297">
        <f>-('B.S.'!J26-'B.S.'!H26)</f>
        <v>1169978</v>
      </c>
      <c r="G19" s="297">
        <f>-('B.S.'!L26-'B.S.'!J26)</f>
        <v>0</v>
      </c>
      <c r="H19" s="384">
        <f>-('B.S.'!N26-'B.S.'!L26)</f>
        <v>0</v>
      </c>
    </row>
    <row r="20" spans="1:8" x14ac:dyDescent="0.15">
      <c r="A20" s="75">
        <v>98</v>
      </c>
      <c r="B20" s="77" t="str">
        <f>'B.S.'!C27</f>
        <v>جاري شركات تابعة</v>
      </c>
      <c r="C20" s="297"/>
      <c r="D20" s="297">
        <f>-('B.S.'!F27-'B.S.'!D27)</f>
        <v>0</v>
      </c>
      <c r="E20" s="297">
        <f>-('B.S.'!H27-'B.S.'!F27)</f>
        <v>0</v>
      </c>
      <c r="F20" s="297">
        <f>-('B.S.'!J27-'B.S.'!H27)</f>
        <v>0</v>
      </c>
      <c r="G20" s="297">
        <f>-('B.S.'!L27-'B.S.'!J27)</f>
        <v>0</v>
      </c>
      <c r="H20" s="384">
        <f>-('B.S.'!N27-'B.S.'!L27)</f>
        <v>0</v>
      </c>
    </row>
    <row r="21" spans="1:8" x14ac:dyDescent="0.15">
      <c r="A21" s="75">
        <v>99</v>
      </c>
      <c r="B21" s="77" t="str">
        <f>'B.S.'!C31</f>
        <v>استثمارات طويلة الأجل</v>
      </c>
      <c r="C21" s="297"/>
      <c r="D21" s="297">
        <f>-('B.S.'!F31-'B.S.'!D31)</f>
        <v>0</v>
      </c>
      <c r="E21" s="297">
        <f>-('B.S.'!H31-'B.S.'!F31)</f>
        <v>0</v>
      </c>
      <c r="F21" s="297">
        <f>-('B.S.'!J31-'B.S.'!H31)</f>
        <v>0</v>
      </c>
      <c r="G21" s="297">
        <f>-('B.S.'!L31-'B.S.'!J31)</f>
        <v>0</v>
      </c>
      <c r="H21" s="384">
        <f>-('B.S.'!N31-'B.S.'!L31)</f>
        <v>0</v>
      </c>
    </row>
    <row r="22" spans="1:8" x14ac:dyDescent="0.15">
      <c r="A22" s="75">
        <v>100</v>
      </c>
      <c r="B22" s="77" t="str">
        <f>'B.S.'!C32</f>
        <v>جاري مصلحة الضرائب</v>
      </c>
      <c r="C22" s="297"/>
      <c r="D22" s="297">
        <f>-('B.S.'!F32-'B.S.'!D32)</f>
        <v>0</v>
      </c>
      <c r="E22" s="297">
        <f>-('B.S.'!H32-'B.S.'!F32)</f>
        <v>0</v>
      </c>
      <c r="F22" s="297">
        <f>-('B.S.'!J32-'B.S.'!H32)</f>
        <v>0</v>
      </c>
      <c r="G22" s="297">
        <f>-('B.S.'!L32-'B.S.'!J32)</f>
        <v>0</v>
      </c>
      <c r="H22" s="384">
        <f>-('B.S.'!N32-'B.S.'!L32)</f>
        <v>0</v>
      </c>
    </row>
    <row r="23" spans="1:8" x14ac:dyDescent="0.15">
      <c r="A23" s="75">
        <v>101</v>
      </c>
      <c r="B23" s="77" t="str">
        <f>'B.S.'!C33</f>
        <v>اصول اخرى غير متداوله</v>
      </c>
      <c r="C23" s="297"/>
      <c r="D23" s="297">
        <f>-('B.S.'!F33-'B.S.'!D33)</f>
        <v>0</v>
      </c>
      <c r="E23" s="297">
        <f>-('B.S.'!H33-'B.S.'!F33)</f>
        <v>0</v>
      </c>
      <c r="F23" s="297">
        <f>-('B.S.'!J33-'B.S.'!H33)</f>
        <v>0</v>
      </c>
      <c r="G23" s="297">
        <f>-('B.S.'!L33-'B.S.'!J33)</f>
        <v>0</v>
      </c>
      <c r="H23" s="384">
        <f>-('B.S.'!N33-'B.S.'!L33)</f>
        <v>0</v>
      </c>
    </row>
    <row r="24" spans="1:8" x14ac:dyDescent="0.15">
      <c r="A24" s="75">
        <v>102</v>
      </c>
      <c r="B24" s="77" t="str">
        <f>'B.S.'!C34</f>
        <v xml:space="preserve"> (شهرة ) اصول غير ملموسه</v>
      </c>
      <c r="C24" s="297"/>
      <c r="D24" s="297">
        <f>-('B.S.'!F34-'B.S.'!D34+'I.S.'!F15+'I.S.'!F16)</f>
        <v>0</v>
      </c>
      <c r="E24" s="297">
        <f>-('B.S.'!H34-'B.S.'!F34+'I.S.'!H15+'I.S.'!H16)</f>
        <v>0</v>
      </c>
      <c r="F24" s="297">
        <f>-('B.S.'!J34-'B.S.'!H34+'I.S.'!J15+'I.S.'!J16)</f>
        <v>0</v>
      </c>
      <c r="G24" s="297">
        <f>-('B.S.'!L34-'B.S.'!J34+'I.S.'!L15+'I.S.'!L16)</f>
        <v>0</v>
      </c>
      <c r="H24" s="384">
        <f>-('B.S.'!N34-'B.S.'!L34+'I.S.'!N15+'I.S.'!N16)</f>
        <v>0</v>
      </c>
    </row>
    <row r="25" spans="1:8" x14ac:dyDescent="0.15">
      <c r="A25" s="75">
        <v>103</v>
      </c>
      <c r="B25" s="77" t="str">
        <f>'B.S.'!C38</f>
        <v xml:space="preserve">موردون واوراق دفع </v>
      </c>
      <c r="C25" s="297"/>
      <c r="D25" s="297">
        <f>'B.S.'!F38-'B.S.'!D38</f>
        <v>-245140.52499999991</v>
      </c>
      <c r="E25" s="297">
        <f>'B.S.'!H38-'B.S.'!F38</f>
        <v>550919</v>
      </c>
      <c r="F25" s="297">
        <f>'B.S.'!J38-'B.S.'!H38</f>
        <v>-1046083</v>
      </c>
      <c r="G25" s="297">
        <f>'B.S.'!L38-'B.S.'!J38</f>
        <v>0</v>
      </c>
      <c r="H25" s="384">
        <f>'B.S.'!N38-'B.S.'!L38</f>
        <v>0</v>
      </c>
    </row>
    <row r="26" spans="1:8" x14ac:dyDescent="0.15">
      <c r="A26" s="75">
        <v>104</v>
      </c>
      <c r="B26" s="77" t="str">
        <f>'B.S.'!C39</f>
        <v>مصروفات مستحقه</v>
      </c>
      <c r="C26" s="297"/>
      <c r="D26" s="297">
        <f>'B.S.'!F39-'B.S.'!D39</f>
        <v>168341</v>
      </c>
      <c r="E26" s="297">
        <f>'B.S.'!H39-'B.S.'!F39</f>
        <v>-178796</v>
      </c>
      <c r="F26" s="297">
        <f>'B.S.'!J39-'B.S.'!H39</f>
        <v>-186950</v>
      </c>
      <c r="G26" s="297">
        <f>'B.S.'!L39-'B.S.'!J39</f>
        <v>0</v>
      </c>
      <c r="H26" s="384">
        <f>'B.S.'!N39-'B.S.'!L39</f>
        <v>0</v>
      </c>
    </row>
    <row r="27" spans="1:8" x14ac:dyDescent="0.15">
      <c r="A27" s="75">
        <v>105</v>
      </c>
      <c r="B27" s="77" t="str">
        <f>'B.S.'!C40</f>
        <v xml:space="preserve">ارصده دائنه اخرى </v>
      </c>
      <c r="C27" s="297"/>
      <c r="D27" s="297">
        <f>'B.S.'!F40-'B.S.'!D40</f>
        <v>0</v>
      </c>
      <c r="E27" s="297">
        <f>'B.S.'!H40-'B.S.'!F40</f>
        <v>0</v>
      </c>
      <c r="F27" s="297">
        <f>'B.S.'!J40-'B.S.'!H40</f>
        <v>0</v>
      </c>
      <c r="G27" s="297">
        <f>'B.S.'!L40-'B.S.'!J40</f>
        <v>0</v>
      </c>
      <c r="H27" s="384">
        <f>'B.S.'!N40-'B.S.'!L40</f>
        <v>0</v>
      </c>
    </row>
    <row r="28" spans="1:8" x14ac:dyDescent="0.15">
      <c r="A28" s="75">
        <v>106</v>
      </c>
      <c r="B28" s="77" t="str">
        <f>'B.S.'!C41</f>
        <v>دائنو توزيعات</v>
      </c>
      <c r="C28" s="297"/>
      <c r="D28" s="297">
        <f>'B.S.'!F41-'B.S.'!D41</f>
        <v>0</v>
      </c>
      <c r="E28" s="297">
        <f>'B.S.'!H41-'B.S.'!F41</f>
        <v>0</v>
      </c>
      <c r="F28" s="297">
        <f>'B.S.'!J41-'B.S.'!H41</f>
        <v>0</v>
      </c>
      <c r="G28" s="297">
        <f>'B.S.'!L41-'B.S.'!J41</f>
        <v>0</v>
      </c>
      <c r="H28" s="384">
        <f>'B.S.'!N41-'B.S.'!L41</f>
        <v>0</v>
      </c>
    </row>
    <row r="29" spans="1:8" x14ac:dyDescent="0.15">
      <c r="A29" s="75">
        <v>107</v>
      </c>
      <c r="B29" s="77" t="str">
        <f>'B.S.'!C42</f>
        <v xml:space="preserve">مخصصات </v>
      </c>
      <c r="C29" s="297"/>
      <c r="D29" s="297">
        <f>'B.S.'!F42-'B.S.'!D42</f>
        <v>0</v>
      </c>
      <c r="E29" s="297">
        <f>'B.S.'!H42-'B.S.'!F42</f>
        <v>0</v>
      </c>
      <c r="F29" s="297">
        <f>'B.S.'!J42-'B.S.'!H42</f>
        <v>0</v>
      </c>
      <c r="G29" s="297">
        <f>'B.S.'!L42-'B.S.'!J42</f>
        <v>0</v>
      </c>
      <c r="H29" s="384">
        <f>'B.S.'!N42-'B.S.'!L42</f>
        <v>0</v>
      </c>
    </row>
    <row r="30" spans="1:8" x14ac:dyDescent="0.15">
      <c r="A30" s="75">
        <v>108</v>
      </c>
      <c r="B30" s="77" t="str">
        <f>'B.S.'!C43</f>
        <v>مستحق لشركات تابعه</v>
      </c>
      <c r="C30" s="297"/>
      <c r="D30" s="297">
        <f>'B.S.'!F43-'B.S.'!D43</f>
        <v>0</v>
      </c>
      <c r="E30" s="297">
        <f>'B.S.'!H43-'B.S.'!F43</f>
        <v>0</v>
      </c>
      <c r="F30" s="297">
        <f>'B.S.'!J43-'B.S.'!H43</f>
        <v>0</v>
      </c>
      <c r="G30" s="297">
        <f>'B.S.'!L43-'B.S.'!J43</f>
        <v>0</v>
      </c>
      <c r="H30" s="384">
        <f>'B.S.'!N43-'B.S.'!L43</f>
        <v>0</v>
      </c>
    </row>
    <row r="31" spans="1:8" x14ac:dyDescent="0.15">
      <c r="A31" s="75">
        <v>109</v>
      </c>
      <c r="B31" s="77" t="s">
        <v>97</v>
      </c>
      <c r="C31" s="297"/>
      <c r="D31" s="297">
        <f>'B.S.'!F49-'B.S.'!D49</f>
        <v>0</v>
      </c>
      <c r="E31" s="297">
        <f>'B.S.'!H49-'B.S.'!F49</f>
        <v>0</v>
      </c>
      <c r="F31" s="297" t="e">
        <f>'B.S.'!J49-'B.S.'!H49</f>
        <v>#VALUE!</v>
      </c>
      <c r="G31" s="297" t="e">
        <f>'B.S.'!L49-'B.S.'!J49</f>
        <v>#VALUE!</v>
      </c>
      <c r="H31" s="384">
        <f>'B.S.'!N49-'B.S.'!L49</f>
        <v>0</v>
      </c>
    </row>
    <row r="32" spans="1:8" x14ac:dyDescent="0.15">
      <c r="A32" s="75">
        <v>110</v>
      </c>
      <c r="B32" s="77" t="str">
        <f>'B.S.'!C50</f>
        <v xml:space="preserve">مخصص ضرائب </v>
      </c>
      <c r="C32" s="297"/>
      <c r="D32" s="297">
        <f>'B.S.'!F50-'B.S.'!D50</f>
        <v>0</v>
      </c>
      <c r="E32" s="297">
        <f>'B.S.'!H50-'B.S.'!F50</f>
        <v>0</v>
      </c>
      <c r="F32" s="297">
        <f>'B.S.'!J50-'B.S.'!H50</f>
        <v>0</v>
      </c>
      <c r="G32" s="297">
        <f>'B.S.'!L50-'B.S.'!J50</f>
        <v>0</v>
      </c>
      <c r="H32" s="384">
        <f>'B.S.'!N50-'B.S.'!L50</f>
        <v>0</v>
      </c>
    </row>
    <row r="33" spans="1:8" x14ac:dyDescent="0.15">
      <c r="A33" s="75">
        <v>111</v>
      </c>
      <c r="B33" s="77" t="str">
        <f>'B.S.'!C51</f>
        <v xml:space="preserve">مخصصات اخرى </v>
      </c>
      <c r="C33" s="71"/>
      <c r="D33" s="297">
        <f>'B.S.'!F51-'B.S.'!D51</f>
        <v>0</v>
      </c>
      <c r="E33" s="297">
        <f>'B.S.'!H51-'B.S.'!F51</f>
        <v>0</v>
      </c>
      <c r="F33" s="297">
        <f>'B.S.'!J51-'B.S.'!H51</f>
        <v>0</v>
      </c>
      <c r="G33" s="297">
        <f>'B.S.'!L51-'B.S.'!J51</f>
        <v>0</v>
      </c>
      <c r="H33" s="384">
        <f>'B.S.'!N51-'B.S.'!L51</f>
        <v>0</v>
      </c>
    </row>
    <row r="34" spans="1:8" x14ac:dyDescent="0.15">
      <c r="A34" s="75" t="s">
        <v>74</v>
      </c>
      <c r="B34" s="387"/>
      <c r="C34" s="388"/>
      <c r="D34" s="388"/>
      <c r="E34" s="388"/>
      <c r="F34" s="388"/>
      <c r="G34" s="388"/>
      <c r="H34" s="389"/>
    </row>
    <row r="35" spans="1:8" x14ac:dyDescent="0.15">
      <c r="A35" s="75">
        <v>112</v>
      </c>
      <c r="B35" s="390" t="s">
        <v>178</v>
      </c>
      <c r="C35" s="391"/>
      <c r="D35" s="391">
        <f>SUM(D16:D33)+D10+D11+D12</f>
        <v>295520.4160000002</v>
      </c>
      <c r="E35" s="391">
        <f>SUM(E16:E33)+E10+E11+E12</f>
        <v>-89965.07600000035</v>
      </c>
      <c r="F35" s="391" t="e">
        <f>SUM(F16:F33)+F10+F11+F12</f>
        <v>#VALUE!</v>
      </c>
      <c r="G35" s="391" t="e">
        <f>SUM(G16:G33)+G10+G11+G12</f>
        <v>#VALUE!</v>
      </c>
      <c r="H35" s="392">
        <f>SUM(H16:H33)+H10+H11+H12</f>
        <v>0</v>
      </c>
    </row>
    <row r="36" spans="1:8" x14ac:dyDescent="0.15">
      <c r="A36" s="393"/>
      <c r="B36" s="394"/>
      <c r="C36" s="299"/>
      <c r="D36" s="299"/>
      <c r="E36" s="299"/>
      <c r="F36" s="299"/>
      <c r="G36" s="299"/>
      <c r="H36" s="383"/>
    </row>
    <row r="37" spans="1:8" ht="14.25" x14ac:dyDescent="0.15">
      <c r="A37" s="379"/>
      <c r="B37" s="395" t="s">
        <v>179</v>
      </c>
      <c r="C37" s="299"/>
      <c r="D37" s="299"/>
      <c r="E37" s="299"/>
      <c r="F37" s="299"/>
      <c r="G37" s="299"/>
      <c r="H37" s="383"/>
    </row>
    <row r="38" spans="1:8" x14ac:dyDescent="0.15">
      <c r="A38" s="396"/>
      <c r="B38" s="357"/>
      <c r="C38" s="299"/>
      <c r="D38" s="299"/>
      <c r="E38" s="299"/>
      <c r="F38" s="299"/>
      <c r="G38" s="299"/>
      <c r="H38" s="383"/>
    </row>
    <row r="39" spans="1:8" x14ac:dyDescent="0.15">
      <c r="A39" s="75">
        <v>113</v>
      </c>
      <c r="B39" s="350" t="s">
        <v>180</v>
      </c>
      <c r="C39" s="299"/>
      <c r="D39" s="299">
        <f>-('I.S.'!F56)</f>
        <v>-3500</v>
      </c>
      <c r="E39" s="299">
        <f>-('I.S.'!H56)</f>
        <v>-147650</v>
      </c>
      <c r="F39" s="299">
        <f>-('I.S.'!J56)</f>
        <v>12116587</v>
      </c>
      <c r="G39" s="299">
        <f>-('I.S.'!L56)</f>
        <v>0</v>
      </c>
      <c r="H39" s="383">
        <f>-('I.S.'!N56)</f>
        <v>0</v>
      </c>
    </row>
    <row r="40" spans="1:8" x14ac:dyDescent="0.15">
      <c r="A40" s="75">
        <v>114</v>
      </c>
      <c r="B40" s="77" t="str">
        <f>'B.S.'!C30</f>
        <v>استثمارات في شركات تابعة</v>
      </c>
      <c r="C40" s="297"/>
      <c r="D40" s="297">
        <f>-('B.S.'!F30-'B.S.'!D30)</f>
        <v>0</v>
      </c>
      <c r="E40" s="297">
        <f>-('B.S.'!H30-'B.S.'!F30)</f>
        <v>0</v>
      </c>
      <c r="F40" s="297">
        <f>-('B.S.'!J30-'B.S.'!H30)</f>
        <v>0</v>
      </c>
      <c r="G40" s="297">
        <f>-('B.S.'!L30-'B.S.'!J30)</f>
        <v>0</v>
      </c>
      <c r="H40" s="384">
        <f>-('B.S.'!N30-'B.S.'!L30)</f>
        <v>0</v>
      </c>
    </row>
    <row r="41" spans="1:8" x14ac:dyDescent="0.15">
      <c r="A41" s="75">
        <v>115</v>
      </c>
      <c r="B41" s="77" t="s">
        <v>171</v>
      </c>
      <c r="C41" s="297"/>
      <c r="D41" s="297">
        <f>'I.S.'!F58</f>
        <v>0</v>
      </c>
      <c r="E41" s="297">
        <f>'I.S.'!H58</f>
        <v>0</v>
      </c>
      <c r="F41" s="297">
        <f>'I.S.'!J58</f>
        <v>0</v>
      </c>
      <c r="G41" s="297">
        <f>'I.S.'!L58</f>
        <v>0</v>
      </c>
      <c r="H41" s="384">
        <f>'I.S.'!N58</f>
        <v>0</v>
      </c>
    </row>
    <row r="42" spans="1:8" x14ac:dyDescent="0.15">
      <c r="A42" s="75"/>
      <c r="B42" s="82"/>
      <c r="C42" s="388"/>
      <c r="D42" s="388"/>
      <c r="E42" s="388"/>
      <c r="F42" s="388"/>
      <c r="G42" s="388"/>
      <c r="H42" s="389"/>
    </row>
    <row r="43" spans="1:8" x14ac:dyDescent="0.15">
      <c r="A43" s="75">
        <v>116</v>
      </c>
      <c r="B43" s="390" t="s">
        <v>181</v>
      </c>
      <c r="C43" s="391"/>
      <c r="D43" s="391">
        <f>SUM(D39:D41)</f>
        <v>-3500</v>
      </c>
      <c r="E43" s="391">
        <f>SUM(E39:E41)</f>
        <v>-147650</v>
      </c>
      <c r="F43" s="391">
        <f>SUM(F39:F41)</f>
        <v>12116587</v>
      </c>
      <c r="G43" s="391">
        <f>SUM(G39:G41)</f>
        <v>0</v>
      </c>
      <c r="H43" s="392">
        <f>SUM(H39:H41)</f>
        <v>0</v>
      </c>
    </row>
    <row r="44" spans="1:8" x14ac:dyDescent="0.15">
      <c r="A44" s="393"/>
      <c r="B44" s="397"/>
      <c r="C44" s="299"/>
      <c r="D44" s="299"/>
      <c r="E44" s="299"/>
      <c r="F44" s="299"/>
      <c r="G44" s="299"/>
      <c r="H44" s="383"/>
    </row>
    <row r="45" spans="1:8" ht="14.25" x14ac:dyDescent="0.15">
      <c r="A45" s="379"/>
      <c r="B45" s="398" t="s">
        <v>182</v>
      </c>
      <c r="C45" s="299"/>
      <c r="D45" s="299"/>
      <c r="E45" s="299"/>
      <c r="F45" s="299"/>
      <c r="G45" s="299"/>
      <c r="H45" s="383"/>
    </row>
    <row r="46" spans="1:8" x14ac:dyDescent="0.15">
      <c r="A46" s="399"/>
      <c r="B46" s="363"/>
      <c r="C46" s="299"/>
      <c r="D46" s="299"/>
      <c r="E46" s="299"/>
      <c r="F46" s="299"/>
      <c r="G46" s="299"/>
      <c r="H46" s="383"/>
    </row>
    <row r="47" spans="1:8" x14ac:dyDescent="0.15">
      <c r="A47" s="75">
        <v>117</v>
      </c>
      <c r="B47" s="350" t="s">
        <v>168</v>
      </c>
      <c r="C47" s="299"/>
      <c r="D47" s="299">
        <f>'I.S.'!F36</f>
        <v>0</v>
      </c>
      <c r="E47" s="299">
        <f>'I.S.'!H36</f>
        <v>0</v>
      </c>
      <c r="F47" s="299">
        <f>'I.S.'!J36</f>
        <v>0</v>
      </c>
      <c r="G47" s="299">
        <f>'I.S.'!L36</f>
        <v>0</v>
      </c>
      <c r="H47" s="383">
        <f>'I.S.'!N36</f>
        <v>0</v>
      </c>
    </row>
    <row r="48" spans="1:8" x14ac:dyDescent="0.15">
      <c r="A48" s="75">
        <v>118</v>
      </c>
      <c r="B48" s="77" t="s">
        <v>183</v>
      </c>
      <c r="C48" s="297"/>
      <c r="D48" s="297">
        <f>('B.S.'!F44+'B.S.'!F46+'B.S.'!F47+'B.S.'!F48)-('B.S.'!D44+'B.S.'!D46+'B.S.'!D47+'B.S.'!D48)</f>
        <v>0</v>
      </c>
      <c r="E48" s="297">
        <f>('B.S.'!H44+'B.S.'!H46+'B.S.'!H47+'B.S.'!H48)-('B.S.'!F44+'B.S.'!F46+'B.S.'!F47+'B.S.'!F48)</f>
        <v>-145002</v>
      </c>
      <c r="F48" s="297">
        <f>('B.S.'!J44+'B.S.'!J46+'B.S.'!J47+'B.S.'!J48)-('B.S.'!H44+'B.S.'!H46+'B.S.'!H47+'B.S.'!H48)</f>
        <v>-3845831</v>
      </c>
      <c r="G48" s="297">
        <f>('B.S.'!L44+'B.S.'!L46+'B.S.'!L47+'B.S.'!L48)-('B.S.'!J44+'B.S.'!J46+'B.S.'!J47+'B.S.'!J48)</f>
        <v>0</v>
      </c>
      <c r="H48" s="384">
        <f>('B.S.'!N44+'B.S.'!N46+'B.S.'!N47+'B.S.'!N48)-('B.S.'!L44+'B.S.'!L46+'B.S.'!L47+'B.S.'!L48)</f>
        <v>0</v>
      </c>
    </row>
    <row r="49" spans="1:8" x14ac:dyDescent="0.15">
      <c r="A49" s="75">
        <v>119</v>
      </c>
      <c r="B49" s="77" t="s">
        <v>184</v>
      </c>
      <c r="C49" s="297"/>
      <c r="D49" s="297">
        <f>'B.S.'!F37-'B.S.'!D37</f>
        <v>0</v>
      </c>
      <c r="E49" s="297">
        <f>'B.S.'!H37-'B.S.'!F37</f>
        <v>0</v>
      </c>
      <c r="F49" s="297">
        <f>'B.S.'!J37-'B.S.'!H37</f>
        <v>0</v>
      </c>
      <c r="G49" s="297">
        <f>'B.S.'!L37-'B.S.'!J37</f>
        <v>0</v>
      </c>
      <c r="H49" s="384">
        <f>'B.S.'!N37-'B.S.'!L37</f>
        <v>0</v>
      </c>
    </row>
    <row r="50" spans="1:8" x14ac:dyDescent="0.15">
      <c r="A50" s="75">
        <v>120</v>
      </c>
      <c r="B50" s="77" t="s">
        <v>136</v>
      </c>
      <c r="C50" s="297"/>
      <c r="D50" s="297">
        <f>-'I.S.'!F41</f>
        <v>0</v>
      </c>
      <c r="E50" s="297">
        <f>-'I.S.'!H41</f>
        <v>0</v>
      </c>
      <c r="F50" s="297">
        <f>-'I.S.'!J41</f>
        <v>0</v>
      </c>
      <c r="G50" s="297">
        <f>-'I.S.'!L41</f>
        <v>0</v>
      </c>
      <c r="H50" s="384">
        <f>-'I.S.'!N41</f>
        <v>0</v>
      </c>
    </row>
    <row r="51" spans="1:8" x14ac:dyDescent="0.15">
      <c r="A51" s="75">
        <v>121</v>
      </c>
      <c r="B51" s="77" t="s">
        <v>185</v>
      </c>
      <c r="C51" s="297"/>
      <c r="D51" s="297">
        <f>('I.S.'!F37+'I.S.'!F38)-('I.S.'!F42+'I.S.'!F43)</f>
        <v>-246983</v>
      </c>
      <c r="E51" s="297">
        <f>('I.S.'!H37+'I.S.'!H38)-('I.S.'!H42+'I.S.'!H43)</f>
        <v>740339</v>
      </c>
      <c r="F51" s="297">
        <f>('I.S.'!J37+'I.S.'!J38)-('I.S.'!J42+'I.S.'!J43)</f>
        <v>-15217552</v>
      </c>
      <c r="G51" s="297">
        <f>('I.S.'!L37+'I.S.'!L38)-('I.S.'!L42+'I.S.'!L43)</f>
        <v>0</v>
      </c>
      <c r="H51" s="384">
        <f>('I.S.'!N37+'I.S.'!N38)-('I.S.'!N42+'I.S.'!N43)</f>
        <v>0</v>
      </c>
    </row>
    <row r="52" spans="1:8" x14ac:dyDescent="0.15">
      <c r="A52" s="75"/>
      <c r="B52" s="82"/>
      <c r="C52" s="388"/>
      <c r="D52" s="388"/>
      <c r="E52" s="388"/>
      <c r="F52" s="388"/>
      <c r="G52" s="388"/>
      <c r="H52" s="389"/>
    </row>
    <row r="53" spans="1:8" x14ac:dyDescent="0.15">
      <c r="A53" s="75">
        <v>122</v>
      </c>
      <c r="B53" s="390" t="s">
        <v>186</v>
      </c>
      <c r="C53" s="391"/>
      <c r="D53" s="391">
        <f>SUM(D47:D51)</f>
        <v>-246983</v>
      </c>
      <c r="E53" s="391">
        <f>SUM(E47:E51)</f>
        <v>595337</v>
      </c>
      <c r="F53" s="391">
        <f>SUM(F47:F51)</f>
        <v>-19063383</v>
      </c>
      <c r="G53" s="391">
        <f>SUM(G47:G51)</f>
        <v>0</v>
      </c>
      <c r="H53" s="392">
        <f>SUM(H47:H51)</f>
        <v>0</v>
      </c>
    </row>
    <row r="54" spans="1:8" x14ac:dyDescent="0.15">
      <c r="A54" s="75"/>
      <c r="B54" s="400"/>
      <c r="C54" s="401"/>
      <c r="D54" s="401"/>
      <c r="E54" s="401"/>
      <c r="F54" s="401"/>
      <c r="G54" s="401"/>
      <c r="H54" s="402"/>
    </row>
    <row r="55" spans="1:8" x14ac:dyDescent="0.15">
      <c r="A55" s="75">
        <v>123</v>
      </c>
      <c r="B55" s="403" t="s">
        <v>187</v>
      </c>
      <c r="C55" s="404"/>
      <c r="D55" s="404">
        <f>D35+D43+D53</f>
        <v>45037.416000000201</v>
      </c>
      <c r="E55" s="404">
        <f>E35+E43+E53</f>
        <v>357721.92399999965</v>
      </c>
      <c r="F55" s="404" t="e">
        <f>F35+F43+F53</f>
        <v>#VALUE!</v>
      </c>
      <c r="G55" s="404" t="e">
        <f>G35+G43+G53</f>
        <v>#VALUE!</v>
      </c>
      <c r="H55" s="405">
        <f>H35+H43+H53</f>
        <v>0</v>
      </c>
    </row>
    <row r="56" spans="1:8" x14ac:dyDescent="0.15">
      <c r="A56" s="75"/>
      <c r="B56" s="406"/>
      <c r="C56" s="299"/>
      <c r="D56" s="299"/>
      <c r="E56" s="299"/>
      <c r="F56" s="299"/>
      <c r="G56" s="299"/>
      <c r="H56" s="383"/>
    </row>
    <row r="57" spans="1:8" ht="14.25" x14ac:dyDescent="0.15">
      <c r="A57" s="379"/>
      <c r="B57" s="395" t="s">
        <v>188</v>
      </c>
      <c r="C57" s="299"/>
      <c r="D57" s="299"/>
      <c r="E57" s="299"/>
      <c r="F57" s="299"/>
      <c r="G57" s="299"/>
      <c r="H57" s="383"/>
    </row>
    <row r="58" spans="1:8" x14ac:dyDescent="0.15">
      <c r="A58" s="75">
        <v>124</v>
      </c>
      <c r="B58" s="407" t="s">
        <v>189</v>
      </c>
      <c r="C58" s="388"/>
      <c r="D58" s="388">
        <f>'B.S.'!D21+'B.S.'!D22</f>
        <v>1266365.5</v>
      </c>
      <c r="E58" s="388">
        <f>'B.S.'!F21+'B.S.'!F22</f>
        <v>1311402.8999999999</v>
      </c>
      <c r="F58" s="388">
        <f>'B.S.'!H21+'B.S.'!H22</f>
        <v>1669125</v>
      </c>
      <c r="G58" s="388">
        <f>'B.S.'!J21+'B.S.'!J22</f>
        <v>0</v>
      </c>
      <c r="H58" s="389">
        <f>'B.S.'!L21+'B.S.'!L22</f>
        <v>0</v>
      </c>
    </row>
    <row r="59" spans="1:8" x14ac:dyDescent="0.15">
      <c r="A59" s="75">
        <v>125</v>
      </c>
      <c r="B59" s="408" t="s">
        <v>190</v>
      </c>
      <c r="C59" s="409"/>
      <c r="D59" s="409">
        <f>D55+D58</f>
        <v>1311402.9160000002</v>
      </c>
      <c r="E59" s="409">
        <f>E55+E58</f>
        <v>1669124.8239999996</v>
      </c>
      <c r="F59" s="409" t="e">
        <f>F55+F58</f>
        <v>#VALUE!</v>
      </c>
      <c r="G59" s="409" t="e">
        <f>G55+G58</f>
        <v>#VALUE!</v>
      </c>
      <c r="H59" s="410">
        <f>H55+H58</f>
        <v>0</v>
      </c>
    </row>
    <row r="60" spans="1:8" x14ac:dyDescent="0.15">
      <c r="A60" s="75"/>
      <c r="B60" s="406"/>
      <c r="C60" s="299"/>
      <c r="D60" s="299"/>
      <c r="E60" s="299"/>
      <c r="F60" s="299"/>
      <c r="G60" s="299"/>
      <c r="H60" s="383"/>
    </row>
    <row r="61" spans="1:8" x14ac:dyDescent="0.15">
      <c r="A61" s="142">
        <v>126</v>
      </c>
      <c r="B61" s="411" t="s">
        <v>191</v>
      </c>
      <c r="C61" s="304"/>
      <c r="D61" s="304">
        <f>'B.S.'!F21+'B.S.'!F22</f>
        <v>1311402.8999999999</v>
      </c>
      <c r="E61" s="304">
        <f>'B.S.'!H21+'B.S.'!H22</f>
        <v>1669125</v>
      </c>
      <c r="F61" s="304">
        <f>'B.S.'!J21+'B.S.'!J22</f>
        <v>0</v>
      </c>
      <c r="G61" s="304">
        <f>'B.S.'!L21+'B.S.'!L22</f>
        <v>0</v>
      </c>
      <c r="H61" s="412">
        <f>'B.S.'!N21+'B.S.'!N22</f>
        <v>0</v>
      </c>
    </row>
  </sheetData>
  <printOptions horizontalCentered="1" verticalCentered="1"/>
  <pageMargins left="0" right="0" top="0.39370078740157483" bottom="0.39370078740157483" header="0.51181102362204722" footer="0.51181102362204722"/>
  <pageSetup paperSize="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3"/>
  <sheetViews>
    <sheetView topLeftCell="A2" workbookViewId="0">
      <selection activeCell="C52" sqref="C52"/>
    </sheetView>
  </sheetViews>
  <sheetFormatPr defaultColWidth="9.03515625" defaultRowHeight="12.75" x14ac:dyDescent="0.15"/>
  <cols>
    <col min="1" max="1" width="6.3359375" customWidth="1"/>
    <col min="2" max="2" width="29.53125" customWidth="1"/>
    <col min="3" max="3" width="12.67578125" customWidth="1"/>
    <col min="4" max="4" width="14.29296875" bestFit="1" customWidth="1"/>
    <col min="5" max="5" width="12.67578125" customWidth="1"/>
    <col min="6" max="6" width="14.42578125" customWidth="1"/>
    <col min="7" max="7" width="12.67578125" customWidth="1"/>
    <col min="8" max="8" width="12.67578125" hidden="1" customWidth="1"/>
  </cols>
  <sheetData>
    <row r="1" spans="1:8" ht="15.75" x14ac:dyDescent="0.2">
      <c r="A1" s="373" t="s">
        <v>0</v>
      </c>
      <c r="B1" s="317" t="str">
        <f>'B.S.'!C1</f>
        <v>hanno pop</v>
      </c>
      <c r="C1" s="318"/>
      <c r="D1" s="374" t="s">
        <v>1</v>
      </c>
      <c r="E1" s="319" t="str">
        <f>'B.S.'!H1</f>
        <v>IMC</v>
      </c>
      <c r="F1" s="375" t="s">
        <v>83</v>
      </c>
      <c r="G1" s="376" t="str">
        <f>'B.S.'!L1</f>
        <v>ME</v>
      </c>
      <c r="H1" s="321"/>
    </row>
    <row r="2" spans="1:8" ht="14.25" x14ac:dyDescent="0.15">
      <c r="A2" s="10" t="s">
        <v>2</v>
      </c>
      <c r="B2" s="324" t="str">
        <f>'B.S.'!C2</f>
        <v xml:space="preserve"> </v>
      </c>
      <c r="C2" s="325"/>
      <c r="D2" s="377" t="s">
        <v>3</v>
      </c>
      <c r="E2" s="326" t="str">
        <f>'B.S.'!H2</f>
        <v>EGP</v>
      </c>
      <c r="F2" s="15" t="s">
        <v>4</v>
      </c>
      <c r="G2" s="413" t="str">
        <f>'B.S.'!L2</f>
        <v>12/2025</v>
      </c>
      <c r="H2" s="328"/>
    </row>
    <row r="3" spans="1:8" x14ac:dyDescent="0.15">
      <c r="A3" s="21" t="s">
        <v>5</v>
      </c>
      <c r="B3" s="22"/>
      <c r="C3" s="180" t="str">
        <f>'B.S.'!D3</f>
        <v>Audited</v>
      </c>
      <c r="D3" s="180" t="str">
        <f>'B.S.'!F3</f>
        <v>Audited</v>
      </c>
      <c r="E3" s="180" t="str">
        <f>'B.S.'!H3</f>
        <v>Audited</v>
      </c>
      <c r="F3" s="24" t="s">
        <v>6</v>
      </c>
      <c r="G3" s="24" t="s">
        <v>6</v>
      </c>
      <c r="H3" s="181"/>
    </row>
    <row r="4" spans="1:8" hidden="1" x14ac:dyDescent="0.15">
      <c r="A4" s="21" t="s">
        <v>7</v>
      </c>
      <c r="B4" s="26"/>
      <c r="C4" s="180" t="str">
        <f>'B.S.'!D4</f>
        <v>Unqualified</v>
      </c>
      <c r="D4" s="180" t="str">
        <f>'B.S.'!F4</f>
        <v>Unqualifed</v>
      </c>
      <c r="E4" s="180" t="str">
        <f>'B.S.'!H4</f>
        <v>Unqualified</v>
      </c>
      <c r="F4" s="24" t="s">
        <v>8</v>
      </c>
      <c r="G4" s="180"/>
      <c r="H4" s="181"/>
    </row>
    <row r="5" spans="1:8" x14ac:dyDescent="0.15">
      <c r="A5" s="21" t="s">
        <v>10</v>
      </c>
      <c r="B5" s="22"/>
      <c r="C5" s="31" t="str">
        <f>'B.S.'!D6</f>
        <v>31/7/2025</v>
      </c>
      <c r="D5" s="31" t="str">
        <f>'B.S.'!F6</f>
        <v>31/8/2025</v>
      </c>
      <c r="E5" s="31" t="str">
        <f>'B.S.'!H6</f>
        <v>31/12/2025</v>
      </c>
      <c r="F5" s="27" t="str">
        <f>'B.S.'!J6</f>
        <v>28/2/2026</v>
      </c>
      <c r="G5" s="183">
        <f>'B.S.'!L6</f>
        <v>0</v>
      </c>
      <c r="H5" s="329"/>
    </row>
    <row r="6" spans="1:8" x14ac:dyDescent="0.15">
      <c r="A6" s="330" t="s">
        <v>11</v>
      </c>
      <c r="B6" s="35"/>
      <c r="C6" s="189" t="s">
        <v>12</v>
      </c>
      <c r="D6" s="189" t="s">
        <v>12</v>
      </c>
      <c r="E6" s="189" t="s">
        <v>12</v>
      </c>
      <c r="F6" s="189" t="s">
        <v>12</v>
      </c>
      <c r="G6" s="189" t="s">
        <v>12</v>
      </c>
      <c r="H6" s="190" t="s">
        <v>12</v>
      </c>
    </row>
    <row r="7" spans="1:8" ht="14.25" x14ac:dyDescent="0.15">
      <c r="A7" s="331" t="s">
        <v>81</v>
      </c>
      <c r="B7" s="332"/>
      <c r="C7" s="332"/>
      <c r="D7" s="332"/>
      <c r="E7" s="332"/>
      <c r="F7" s="332"/>
      <c r="G7" s="332"/>
      <c r="H7" s="332"/>
    </row>
    <row r="8" spans="1:8" ht="14.25" x14ac:dyDescent="0.15">
      <c r="A8" s="379" t="s">
        <v>82</v>
      </c>
      <c r="B8" s="380"/>
      <c r="C8" s="335"/>
      <c r="D8" s="253"/>
      <c r="E8" s="253"/>
      <c r="F8" s="253"/>
      <c r="G8" s="253"/>
      <c r="H8" s="47"/>
    </row>
    <row r="9" spans="1:8" x14ac:dyDescent="0.15">
      <c r="A9" s="249"/>
      <c r="B9" s="334" t="s">
        <v>112</v>
      </c>
      <c r="C9" s="414">
        <f>'I.S.'!D10</f>
        <v>2536929</v>
      </c>
      <c r="D9" s="415">
        <f>'I.S.'!F10</f>
        <v>3005991</v>
      </c>
      <c r="E9" s="415">
        <f>'I.S.'!H10</f>
        <v>3170826</v>
      </c>
      <c r="F9" s="415">
        <f>'I.S.'!J10</f>
        <v>0</v>
      </c>
      <c r="G9" s="415">
        <f>'I.S.'!L10</f>
        <v>0</v>
      </c>
      <c r="H9" s="416">
        <f>'I.S.'!N10</f>
        <v>0</v>
      </c>
    </row>
    <row r="10" spans="1:8" x14ac:dyDescent="0.15">
      <c r="A10" s="75"/>
      <c r="B10" s="77" t="s">
        <v>115</v>
      </c>
      <c r="C10" s="417">
        <f>'I.S.'!D13</f>
        <v>859205</v>
      </c>
      <c r="D10" s="418">
        <f>'I.S.'!F13</f>
        <v>847834</v>
      </c>
      <c r="E10" s="418">
        <f>'I.S.'!H13</f>
        <v>841964</v>
      </c>
      <c r="F10" s="418">
        <f>'I.S.'!J13</f>
        <v>0</v>
      </c>
      <c r="G10" s="418">
        <f>'I.S.'!L13</f>
        <v>0</v>
      </c>
      <c r="H10" s="419">
        <f>'I.S.'!N13</f>
        <v>0</v>
      </c>
    </row>
    <row r="11" spans="1:8" x14ac:dyDescent="0.15">
      <c r="A11" s="75"/>
      <c r="B11" s="77" t="s">
        <v>192</v>
      </c>
      <c r="C11" s="417">
        <f>'I.S.'!D25</f>
        <v>473701</v>
      </c>
      <c r="D11" s="418">
        <f>'I.S.'!F25</f>
        <v>523722</v>
      </c>
      <c r="E11" s="418">
        <f>'I.S.'!H25</f>
        <v>-853662</v>
      </c>
      <c r="F11" s="418">
        <f>'I.S.'!J25</f>
        <v>0</v>
      </c>
      <c r="G11" s="418">
        <f>'I.S.'!L25</f>
        <v>0</v>
      </c>
      <c r="H11" s="419">
        <f>'I.S.'!N25</f>
        <v>0</v>
      </c>
    </row>
    <row r="12" spans="1:8" x14ac:dyDescent="0.15">
      <c r="A12" s="75"/>
      <c r="B12" s="77" t="s">
        <v>193</v>
      </c>
      <c r="C12" s="417">
        <f>'I.S.'!D28</f>
        <v>473701</v>
      </c>
      <c r="D12" s="418">
        <f>'I.S.'!F28</f>
        <v>523722</v>
      </c>
      <c r="E12" s="418">
        <f>'I.S.'!H28</f>
        <v>-853662</v>
      </c>
      <c r="F12" s="418">
        <f>'I.S.'!J28</f>
        <v>0</v>
      </c>
      <c r="G12" s="418">
        <f>'I.S.'!L28</f>
        <v>0</v>
      </c>
      <c r="H12" s="419">
        <f>'I.S.'!N28</f>
        <v>0</v>
      </c>
    </row>
    <row r="13" spans="1:8" x14ac:dyDescent="0.15">
      <c r="A13" s="75"/>
      <c r="B13" s="77" t="s">
        <v>194</v>
      </c>
      <c r="C13" s="417">
        <f>'B.S.'!D60-'B.S.'!D34</f>
        <v>15054136</v>
      </c>
      <c r="D13" s="418">
        <f>'B.S.'!F60-'B.S.'!F34</f>
        <v>15330875</v>
      </c>
      <c r="E13" s="418">
        <f>'B.S.'!H60-'B.S.'!H34</f>
        <v>15217552</v>
      </c>
      <c r="F13" s="418">
        <f>'B.S.'!J60-'B.S.'!J34</f>
        <v>0</v>
      </c>
      <c r="G13" s="418">
        <f>'B.S.'!L60-'B.S.'!L34</f>
        <v>0</v>
      </c>
      <c r="H13" s="419">
        <f>'B.S.'!N60-'B.S.'!N34</f>
        <v>0</v>
      </c>
    </row>
    <row r="14" spans="1:8" x14ac:dyDescent="0.15">
      <c r="A14" s="75"/>
      <c r="B14" s="77" t="s">
        <v>195</v>
      </c>
      <c r="C14" s="417">
        <f>'B.S.'!D36</f>
        <v>19982678.441</v>
      </c>
      <c r="D14" s="418">
        <f>'B.S.'!F36</f>
        <v>20182617.899999999</v>
      </c>
      <c r="E14" s="418">
        <f>'B.S.'!H36</f>
        <v>20296416.075999998</v>
      </c>
      <c r="F14" s="418">
        <f>'B.S.'!J36</f>
        <v>0</v>
      </c>
      <c r="G14" s="418">
        <f>'B.S.'!L36</f>
        <v>0</v>
      </c>
      <c r="H14" s="419">
        <f>'B.S.'!N36</f>
        <v>0</v>
      </c>
    </row>
    <row r="15" spans="1:8" x14ac:dyDescent="0.15">
      <c r="A15" s="75"/>
      <c r="B15" s="77" t="s">
        <v>196</v>
      </c>
      <c r="C15" s="417">
        <f>'B.S.'!D28-'B.S.'!D45</f>
        <v>5733243.9159999993</v>
      </c>
      <c r="D15" s="418">
        <f>'B.S.'!F28-'B.S.'!F45</f>
        <v>6006482.8999999994</v>
      </c>
      <c r="E15" s="418">
        <f>'B.S.'!H28-'B.S.'!H45</f>
        <v>6946796.0759999994</v>
      </c>
      <c r="F15" s="418">
        <f>'B.S.'!J28-'B.S.'!J45</f>
        <v>0</v>
      </c>
      <c r="G15" s="418">
        <f>'B.S.'!L28-'B.S.'!L45</f>
        <v>0</v>
      </c>
      <c r="H15" s="419">
        <f>'B.S.'!N28-'B.S.'!N45</f>
        <v>0</v>
      </c>
    </row>
    <row r="16" spans="1:8" x14ac:dyDescent="0.15">
      <c r="A16" s="75"/>
      <c r="B16" s="350"/>
      <c r="C16" s="414"/>
      <c r="D16" s="415"/>
      <c r="E16" s="415"/>
      <c r="F16" s="415"/>
      <c r="G16" s="415"/>
      <c r="H16" s="416"/>
    </row>
    <row r="17" spans="1:8" ht="14.25" x14ac:dyDescent="0.15">
      <c r="A17" s="379"/>
      <c r="B17" s="395" t="s">
        <v>197</v>
      </c>
      <c r="C17" s="414"/>
      <c r="D17" s="415"/>
      <c r="E17" s="415"/>
      <c r="F17" s="415"/>
      <c r="G17" s="415"/>
      <c r="H17" s="416"/>
    </row>
    <row r="18" spans="1:8" x14ac:dyDescent="0.15">
      <c r="A18" s="396"/>
      <c r="B18" s="420" t="s">
        <v>112</v>
      </c>
      <c r="C18" s="421"/>
      <c r="D18" s="422">
        <f>IF('I.S.'!F10=0,0,('I.S.'!F10-'I.S.'!D10)/'I.S.'!D10)</f>
        <v>0.18489362532416162</v>
      </c>
      <c r="E18" s="422">
        <f>IF('I.S.'!H10=0,0,('I.S.'!H10-'I.S.'!F10)/'I.S.'!F10)</f>
        <v>5.4835493519441676E-2</v>
      </c>
      <c r="F18" s="422">
        <f>IF('I.S.'!J10=0,0,('I.S.'!J10-'I.S.'!H10)/'I.S.'!H10)</f>
        <v>0</v>
      </c>
      <c r="G18" s="422">
        <f>IF('I.S.'!L10=0,0,('I.S.'!L10-'I.S.'!J10)/'I.S.'!J10)</f>
        <v>0</v>
      </c>
      <c r="H18" s="423">
        <f>IF('I.S.'!N10=0,0,('I.S.'!N10-'I.S.'!L10)/'I.S.'!L10)</f>
        <v>0</v>
      </c>
    </row>
    <row r="19" spans="1:8" x14ac:dyDescent="0.15">
      <c r="A19" s="75"/>
      <c r="B19" s="77" t="s">
        <v>115</v>
      </c>
      <c r="C19" s="424"/>
      <c r="D19" s="425">
        <f>IF('I.S.'!F13=0,0,('I.S.'!F13-'I.S.'!D13)/'I.S.'!D13)</f>
        <v>-1.3234327081429926E-2</v>
      </c>
      <c r="E19" s="425">
        <f>IF('I.S.'!H13=0,0,('I.S.'!H13-'I.S.'!F13)/'I.S.'!F13)</f>
        <v>-6.9235251240219193E-3</v>
      </c>
      <c r="F19" s="425">
        <f>IF('I.S.'!J13=0,0,('I.S.'!J13-'I.S.'!H13)/'I.S.'!H13)</f>
        <v>0</v>
      </c>
      <c r="G19" s="425">
        <f>IF('I.S.'!L13=0,0,('I.S.'!L13-'I.S.'!J13)/'I.S.'!J13)</f>
        <v>0</v>
      </c>
      <c r="H19" s="426">
        <f>IF('I.S.'!N13=0,0,('I.S.'!N13-'I.S.'!L13)/'I.S.'!L13)</f>
        <v>0</v>
      </c>
    </row>
    <row r="20" spans="1:8" x14ac:dyDescent="0.15">
      <c r="A20" s="75"/>
      <c r="B20" s="77" t="s">
        <v>130</v>
      </c>
      <c r="C20" s="424"/>
      <c r="D20" s="425">
        <f>IF('I.S.'!F28=0,0,('I.S.'!F28-'I.S.'!D28)/'I.S.'!D28)</f>
        <v>0.10559614609215517</v>
      </c>
      <c r="E20" s="425">
        <f>IF('I.S.'!H28=0,0,('I.S.'!H28-'I.S.'!F28)/'I.S.'!F28)</f>
        <v>-2.6299907202676227</v>
      </c>
      <c r="F20" s="425">
        <f>IF('I.S.'!J28=0,0,('I.S.'!J28-'I.S.'!H28)/'I.S.'!H28)</f>
        <v>0</v>
      </c>
      <c r="G20" s="425">
        <f>IF('I.S.'!L28=0,0,('I.S.'!L28-'I.S.'!J28)/'I.S.'!J28)</f>
        <v>0</v>
      </c>
      <c r="H20" s="426">
        <f>IF('I.S.'!N28=0,0,('I.S.'!N28-'I.S.'!L28)/'I.S.'!L28)</f>
        <v>0</v>
      </c>
    </row>
    <row r="21" spans="1:8" x14ac:dyDescent="0.15">
      <c r="A21" s="75"/>
      <c r="B21" s="77" t="s">
        <v>195</v>
      </c>
      <c r="C21" s="424"/>
      <c r="D21" s="425">
        <f>IF('B.S.'!F36=0,0,('B.S.'!F36-'B.S.'!D36)/'B.S.'!D36)</f>
        <v>1.0005638612978313E-2</v>
      </c>
      <c r="E21" s="425">
        <f>IF('B.S.'!H36=0,0,('B.S.'!H36-'B.S.'!F36)/'B.S.'!F36)</f>
        <v>5.6384249339625587E-3</v>
      </c>
      <c r="F21" s="425">
        <f>IF('B.S.'!J36=0,0,('B.S.'!J36-'B.S.'!H36)/'B.S.'!H36)</f>
        <v>0</v>
      </c>
      <c r="G21" s="425">
        <f>IF('B.S.'!L36=0,0,('B.S.'!L36-'B.S.'!J36)/'B.S.'!J36)</f>
        <v>0</v>
      </c>
      <c r="H21" s="426">
        <f>IF('B.S.'!N36=0,0,('B.S.'!N36-'B.S.'!L36)/'B.S.'!L36)</f>
        <v>0</v>
      </c>
    </row>
    <row r="22" spans="1:8" x14ac:dyDescent="0.15">
      <c r="A22" s="75"/>
      <c r="B22" s="82"/>
      <c r="C22" s="414"/>
      <c r="D22" s="415"/>
      <c r="E22" s="415"/>
      <c r="F22" s="415"/>
      <c r="G22" s="415"/>
      <c r="H22" s="416"/>
    </row>
    <row r="23" spans="1:8" ht="14.25" x14ac:dyDescent="0.15">
      <c r="A23" s="379"/>
      <c r="B23" s="398" t="s">
        <v>198</v>
      </c>
      <c r="C23" s="414"/>
      <c r="D23" s="415"/>
      <c r="E23" s="415"/>
      <c r="F23" s="415"/>
      <c r="G23" s="415"/>
      <c r="H23" s="416"/>
    </row>
    <row r="24" spans="1:8" x14ac:dyDescent="0.15">
      <c r="A24" s="399"/>
      <c r="B24" s="350" t="s">
        <v>199</v>
      </c>
      <c r="C24" s="414"/>
      <c r="D24" s="415">
        <f>'OPS &amp; NON-OPS'!E31</f>
        <v>295520.4160000002</v>
      </c>
      <c r="E24" s="415">
        <f>'OPS &amp; NON-OPS'!F31</f>
        <v>-89965.07600000035</v>
      </c>
      <c r="F24" s="415">
        <f>'OPS &amp; NON-OPS'!G31</f>
        <v>5277671.0759999994</v>
      </c>
      <c r="G24" s="415">
        <f>'OPS &amp; NON-OPS'!H31</f>
        <v>0</v>
      </c>
      <c r="H24" s="416">
        <f>'OPS &amp; NON-OPS'!I31</f>
        <v>0</v>
      </c>
    </row>
    <row r="25" spans="1:8" x14ac:dyDescent="0.15">
      <c r="A25" s="427"/>
      <c r="B25" s="77" t="s">
        <v>200</v>
      </c>
      <c r="C25" s="417"/>
      <c r="D25" s="418">
        <f>'OPS &amp; NON-OPS'!E12</f>
        <v>523722</v>
      </c>
      <c r="E25" s="418">
        <f>'OPS &amp; NON-OPS'!F12</f>
        <v>492626</v>
      </c>
      <c r="F25" s="418">
        <f>'OPS &amp; NON-OPS'!G12</f>
        <v>0</v>
      </c>
      <c r="G25" s="418">
        <f>'OPS &amp; NON-OPS'!H12</f>
        <v>0</v>
      </c>
      <c r="H25" s="419">
        <f>'OPS &amp; NON-OPS'!I12</f>
        <v>0</v>
      </c>
    </row>
    <row r="26" spans="1:8" x14ac:dyDescent="0.15">
      <c r="A26" s="75"/>
      <c r="B26" s="77" t="s">
        <v>201</v>
      </c>
      <c r="C26" s="417"/>
      <c r="D26" s="418">
        <f>IF(('CASH FLOW'!D48+'CASH FLOW'!D49)&gt;0,('CASH FLOW'!D48+'CASH FLOW'!D49),0)</f>
        <v>0</v>
      </c>
      <c r="E26" s="418">
        <f>IF(('CASH FLOW'!E48+'CASH FLOW'!E49)&gt;0,('CASH FLOW'!E48+'CASH FLOW'!E49),0)</f>
        <v>0</v>
      </c>
      <c r="F26" s="418">
        <f>IF(('CASH FLOW'!F48+'CASH FLOW'!F49)&gt;0,('CASH FLOW'!F48+'CASH FLOW'!F49),0)</f>
        <v>0</v>
      </c>
      <c r="G26" s="418">
        <f>IF(('CASH FLOW'!G48+'CASH FLOW'!G49)&gt;0,('CASH FLOW'!G48+'CASH FLOW'!G49),0)</f>
        <v>0</v>
      </c>
      <c r="H26" s="419">
        <f>IF(('CASH FLOW'!H48+'CASH FLOW'!H49)&gt;0,('CASH FLOW'!H48+'CASH FLOW'!H49),0)</f>
        <v>0</v>
      </c>
    </row>
    <row r="27" spans="1:8" x14ac:dyDescent="0.15">
      <c r="A27" s="75"/>
      <c r="B27" s="77" t="s">
        <v>202</v>
      </c>
      <c r="C27" s="417"/>
      <c r="D27" s="418">
        <f>'I.S.'!F36+'I.S.'!F37+'I.S.'!F38</f>
        <v>0</v>
      </c>
      <c r="E27" s="418">
        <f>'I.S.'!H36+'I.S.'!H37+'I.S.'!H38</f>
        <v>740339</v>
      </c>
      <c r="F27" s="418">
        <f>'I.S.'!J36+'I.S.'!J37+'I.S.'!J38</f>
        <v>0</v>
      </c>
      <c r="G27" s="418">
        <f>'I.S.'!L36+'I.S.'!L37+'I.S.'!L38</f>
        <v>0</v>
      </c>
      <c r="H27" s="419">
        <f>'I.S.'!N36+'I.S.'!N37+'I.S.'!N38</f>
        <v>0</v>
      </c>
    </row>
    <row r="28" spans="1:8" x14ac:dyDescent="0.15">
      <c r="A28" s="75"/>
      <c r="B28" s="77" t="s">
        <v>203</v>
      </c>
      <c r="C28" s="417"/>
      <c r="D28" s="428">
        <f>IF('I.S.'!F24=0,0,('I.S.'!F23+'I.S.'!F14)/'I.S.'!F24)</f>
        <v>0</v>
      </c>
      <c r="E28" s="428">
        <f>IF('I.S.'!H24=0,0,('I.S.'!H23+'I.S.'!H14)/'I.S.'!H24)</f>
        <v>0</v>
      </c>
      <c r="F28" s="428">
        <f>IF('I.S.'!J24=0,0,('I.S.'!J23+'I.S.'!J14)/'I.S.'!J24)</f>
        <v>0</v>
      </c>
      <c r="G28" s="428">
        <f>IF('I.S.'!L24=0,0,('I.S.'!L23+'I.S.'!L14)/'I.S.'!L24)</f>
        <v>0</v>
      </c>
      <c r="H28" s="429">
        <f>IF('I.S.'!N24=0,0,('I.S.'!N23+'I.S.'!N14)/'I.S.'!N24)</f>
        <v>0</v>
      </c>
    </row>
    <row r="29" spans="1:8" x14ac:dyDescent="0.15">
      <c r="A29" s="75"/>
      <c r="B29" s="77" t="s">
        <v>204</v>
      </c>
      <c r="C29" s="417"/>
      <c r="D29" s="428">
        <f>IF('B.S.'!D44=0,0,('I.S.'!F23+'I.S.'!F14)/('I.S.'!F24+'B.S.'!D44))</f>
        <v>0</v>
      </c>
      <c r="E29" s="428">
        <f>IF('B.S.'!F44=0,0,('I.S.'!H23+'I.S.'!H14)/('I.S.'!H24+'B.S.'!F44))</f>
        <v>0</v>
      </c>
      <c r="F29" s="428">
        <f>IF('B.S.'!H44=0,0,('I.S.'!J23+'I.S.'!J14)/('I.S.'!J24+'B.S.'!H44))</f>
        <v>0</v>
      </c>
      <c r="G29" s="428">
        <f>IF('B.S.'!J44=0,0,('I.S.'!L23+'I.S.'!L14)/('I.S.'!L24+'B.S.'!J44))</f>
        <v>0</v>
      </c>
      <c r="H29" s="429">
        <f>IF('B.S.'!L44=0,0,('I.S.'!N23+'I.S.'!N14)/('B.S.'!L44+'I.S.'!N24))</f>
        <v>0</v>
      </c>
    </row>
    <row r="30" spans="1:8" x14ac:dyDescent="0.15">
      <c r="A30" s="75"/>
      <c r="B30" s="406"/>
      <c r="C30" s="414"/>
      <c r="D30" s="415"/>
      <c r="E30" s="415"/>
      <c r="F30" s="415"/>
      <c r="G30" s="415"/>
      <c r="H30" s="416"/>
    </row>
    <row r="31" spans="1:8" ht="14.25" x14ac:dyDescent="0.15">
      <c r="A31" s="379"/>
      <c r="B31" s="395" t="s">
        <v>205</v>
      </c>
      <c r="C31" s="414"/>
      <c r="D31" s="415"/>
      <c r="E31" s="415"/>
      <c r="F31" s="415"/>
      <c r="G31" s="415"/>
      <c r="H31" s="416"/>
    </row>
    <row r="32" spans="1:8" x14ac:dyDescent="0.15">
      <c r="A32" s="399"/>
      <c r="B32" s="350" t="s">
        <v>206</v>
      </c>
      <c r="C32" s="421">
        <f>'I.S.'!E28</f>
        <v>0.18672221414158616</v>
      </c>
      <c r="D32" s="422">
        <f>'I.S.'!G28</f>
        <v>0.17422607053713735</v>
      </c>
      <c r="E32" s="422">
        <f>'I.S.'!I28</f>
        <v>-0.26922385523519737</v>
      </c>
      <c r="F32" s="422">
        <f>'I.S.'!K28</f>
        <v>0</v>
      </c>
      <c r="G32" s="422">
        <f>'I.S.'!M28</f>
        <v>0</v>
      </c>
      <c r="H32" s="423">
        <f>'I.S.'!O28</f>
        <v>0</v>
      </c>
    </row>
    <row r="33" spans="1:8" x14ac:dyDescent="0.15">
      <c r="A33" s="427"/>
      <c r="B33" s="77" t="s">
        <v>207</v>
      </c>
      <c r="C33" s="424">
        <f>IF('B.S.'!D36=0,0,'I.S.'!D28/'B.S.'!D36)</f>
        <v>2.3705580880892883E-2</v>
      </c>
      <c r="D33" s="425">
        <f>IF('B.S.'!F36=0,0,'I.S.'!F28/'B.S.'!F36)</f>
        <v>2.5949160936153879E-2</v>
      </c>
      <c r="E33" s="425">
        <f>IF('B.S.'!H36=0,0,'I.S.'!H28/'B.S.'!H36)</f>
        <v>-4.2059740833231829E-2</v>
      </c>
      <c r="F33" s="425">
        <f>IF('B.S.'!J36=0,0,'I.S.'!J28/'B.S.'!J36)</f>
        <v>0</v>
      </c>
      <c r="G33" s="425">
        <f>IF('B.S.'!L36=0,0,'I.S.'!L28/'B.S.'!L36)</f>
        <v>0</v>
      </c>
      <c r="H33" s="426">
        <f>IF('B.S.'!N36=0,0,'I.S.'!N28/'B.S.'!N36)</f>
        <v>0</v>
      </c>
    </row>
    <row r="34" spans="1:8" x14ac:dyDescent="0.15">
      <c r="A34" s="75"/>
      <c r="B34" s="77" t="s">
        <v>208</v>
      </c>
      <c r="C34" s="424">
        <f>IF(C13=0,0,'I.S.'!D28/C13)</f>
        <v>3.146650196331427E-2</v>
      </c>
      <c r="D34" s="425">
        <f>IF(D13=0,0,'I.S.'!F28/D13)</f>
        <v>3.4161259549764775E-2</v>
      </c>
      <c r="E34" s="425">
        <f>IF(E13=0,0,'I.S.'!H28/E13)</f>
        <v>-5.6097196185036856E-2</v>
      </c>
      <c r="F34" s="425">
        <f>IF(F13=0,0,'I.S.'!J28/F13)</f>
        <v>0</v>
      </c>
      <c r="G34" s="425">
        <f>IF(G13=0,0,'I.S.'!L28/G13)</f>
        <v>0</v>
      </c>
      <c r="H34" s="426">
        <f>IF(H13=0,0,'I.S.'!N28/H13)</f>
        <v>0</v>
      </c>
    </row>
    <row r="35" spans="1:8" x14ac:dyDescent="0.15">
      <c r="A35" s="75"/>
      <c r="B35" s="77" t="s">
        <v>209</v>
      </c>
      <c r="C35" s="424">
        <f>'I.S.'!E13</f>
        <v>0.3386791668194104</v>
      </c>
      <c r="D35" s="425">
        <f>'I.S.'!G13</f>
        <v>0.28204808331096132</v>
      </c>
      <c r="E35" s="425">
        <f>'I.S.'!I13</f>
        <v>0.26553459571733046</v>
      </c>
      <c r="F35" s="425">
        <f>'I.S.'!K13</f>
        <v>0</v>
      </c>
      <c r="G35" s="425">
        <f>'I.S.'!M13</f>
        <v>0</v>
      </c>
      <c r="H35" s="426">
        <f>'I.S.'!O13</f>
        <v>0</v>
      </c>
    </row>
    <row r="36" spans="1:8" x14ac:dyDescent="0.15">
      <c r="A36" s="75"/>
      <c r="B36" s="77" t="s">
        <v>210</v>
      </c>
      <c r="C36" s="424">
        <f>IF('I.S.'!D13=0,0,'I.S.'!D13/('B.S.'!D28-'B.S.'!D24))</f>
        <v>0.21845371418096288</v>
      </c>
      <c r="D36" s="425">
        <f>IF('I.S.'!F13=0,0,'I.S.'!F13/('B.S.'!F28-'B.S.'!F24))</f>
        <v>0.20334865949748554</v>
      </c>
      <c r="E36" s="425">
        <f>IF('I.S.'!H13=0,0,'I.S.'!H13/('B.S.'!H28-'B.S.'!H24))</f>
        <v>0.16102595899170491</v>
      </c>
      <c r="F36" s="425">
        <f>IF('I.S.'!J13=0,0,'I.S.'!J13/('B.S.'!J28-'B.S.'!J24))</f>
        <v>0</v>
      </c>
      <c r="G36" s="425">
        <f>IF('I.S.'!L13=0,0,'I.S.'!L13/('B.S.'!L28-'B.S.'!L24))</f>
        <v>0</v>
      </c>
      <c r="H36" s="426">
        <f>IF('I.S.'!N13=0,0,'I.S.'!N13/('B.S.'!N28-'B.S.'!N24))</f>
        <v>0</v>
      </c>
    </row>
    <row r="37" spans="1:8" x14ac:dyDescent="0.15">
      <c r="A37" s="75"/>
      <c r="B37" s="406"/>
      <c r="C37" s="414"/>
      <c r="D37" s="415"/>
      <c r="E37" s="415"/>
      <c r="F37" s="415"/>
      <c r="G37" s="415"/>
      <c r="H37" s="416"/>
    </row>
    <row r="38" spans="1:8" ht="14.25" x14ac:dyDescent="0.15">
      <c r="A38" s="379"/>
      <c r="B38" s="398" t="s">
        <v>211</v>
      </c>
      <c r="C38" s="414"/>
      <c r="D38" s="415"/>
      <c r="E38" s="415"/>
      <c r="F38" s="415"/>
      <c r="G38" s="415"/>
      <c r="H38" s="416"/>
    </row>
    <row r="39" spans="1:8" x14ac:dyDescent="0.15">
      <c r="A39" s="399"/>
      <c r="B39" s="350" t="s">
        <v>212</v>
      </c>
      <c r="C39" s="430">
        <f>IF('B.S.'!D29=0,0,'I.S.'!D10/'B.S.'!D29)</f>
        <v>0.19057853133234048</v>
      </c>
      <c r="D39" s="431">
        <f>IF('B.S.'!F29=0,0,'I.S.'!F10/'B.S.'!F29)</f>
        <v>0.22575592977212175</v>
      </c>
      <c r="E39" s="431">
        <f>IF('B.S.'!H29=0,0,'I.S.'!H10/'B.S.'!H29)</f>
        <v>0.26169299985218608</v>
      </c>
      <c r="F39" s="431">
        <f>IF('B.S.'!J29=0,0,'I.S.'!J10/'B.S.'!J29)</f>
        <v>0</v>
      </c>
      <c r="G39" s="431">
        <f>IF('B.S.'!L29=0,0,'I.S.'!L10/'B.S.'!L29)</f>
        <v>0</v>
      </c>
      <c r="H39" s="432">
        <f>IF('B.S.'!N29=0,0,'I.S.'!N10/'B.S.'!N29)</f>
        <v>0</v>
      </c>
    </row>
    <row r="40" spans="1:8" x14ac:dyDescent="0.15">
      <c r="A40" s="427"/>
      <c r="B40" s="77" t="s">
        <v>213</v>
      </c>
      <c r="C40" s="417">
        <f>IF('I.S.'!D10=0,0,'B.S.'!D23/'I.S.'!D10*('I.S.'!D7/12)*360)</f>
        <v>23.142957489153222</v>
      </c>
      <c r="D40" s="418">
        <f>IF('I.S.'!F10=0,0,'B.S.'!F23/'I.S.'!F10*('I.S.'!F7/12)*360)</f>
        <v>22.024788956453961</v>
      </c>
      <c r="E40" s="418">
        <f>IF('I.S.'!H10=0,0,'B.S.'!H23/'I.S.'!H10*('I.S.'!H7/12)*360)</f>
        <v>22.609036257429452</v>
      </c>
      <c r="F40" s="418">
        <f>IF('I.S.'!J10=0,0,'B.S.'!J23/'I.S.'!J10*('I.S.'!J7/12)*360)</f>
        <v>0</v>
      </c>
      <c r="G40" s="418">
        <f>IF('I.S.'!L10=0,0,'B.S.'!L23/'I.S.'!L10*('I.S.'!L7/12)*360)</f>
        <v>0</v>
      </c>
      <c r="H40" s="419">
        <f>IF('I.S.'!N10=0,0,'B.S.'!N23/'I.S.'!N10*('I.S.'!N7/12)*360)</f>
        <v>0</v>
      </c>
    </row>
    <row r="41" spans="1:8" x14ac:dyDescent="0.15">
      <c r="A41" s="75"/>
      <c r="B41" s="77" t="s">
        <v>214</v>
      </c>
      <c r="C41" s="417">
        <f>IF('I.S.'!D10=0,0,('B.S.'!D23+'B.S.'!D33+'B.S.'!D26)/'I.S.'!D10*('I.S.'!D7/12)*360)</f>
        <v>31.284844786748071</v>
      </c>
      <c r="D41" s="418">
        <f>IF('I.S.'!F10=0,0,('B.S.'!F23+'B.S.'!F26+'B.S.'!F33)/'I.S.'!F10*('I.S.'!F7/12)*360)</f>
        <v>28.522622782303735</v>
      </c>
      <c r="E41" s="418">
        <f>IF('I.S.'!H10=0,0,('B.S.'!H23+'B.S.'!H26+'B.S.'!H33)/'I.S.'!H10*('I.S.'!H7/12)*360)</f>
        <v>33.678498914793813</v>
      </c>
      <c r="F41" s="418">
        <f>IF('I.S.'!J10=0,0,('B.S.'!J23+'B.S.'!J26+'B.S.'!J33)/'I.S.'!J10*('I.S.'!J7/12)*360)</f>
        <v>0</v>
      </c>
      <c r="G41" s="418">
        <f>IF('I.S.'!L10=0,0,('B.S.'!L23+'B.S.'!L26+'B.S.'!L33)/'I.S.'!L10*('I.S.'!L7/12)*360)</f>
        <v>0</v>
      </c>
      <c r="H41" s="419">
        <f>IF('I.S.'!N7=0,0,('B.S.'!N23+'B.S.'!N26+'B.S.'!N33)/'I.S.'!N10*('I.S.'!N7/12)*360)</f>
        <v>0</v>
      </c>
    </row>
    <row r="42" spans="1:8" x14ac:dyDescent="0.15">
      <c r="A42" s="75"/>
      <c r="B42" s="77" t="s">
        <v>215</v>
      </c>
      <c r="C42" s="417">
        <f>IF('I.S.'!D11=0,0,'B.S.'!D24/'I.S.'!D11*('I.S.'!D7/12)*360)</f>
        <v>63.708191922819452</v>
      </c>
      <c r="D42" s="418">
        <f>IF('I.S.'!F11=0,0,'B.S.'!F24/'I.S.'!F11*('I.S.'!F7/12)*360)</f>
        <v>46.382400235175595</v>
      </c>
      <c r="E42" s="418">
        <f>IF('I.S.'!H11=0,0,'B.S.'!H24/'I.S.'!H11*('I.S.'!H7/12)*360)</f>
        <v>49.298114317438056</v>
      </c>
      <c r="F42" s="418">
        <f>IF('I.S.'!J11=0,0,'B.S.'!J24/'I.S.'!J11*('I.S.'!J7/12)*360)</f>
        <v>0</v>
      </c>
      <c r="G42" s="418">
        <f>IF('I.S.'!L11=0,0,'B.S.'!L24/'I.S.'!L11*('I.S.'!L7/12)*360)</f>
        <v>0</v>
      </c>
      <c r="H42" s="419">
        <f>IF('I.S.'!N11=0,0,'B.S.'!N24/'I.S.'!N11*('I.S.'!N7/12)*360)</f>
        <v>0</v>
      </c>
    </row>
    <row r="43" spans="1:8" x14ac:dyDescent="0.15">
      <c r="A43" s="75"/>
      <c r="B43" s="77" t="s">
        <v>216</v>
      </c>
      <c r="C43" s="417">
        <f>IF('I.S.'!D11=0,0,'B.S.'!D38/'I.S.'!D11*('I.S.'!D7/12)*360)</f>
        <v>17.226573353076272</v>
      </c>
      <c r="D43" s="418">
        <f>IF('I.S.'!F11=0,0,'B.S.'!F38/'I.S.'!F11*('I.S.'!F7/12)*360)</f>
        <v>8.5124627595656115</v>
      </c>
      <c r="E43" s="418">
        <f>IF('I.S.'!H11=0,0,'B.S.'!H38/'I.S.'!H11*('I.S.'!H7/12)*360)</f>
        <v>17.47491868793708</v>
      </c>
      <c r="F43" s="418">
        <f>IF('I.S.'!J11=0,0,'B.S.'!J38/'I.S.'!J11*('I.S.'!J7/12)*360)</f>
        <v>0</v>
      </c>
      <c r="G43" s="418">
        <f>IF('I.S.'!L7=0,0,'B.S.'!L38/'I.S.'!L11*('I.S.'!L7/12)*360)</f>
        <v>0</v>
      </c>
      <c r="H43" s="419">
        <f>IF('I.S.'!N11=0,0,'B.S.'!N38/'I.S.'!N11*('I.S.'!N7/12)*360)</f>
        <v>0</v>
      </c>
    </row>
    <row r="44" spans="1:8" x14ac:dyDescent="0.15">
      <c r="A44" s="75"/>
      <c r="B44" s="77" t="s">
        <v>217</v>
      </c>
      <c r="C44" s="417">
        <f t="shared" ref="C44:H44" si="0">C41+C42-C43</f>
        <v>77.766463356491244</v>
      </c>
      <c r="D44" s="418">
        <f t="shared" si="0"/>
        <v>66.392560257913715</v>
      </c>
      <c r="E44" s="418">
        <f t="shared" si="0"/>
        <v>65.501694544294793</v>
      </c>
      <c r="F44" s="418">
        <f t="shared" si="0"/>
        <v>0</v>
      </c>
      <c r="G44" s="418">
        <f t="shared" si="0"/>
        <v>0</v>
      </c>
      <c r="H44" s="419">
        <f t="shared" si="0"/>
        <v>0</v>
      </c>
    </row>
    <row r="45" spans="1:8" x14ac:dyDescent="0.15">
      <c r="A45" s="75"/>
      <c r="B45" s="77" t="s">
        <v>218</v>
      </c>
      <c r="C45" s="433">
        <f>IF('B.S.'!D45=0,0,'B.S.'!D28/'B.S.'!D45)</f>
        <v>7.114093717881345</v>
      </c>
      <c r="D45" s="434">
        <f>IF('B.S.'!F45=0,0,'B.S.'!F28/'B.S.'!F45)</f>
        <v>7.976899908236633</v>
      </c>
      <c r="E45" s="434">
        <f>IF('B.S.'!H45=0,0,'B.S.'!H28/'B.S.'!H45)</f>
        <v>6.6339092919654217</v>
      </c>
      <c r="F45" s="434">
        <f>IF('B.S.'!J45=0,0,'B.S.'!J28/'B.S.'!J45)</f>
        <v>0</v>
      </c>
      <c r="G45" s="434">
        <f>IF('B.S.'!L45=0,0,'B.S.'!L28/'B.S.'!L45)</f>
        <v>0</v>
      </c>
      <c r="H45" s="435">
        <f>IF('B.S.'!N45=0,0,'B.S.'!N28/'B.S.'!N45)</f>
        <v>0</v>
      </c>
    </row>
    <row r="46" spans="1:8" x14ac:dyDescent="0.15">
      <c r="A46" s="75"/>
      <c r="B46" s="77" t="s">
        <v>219</v>
      </c>
      <c r="C46" s="433">
        <f>IF('B.S.'!D45=0,0,('B.S.'!D28-'B.S.'!D24)/'B.S.'!D45)</f>
        <v>4.1943921813100919</v>
      </c>
      <c r="D46" s="434">
        <f>IF('B.S.'!F45=0,0,('B.S.'!F28-'B.S.'!F24)/'B.S.'!F45)</f>
        <v>4.8429698179832963</v>
      </c>
      <c r="E46" s="434">
        <f>IF('B.S.'!H45=0,0,('B.S.'!H28-'B.S.'!H24)/'B.S.'!H45)</f>
        <v>4.2405572275843388</v>
      </c>
      <c r="F46" s="434">
        <f>IF('B.S.'!J45=0,0,('B.S.'!J28-'B.S.'!J24)/'B.S.'!J45)</f>
        <v>0</v>
      </c>
      <c r="G46" s="434">
        <f>IF('B.S.'!L45=0,0,('B.S.'!L28-'B.S.'!L24)/'B.S.'!L45)</f>
        <v>0</v>
      </c>
      <c r="H46" s="435">
        <f>IF('B.S.'!N45=0,0,('B.S.'!N28-'B.S.'!N24)/'B.S.'!N45)</f>
        <v>0</v>
      </c>
    </row>
    <row r="47" spans="1:8" x14ac:dyDescent="0.15">
      <c r="A47" s="75"/>
      <c r="B47" s="406"/>
      <c r="C47" s="414"/>
      <c r="D47" s="415"/>
      <c r="E47" s="415"/>
      <c r="F47" s="415"/>
      <c r="G47" s="415"/>
      <c r="H47" s="416"/>
    </row>
    <row r="48" spans="1:8" ht="14.25" x14ac:dyDescent="0.15">
      <c r="A48" s="379" t="s">
        <v>229</v>
      </c>
      <c r="B48" s="395" t="s">
        <v>220</v>
      </c>
      <c r="C48" s="414"/>
      <c r="D48" s="415"/>
      <c r="E48" s="415"/>
      <c r="F48" s="415"/>
      <c r="G48" s="415"/>
      <c r="H48" s="416"/>
    </row>
    <row r="49" spans="1:8" x14ac:dyDescent="0.15">
      <c r="A49" s="399"/>
      <c r="B49" s="350" t="s">
        <v>221</v>
      </c>
      <c r="C49" s="430">
        <f>IF(C13=0,0,'B.S.'!D53/C13)</f>
        <v>0.32738793677697614</v>
      </c>
      <c r="D49" s="431">
        <f>IF(D13=0,0,'B.S.'!F53/D13)</f>
        <v>0.31646875993705514</v>
      </c>
      <c r="E49" s="431">
        <f>IF(E13=0,0,'B.S.'!H53/E13)</f>
        <v>0.33375039559582254</v>
      </c>
      <c r="F49" s="431">
        <f>IF(F13=0,0,'B.S.'!J53/F13)</f>
        <v>0</v>
      </c>
      <c r="G49" s="431">
        <f>IF(G13=0,0,'B.S.'!L53/G13)</f>
        <v>0</v>
      </c>
      <c r="H49" s="432">
        <f>IF(H13=0,0,'B.S.'!N53/H13)</f>
        <v>0</v>
      </c>
    </row>
    <row r="50" spans="1:8" x14ac:dyDescent="0.15">
      <c r="A50" s="427"/>
      <c r="B50" s="77" t="s">
        <v>222</v>
      </c>
      <c r="C50" s="433">
        <f>IF(C13=0,0,'B.S.'!D52/C13)</f>
        <v>0.26509877418405148</v>
      </c>
      <c r="D50" s="434">
        <f>IF(D13=0,0,'B.S.'!F52/D13)</f>
        <v>0.26031345242851434</v>
      </c>
      <c r="E50" s="434">
        <f>IF(E13=0,0,'B.S.'!H52/E13)</f>
        <v>0.25272336838408699</v>
      </c>
      <c r="F50" s="434">
        <f>IF(F13=0,0,'B.S.'!J52/F13)</f>
        <v>0</v>
      </c>
      <c r="G50" s="434">
        <f>IF(G13=0,0,'B.S.'!L52/G13)</f>
        <v>0</v>
      </c>
      <c r="H50" s="435">
        <f>IF(H13=0,0,'B.S.'!N52/H13)</f>
        <v>0</v>
      </c>
    </row>
    <row r="51" spans="1:8" x14ac:dyDescent="0.15">
      <c r="A51" s="75"/>
      <c r="B51" s="77" t="s">
        <v>223</v>
      </c>
      <c r="C51" s="433">
        <f>IF('I.S.'!D24=0,0,'I.S.'!D23/'I.S.'!D24)</f>
        <v>4.7559546463685383</v>
      </c>
      <c r="D51" s="434">
        <f>IF('I.S.'!F24=0,0,'I.S.'!F23/'I.S.'!F24)</f>
        <v>0</v>
      </c>
      <c r="E51" s="434">
        <f>IF('I.S.'!H24=0,0,'I.S.'!H23/'I.S.'!H24)</f>
        <v>0</v>
      </c>
      <c r="F51" s="434">
        <f>IF('I.S.'!J24=0,0,'I.S.'!J23/'I.S.'!J24)</f>
        <v>0</v>
      </c>
      <c r="G51" s="434">
        <f>IF('I.S.'!L24=0,0,'I.S.'!L23/'I.S.'!L24)</f>
        <v>0</v>
      </c>
      <c r="H51" s="435">
        <f>IF('I.S.'!N24=0,0,'I.S.'!N23/'I.S.'!N24)</f>
        <v>0</v>
      </c>
    </row>
    <row r="52" spans="1:8" x14ac:dyDescent="0.15">
      <c r="A52" s="75"/>
      <c r="B52" s="77" t="s">
        <v>224</v>
      </c>
      <c r="C52" s="424">
        <f>IF(C12=0,0,('I.S.'!D41+'I.S.'!D42)/C12)</f>
        <v>0</v>
      </c>
      <c r="D52" s="425">
        <f>IF(D12=0,0,('I.S.'!F41+'I.S.'!F42)/D12)</f>
        <v>0.47159179870236501</v>
      </c>
      <c r="E52" s="425">
        <f>IF(E12=0,0,('I.S.'!H41+'I.S.'!H42)/E12)</f>
        <v>0</v>
      </c>
      <c r="F52" s="425">
        <f>IF(F12=0,0,('I.S.'!J41+'I.S.'!J42)/F12)</f>
        <v>0</v>
      </c>
      <c r="G52" s="425">
        <f>IF(G12=0,0,('I.S.'!L41+'I.S.'!L42)/G12)</f>
        <v>0</v>
      </c>
      <c r="H52" s="426">
        <f>IF(H12=0,0,('I.S.'!N41+'I.S.'!N42)/H12)</f>
        <v>0</v>
      </c>
    </row>
    <row r="53" spans="1:8" x14ac:dyDescent="0.15">
      <c r="A53" s="142"/>
      <c r="B53" s="436"/>
      <c r="C53" s="437"/>
      <c r="D53" s="438"/>
      <c r="E53" s="438"/>
      <c r="F53" s="438"/>
      <c r="G53" s="438"/>
      <c r="H53" s="439"/>
    </row>
  </sheetData>
  <printOptions horizontalCentered="1" verticalCentered="1"/>
  <pageMargins left="0" right="0" top="0.39370078740157483" bottom="0.39370078740157483" header="0.51181102362204722" footer="0.51181102362204722"/>
  <pageSetup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2</vt:i4>
      </vt:variant>
    </vt:vector>
  </HeadingPairs>
  <TitlesOfParts>
    <vt:vector size="8" baseType="lpstr">
      <vt:lpstr>B.S.</vt:lpstr>
      <vt:lpstr>اصول متداولة اخرى </vt:lpstr>
      <vt:lpstr>I.S.</vt:lpstr>
      <vt:lpstr>OPS &amp; NON-OPS</vt:lpstr>
      <vt:lpstr>CASH FLOW</vt:lpstr>
      <vt:lpstr>RATIOS</vt:lpstr>
      <vt:lpstr>I.S.!Print_Area</vt:lpstr>
      <vt:lpstr>اصول متداولة اخرى 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Abdullatif Al-Mandil</dc:creator>
  <cp:lastModifiedBy>m m</cp:lastModifiedBy>
  <dcterms:created xsi:type="dcterms:W3CDTF">1998-09-21T08:45:40Z</dcterms:created>
  <dcterms:modified xsi:type="dcterms:W3CDTF">2026-10-13T04:23:13Z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uthorEmail">
    <vt:lpwstr>mohamed.mazhar@imc-egypt.org</vt:lpwstr>
  </property>
  <property fmtid="{D5CDD505-2E9C-101B-9397-08002B2CF9AE}" pid="3" name="_EmailSubject">
    <vt:lpwstr>packformat</vt:lpwstr>
  </property>
  <property fmtid="{D5CDD505-2E9C-101B-9397-08002B2CF9AE}" pid="4" name="_PreviousAdHocReviewCycleID">
    <vt:i4>894893664</vt:i4>
  </property>
  <property fmtid="{D5CDD505-2E9C-101B-9397-08002B2CF9AE}" pid="5" name="_AuthorEmailDisplayName">
    <vt:lpwstr>Mohamed Mazhar</vt:lpwstr>
  </property>
  <property fmtid="{D5CDD505-2E9C-101B-9397-08002B2CF9AE}" pid="6" name="_AdHocReviewCycleID">
    <vt:i4>-1521555340</vt:i4>
  </property>
  <property fmtid="{D5CDD505-2E9C-101B-9397-08002B2CF9AE}" pid="7" name="ICV">
    <vt:lpwstr>2f703dce13dc43c4a207f884d15d8bc3</vt:lpwstr>
  </property>
</Properties>
</file>