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Calc"/>
  <workbookPr defaultThemeVersion="153222"/>
  <bookViews>
    <workbookView xWindow="0" yWindow="0" windowWidth="16384" windowHeight="8192" activeTab="1" tabRatio="500"/>
  </bookViews>
  <sheets>
    <sheet name="الملخص التنفيذي" sheetId="1" r:id="rId1"/>
    <sheet name="منتجات أبو هاشم" sheetId="2" r:id="rId2"/>
    <sheet name="منتجات سبيشال" sheetId="3" r:id="rId3"/>
    <sheet name="منتجات الهنا" sheetId="4" r:id="rId4"/>
    <sheet name="تقرير الاستثناءات" sheetId="5" r:id="rId5"/>
    <sheet name="المنهجية" sheetId="6" r:id="rId6"/>
  </sheets>
  <calcPr iterateDelta="1.0E-4"/>
</workbook>
</file>

<file path=xl/sharedStrings.xml><?xml version="1.0" encoding="utf-8"?>
<sst xmlns="http://schemas.openxmlformats.org/spreadsheetml/2006/main" uniqueCount="202" count="202">
  <si>
    <t>ABOHASHEM FOR MEAT – Food Industries</t>
  </si>
  <si>
    <t>تسعير الخامات بأحدث متوسط تكلفة مرجّح (WAC حتى يونيه 2026) — أسعار الإنتاج التام لأهم 9 منتجات (3 لكل علامة تجارية)</t>
  </si>
  <si>
    <t>م</t>
  </si>
  <si>
    <t>المنتج</t>
  </si>
  <si>
    <t>العلامة التجارية</t>
  </si>
  <si>
    <t>سعر الكجم القديم (ج.م)</t>
  </si>
  <si>
    <t>سعر الكجم المحدَّث WAC (ج.م)</t>
  </si>
  <si>
    <t>نسبة التغيّر</t>
  </si>
  <si>
    <t>خامات بلا سعر</t>
  </si>
  <si>
    <t>سجق ابوهاشم</t>
  </si>
  <si>
    <t>أبو هاشم</t>
  </si>
  <si>
    <t>كفته ابوهاشم</t>
  </si>
  <si>
    <t>برجر ابوهاشم</t>
  </si>
  <si>
    <t>برجر اسبشيال</t>
  </si>
  <si>
    <t>سبيشال</t>
  </si>
  <si>
    <t>سجق اسبشيال</t>
  </si>
  <si>
    <t>كفته اسبشيال</t>
  </si>
  <si>
    <t>سجق الهنا</t>
  </si>
  <si>
    <t>الهنا</t>
  </si>
  <si>
    <t>برجر الهنا</t>
  </si>
  <si>
    <t>كفته الهنا</t>
  </si>
  <si>
    <t>ملاحظة: هذا الجدول يمثل تكلفة الخامات المباشرة فقط (Direct Materials) لكل كجم من الخلطة قبل التعبئة — لا يشمل الأجور المباشرة ولا الأعباء الصناعية غير المباشرة (خارج نطاق البيانات المتاحة حاليًا).</t>
  </si>
  <si>
    <t>تسعير خامات ومنتجات علامة أبو هاشم — WAC حتى يونيه 2026</t>
  </si>
  <si>
    <t>الخلطة الفرعية: سجق الهاشم (خلطة التوابل)</t>
  </si>
  <si>
    <t>الخامة</t>
  </si>
  <si>
    <t>الكمية (كجم)</t>
  </si>
  <si>
    <t>السعر (ج.م/كجم)</t>
  </si>
  <si>
    <t>الإجمالي (ج.م)</t>
  </si>
  <si>
    <t>ملاحظة المطابقة</t>
  </si>
  <si>
    <t>فوسفات</t>
  </si>
  <si>
    <t>جلتومات</t>
  </si>
  <si>
    <t>طعم بسطرمة</t>
  </si>
  <si>
    <t>طعم سجق</t>
  </si>
  <si>
    <t>فلفل اسود</t>
  </si>
  <si>
    <t>كزبرة</t>
  </si>
  <si>
    <t>بابريكا</t>
  </si>
  <si>
    <t>حلبه</t>
  </si>
  <si>
    <t>—</t>
  </si>
  <si>
    <t>صنف غير موجود ضمن قاعدة بيانات الخامات المُسعّرة</t>
  </si>
  <si>
    <t>قرنفل</t>
  </si>
  <si>
    <t>قرفه</t>
  </si>
  <si>
    <t>شطه</t>
  </si>
  <si>
    <t>ملح</t>
  </si>
  <si>
    <t>ينسون</t>
  </si>
  <si>
    <t>لون</t>
  </si>
  <si>
    <t>حبهان</t>
  </si>
  <si>
    <t>إجمالي الخلطة الفرعية</t>
  </si>
  <si>
    <t>سعر الكجم للخلطة الفرعية (يُستخدم كسعر بند «توابيل» بالوصفة الرئيسية)</t>
  </si>
  <si>
    <t>الوصفة الرئيسية (Direct Materials)</t>
  </si>
  <si>
    <t>مفروم فراخ فاخر</t>
  </si>
  <si>
    <t>بصل</t>
  </si>
  <si>
    <t>دهن</t>
  </si>
  <si>
    <t>فلانك</t>
  </si>
  <si>
    <t>فلفل</t>
  </si>
  <si>
    <t>غير محدد النوع (فلفل اسود/احمر/اخضر) — لا يمكن تحديد سعر بدقة دون توضيح</t>
  </si>
  <si>
    <t>توام</t>
  </si>
  <si>
    <t>صويا</t>
  </si>
  <si>
    <t>الصويا العامة تُفترض من نوع "لحمه" القياسى ما لم يُذكر خلاف ذلك</t>
  </si>
  <si>
    <t>بطاطس</t>
  </si>
  <si>
    <t>برغل</t>
  </si>
  <si>
    <t>جلد</t>
  </si>
  <si>
    <t>مايه</t>
  </si>
  <si>
    <t>لا يوجد سعر شراء مسجل للمياه ضمن الخامات — عادة تكلفة مرافق غير مباشرة</t>
  </si>
  <si>
    <t>دوبريه</t>
  </si>
  <si>
    <t>نشا</t>
  </si>
  <si>
    <t>توابيل</t>
  </si>
  <si>
    <t>سعر مرجّح من خلطة التوابل الفرعية (سجق الهاشم (خلطة التوابل))</t>
  </si>
  <si>
    <t>إجمالي الوصفة الرئيسية</t>
  </si>
  <si>
    <t>أساس احتساب سعر الكجم: أساس إنتاجية محفوظ من الملف الأصلى = 98.9600 كجم (وليس إجمالى وزن الخامات 127.120 كجم) — تم الإبقاء على نفس معامل الفاقد/الإنتاجية المستخدم أصلاً وتحديث المدخلات السعرية فقط</t>
  </si>
  <si>
    <t>سعر الكجم (خامات مباشرة فقط)</t>
  </si>
  <si>
    <t>تكلفة التعبئة حسب الوزن (سعر الخلطة + تكلفة التغليف)</t>
  </si>
  <si>
    <t>الصنف (SKU)</t>
  </si>
  <si>
    <t>الوزن (كجم)</t>
  </si>
  <si>
    <t>تكلفة الخلطة (ج.م)</t>
  </si>
  <si>
    <t>تكلفة التغليف (ج.م)</t>
  </si>
  <si>
    <t>السعر النهائي (ج.م)</t>
  </si>
  <si>
    <t>٣٥٠ جرام</t>
  </si>
  <si>
    <t>٨٠٠ جرام</t>
  </si>
  <si>
    <t>٣ كيلو</t>
  </si>
  <si>
    <t>٥ كيلو</t>
  </si>
  <si>
    <t>الخلطة الفرعية: خلطه توابل كفته ابوهاشم</t>
  </si>
  <si>
    <t>مونوصوديم</t>
  </si>
  <si>
    <t>طعم كفته</t>
  </si>
  <si>
    <t>طعم شواء</t>
  </si>
  <si>
    <t>طعم بيف</t>
  </si>
  <si>
    <t>خلنجان</t>
  </si>
  <si>
    <t>كبابة</t>
  </si>
  <si>
    <t>طعم ليه</t>
  </si>
  <si>
    <t>سكر</t>
  </si>
  <si>
    <t>فلفل اخضر</t>
  </si>
  <si>
    <t>نفس عدم اليقين الموروث من مطابقة كود الشراء 154 سابقًا</t>
  </si>
  <si>
    <t>فلفل حار</t>
  </si>
  <si>
    <t>مطابقة مبدئية لعائلة الفلفل الحار الوحيدة المتاحة بالبيانات</t>
  </si>
  <si>
    <t>صويا ايزوليت</t>
  </si>
  <si>
    <t>صميد</t>
  </si>
  <si>
    <t>دبوبريه</t>
  </si>
  <si>
    <t>سعر مرجّح من خلطة التوابل الفرعية (خلطه توابل كفته ابوهاشم)</t>
  </si>
  <si>
    <t>أساس احتساب سعر الكجم: مباشر: القيمة الإجمالية ÷ إجمالى الكمية (نفس منهجية الملف الأصلى)</t>
  </si>
  <si>
    <t>الخلطة الفرعية: خلطة توابل برجر ابوهاشم</t>
  </si>
  <si>
    <t>طعم برجر</t>
  </si>
  <si>
    <t>طعم دخان</t>
  </si>
  <si>
    <t>زعتر</t>
  </si>
  <si>
    <t>لحمه</t>
  </si>
  <si>
    <t>سعر موحّد 253 ج.م لكل قطعيات اللحم أول المدة (رقبة/كتف/أرباع) — لا يوجد شراء جديد لتحديث السعر</t>
  </si>
  <si>
    <r>
      <rPr>
        <sz val="11"/>
        <color rgb="FF000000"/>
        <rFont val="FreeSans"/>
      </rPr>
      <t>بوش</t>
    </r>
    <r>
      <rPr>
        <charset val="1"/>
        <sz val="11"/>
        <color rgb="FF000000"/>
        <rFont val="Calibri"/>
      </rPr>
      <t>/</t>
    </r>
    <r>
      <rPr>
        <sz val="11"/>
        <color rgb="FF000000"/>
        <rFont val="FreeSans"/>
      </rPr>
      <t>دهن</t>
    </r>
  </si>
  <si>
    <t>الاسم "بوش" مسجل كخامة منفصلة بسعر مختلف (110 ج.م)؛ اعتُمد "دهن بلدي" كونه الأكثر استخدامًا فى باقى الوصفات — يُرجى التأكيد</t>
  </si>
  <si>
    <t>ثوم</t>
  </si>
  <si>
    <t>مفروم</t>
  </si>
  <si>
    <t>افتراض الدرجة الاقتصادية "شعبي" كونها الأكثر استخدامًا</t>
  </si>
  <si>
    <t>مياه</t>
  </si>
  <si>
    <t>سعر مرجّح من خلطة التوابل الفرعية (خلطة توابل برجر ابوهاشم)</t>
  </si>
  <si>
    <t>٤٠٠ جرام</t>
  </si>
  <si>
    <t>٦٠٠ جرام</t>
  </si>
  <si>
    <t>برجر اك</t>
  </si>
  <si>
    <t>١٢٠٠ جرام</t>
  </si>
  <si>
    <r>
      <rPr>
        <charset val="1"/>
        <sz val="11"/>
        <color rgb="FF000000"/>
        <rFont val="Calibri"/>
      </rPr>
      <t xml:space="preserve">1.5 </t>
    </r>
    <r>
      <rPr>
        <sz val="11"/>
        <color rgb="FF000000"/>
        <rFont val="FreeSans"/>
      </rPr>
      <t>كيلو</t>
    </r>
  </si>
  <si>
    <t>تسعير خامات ومنتجات علامة سبيشال — WAC حتى يونيه 2026</t>
  </si>
  <si>
    <t>مفروم فراخ شعبى</t>
  </si>
  <si>
    <t>فلفل احمر</t>
  </si>
  <si>
    <t>فلفل اخضر حار</t>
  </si>
  <si>
    <t>شعرية</t>
  </si>
  <si>
    <t>سميد</t>
  </si>
  <si>
    <t>لون ٦٠١</t>
  </si>
  <si>
    <t>كود لونى محدد لنفس عائلة الألوان الطبيعية</t>
  </si>
  <si>
    <t>كسبرة</t>
  </si>
  <si>
    <t>شطة</t>
  </si>
  <si>
    <t>جبهان</t>
  </si>
  <si>
    <t>جنزبيل</t>
  </si>
  <si>
    <t>برجر اسبشيال ٤٠٠</t>
  </si>
  <si>
    <t>برجر اسبشيال ١ ك</t>
  </si>
  <si>
    <t>لورا</t>
  </si>
  <si>
    <t>توم</t>
  </si>
  <si>
    <t>قرفة</t>
  </si>
  <si>
    <t>كزبره</t>
  </si>
  <si>
    <t>طعم سجق بودر</t>
  </si>
  <si>
    <t>بيف</t>
  </si>
  <si>
    <t>سجق اسبشيال ٣٠٠</t>
  </si>
  <si>
    <t>سجق اسبشيال ٧٠٠</t>
  </si>
  <si>
    <t>سجق ٥ ك</t>
  </si>
  <si>
    <t>ايزوليت</t>
  </si>
  <si>
    <t>لورى</t>
  </si>
  <si>
    <t>لون احمر</t>
  </si>
  <si>
    <t>كفته اسبشيال ٣٥٠</t>
  </si>
  <si>
    <t>كفته اسبشيال ٩٠٠</t>
  </si>
  <si>
    <t>تسعير خامات ومنتجات علامة الهنا — WAC حتى يونيه 2026</t>
  </si>
  <si>
    <t>ببريكا</t>
  </si>
  <si>
    <t>كمون</t>
  </si>
  <si>
    <r>
      <rPr>
        <sz val="11"/>
        <color rgb="FF000000"/>
        <rFont val="FreeSans"/>
      </rPr>
      <t>لون احمر</t>
    </r>
    <r>
      <rPr>
        <charset val="1"/>
        <sz val="11"/>
        <color rgb="FF000000"/>
        <rFont val="Calibri"/>
      </rPr>
      <t>2</t>
    </r>
  </si>
  <si>
    <t>سجق الهنا ٣٠٠</t>
  </si>
  <si>
    <t>سجق الهنا ٧٠٠</t>
  </si>
  <si>
    <t>سجق الهنا ٥ ك</t>
  </si>
  <si>
    <t>عجينة سجق ٥ ك</t>
  </si>
  <si>
    <t>برجر الهنا ٣٨٠</t>
  </si>
  <si>
    <t>برجر الهنا ٩٠٠</t>
  </si>
  <si>
    <t>برجر ٤٠٠</t>
  </si>
  <si>
    <t>برجر ١</t>
  </si>
  <si>
    <t>برجر ٢</t>
  </si>
  <si>
    <t>كفته الهنا ٣٥٠</t>
  </si>
  <si>
    <t>كفته الهنا ٨٠٠</t>
  </si>
  <si>
    <t>عجينة كفته ٥ ك</t>
  </si>
  <si>
    <t>كفته الهنا ٩٠٠</t>
  </si>
  <si>
    <t>تقرير الاستثناءات — خامات بلا سعر متاح فى الوصفات</t>
  </si>
  <si>
    <t>الكمية بالوصفة (كجم)</t>
  </si>
  <si>
    <t>سبب عدم توفر السعر</t>
  </si>
  <si>
    <r>
      <rPr>
        <sz val="11"/>
        <color rgb="FF000000"/>
        <rFont val="FreeSans"/>
      </rPr>
      <t xml:space="preserve">سجق ابوهاشم </t>
    </r>
    <r>
      <rPr>
        <charset val="1"/>
        <sz val="11"/>
        <color rgb="FF000000"/>
        <rFont val="Calibri"/>
      </rPr>
      <t>(</t>
    </r>
    <r>
      <rPr>
        <sz val="11"/>
        <color rgb="FF000000"/>
        <rFont val="FreeSans"/>
      </rPr>
      <t>أبو هاشم</t>
    </r>
    <r>
      <rPr>
        <charset val="1"/>
        <sz val="11"/>
        <color rgb="FF000000"/>
        <rFont val="Calibri"/>
      </rPr>
      <t>)</t>
    </r>
  </si>
  <si>
    <r>
      <rPr>
        <sz val="11"/>
        <color rgb="FF000000"/>
        <rFont val="FreeSans"/>
      </rPr>
      <t xml:space="preserve">كفته ابوهاشم </t>
    </r>
    <r>
      <rPr>
        <charset val="1"/>
        <sz val="11"/>
        <color rgb="FF000000"/>
        <rFont val="Calibri"/>
      </rPr>
      <t>(</t>
    </r>
    <r>
      <rPr>
        <sz val="11"/>
        <color rgb="FF000000"/>
        <rFont val="FreeSans"/>
      </rPr>
      <t>أبو هاشم</t>
    </r>
    <r>
      <rPr>
        <charset val="1"/>
        <sz val="11"/>
        <color rgb="FF000000"/>
        <rFont val="Calibri"/>
      </rPr>
      <t>)</t>
    </r>
  </si>
  <si>
    <r>
      <rPr>
        <sz val="11"/>
        <color rgb="FF000000"/>
        <rFont val="FreeSans"/>
      </rPr>
      <t xml:space="preserve">برجر ابوهاشم </t>
    </r>
    <r>
      <rPr>
        <charset val="1"/>
        <sz val="11"/>
        <color rgb="FF000000"/>
        <rFont val="Calibri"/>
      </rPr>
      <t>(</t>
    </r>
    <r>
      <rPr>
        <sz val="11"/>
        <color rgb="FF000000"/>
        <rFont val="FreeSans"/>
      </rPr>
      <t>أبو هاشم</t>
    </r>
    <r>
      <rPr>
        <charset val="1"/>
        <sz val="11"/>
        <color rgb="FF000000"/>
        <rFont val="Calibri"/>
      </rPr>
      <t>)</t>
    </r>
  </si>
  <si>
    <r>
      <rPr>
        <sz val="11"/>
        <color rgb="FF000000"/>
        <rFont val="FreeSans"/>
      </rPr>
      <t xml:space="preserve">برجر اسبشيال </t>
    </r>
    <r>
      <rPr>
        <charset val="1"/>
        <sz val="11"/>
        <color rgb="FF000000"/>
        <rFont val="Calibri"/>
      </rPr>
      <t>(</t>
    </r>
    <r>
      <rPr>
        <sz val="11"/>
        <color rgb="FF000000"/>
        <rFont val="FreeSans"/>
      </rPr>
      <t>سبيشال</t>
    </r>
    <r>
      <rPr>
        <charset val="1"/>
        <sz val="11"/>
        <color rgb="FF000000"/>
        <rFont val="Calibri"/>
      </rPr>
      <t>)</t>
    </r>
  </si>
  <si>
    <r>
      <rPr>
        <sz val="11"/>
        <color rgb="FF000000"/>
        <rFont val="FreeSans"/>
      </rPr>
      <t xml:space="preserve">سجق اسبشيال </t>
    </r>
    <r>
      <rPr>
        <charset val="1"/>
        <sz val="11"/>
        <color rgb="FF000000"/>
        <rFont val="Calibri"/>
      </rPr>
      <t>(</t>
    </r>
    <r>
      <rPr>
        <sz val="11"/>
        <color rgb="FF000000"/>
        <rFont val="FreeSans"/>
      </rPr>
      <t>سبيشال</t>
    </r>
    <r>
      <rPr>
        <charset val="1"/>
        <sz val="11"/>
        <color rgb="FF000000"/>
        <rFont val="Calibri"/>
      </rPr>
      <t>)</t>
    </r>
  </si>
  <si>
    <r>
      <rPr>
        <sz val="11"/>
        <color rgb="FF000000"/>
        <rFont val="FreeSans"/>
      </rPr>
      <t xml:space="preserve">كفته اسبشيال </t>
    </r>
    <r>
      <rPr>
        <charset val="1"/>
        <sz val="11"/>
        <color rgb="FF000000"/>
        <rFont val="Calibri"/>
      </rPr>
      <t>(</t>
    </r>
    <r>
      <rPr>
        <sz val="11"/>
        <color rgb="FF000000"/>
        <rFont val="FreeSans"/>
      </rPr>
      <t>سبيشال</t>
    </r>
    <r>
      <rPr>
        <charset val="1"/>
        <sz val="11"/>
        <color rgb="FF000000"/>
        <rFont val="Calibri"/>
      </rPr>
      <t>)</t>
    </r>
  </si>
  <si>
    <r>
      <rPr>
        <sz val="11"/>
        <color rgb="FF000000"/>
        <rFont val="FreeSans"/>
      </rPr>
      <t xml:space="preserve">سجق الهنا </t>
    </r>
    <r>
      <rPr>
        <charset val="1"/>
        <sz val="11"/>
        <color rgb="FF000000"/>
        <rFont val="Calibri"/>
      </rPr>
      <t>(</t>
    </r>
    <r>
      <rPr>
        <sz val="11"/>
        <color rgb="FF000000"/>
        <rFont val="FreeSans"/>
      </rPr>
      <t>الهنا</t>
    </r>
    <r>
      <rPr>
        <charset val="1"/>
        <sz val="11"/>
        <color rgb="FF000000"/>
        <rFont val="Calibri"/>
      </rPr>
      <t>)</t>
    </r>
  </si>
  <si>
    <r>
      <rPr>
        <sz val="11"/>
        <color rgb="FF000000"/>
        <rFont val="FreeSans"/>
      </rPr>
      <t xml:space="preserve">برجر الهنا </t>
    </r>
    <r>
      <rPr>
        <charset val="1"/>
        <sz val="11"/>
        <color rgb="FF000000"/>
        <rFont val="Calibri"/>
      </rPr>
      <t>(</t>
    </r>
    <r>
      <rPr>
        <sz val="11"/>
        <color rgb="FF000000"/>
        <rFont val="FreeSans"/>
      </rPr>
      <t>الهنا</t>
    </r>
    <r>
      <rPr>
        <charset val="1"/>
        <sz val="11"/>
        <color rgb="FF000000"/>
        <rFont val="Calibri"/>
      </rPr>
      <t>)</t>
    </r>
  </si>
  <si>
    <r>
      <rPr>
        <sz val="11"/>
        <color rgb="FF000000"/>
        <rFont val="FreeSans"/>
      </rPr>
      <t xml:space="preserve">كفته الهنا </t>
    </r>
    <r>
      <rPr>
        <charset val="1"/>
        <sz val="11"/>
        <color rgb="FF000000"/>
        <rFont val="Calibri"/>
      </rPr>
      <t>(</t>
    </r>
    <r>
      <rPr>
        <sz val="11"/>
        <color rgb="FF000000"/>
        <rFont val="FreeSans"/>
      </rPr>
      <t>الهنا</t>
    </r>
    <r>
      <rPr>
        <charset val="1"/>
        <sz val="11"/>
        <color rgb="FF000000"/>
        <rFont val="Calibri"/>
      </rPr>
      <t>)</t>
    </r>
  </si>
  <si>
    <t>إجمالى الاستثناءات: 17 سطر عبر 9 منتجات — تم استبعادها من الإجمالي (قيمتها = صفر فى الحساب) وليس تقديرها</t>
  </si>
  <si>
    <t>مطابقات بثقة متوسطة أو منخفضة (تحتاج مراجعة محاسب التكاليف)</t>
  </si>
  <si>
    <t>الخامة بالوصفة</t>
  </si>
  <si>
    <t>الصنف المطابق (WAC)</t>
  </si>
  <si>
    <t>الثقة</t>
  </si>
  <si>
    <t>صويا لحمه</t>
  </si>
  <si>
    <t>متوسطة</t>
  </si>
  <si>
    <t>فلفل رومي حامي</t>
  </si>
  <si>
    <t>منخفضة</t>
  </si>
  <si>
    <t>لحم رقبه</t>
  </si>
  <si>
    <t>دهن بلدي</t>
  </si>
  <si>
    <t>مفروم فراخ شعبي</t>
  </si>
  <si>
    <t>لون طبيعي</t>
  </si>
  <si>
    <t>نفس المطابقة المعتمدة سابقًا فى ملف الجرد (كود 223)</t>
  </si>
  <si>
    <t>المنهجية والافتراضات</t>
  </si>
  <si>
    <t>المصدر</t>
  </si>
  <si>
    <t>أسعار الخامات المستخدمة هى متوسط التكلفة المرجح (WAC) المتراكم من أول أبريل + مشتريات مايو + مشتريات يونيه 2026، المحسوب فى ملف «ABOHASHEM متوسط التكلفة المرجح حتى يونيه2026». تم استبدال كل سعر قديم فى وصفات التصنيع الثلاث المرفوعة (أبوهاشم، سبيشال، الهنا) بهذا السعر المحدَّث، مع عدم تغيير أى كمية خام.</t>
  </si>
  <si>
    <t>الوصفات الفرعية (خلطة التوابل) — أبوهاشم فقط</t>
  </si>
  <si>
    <t>المنتجات الثلاث لعلامة أبوهاشم تحتوى على خلطة توابل فرعية منفصلة يُحسب سعرها أولًا (إجمالى قيمة الخلطة ÷ إجمالى وزنها)، ثم يُستخدم هذا السعر كسعر لبند «توابيل» فى الوصفة الرئيسية — بنفس المنهجية المستخدمة فى الملف الأصلى. علامتا سبيشال والهنا لا تحتويان على خلطة فرعية؛ كل التوابل مُدرجة مباشرة داخل الوصفة الرئيسية.</t>
  </si>
  <si>
    <t>أساس احتساب سعر الكيلو</t>
  </si>
  <si>
    <t>فى 6 من أصل 9 منتجات (سبيشال بالكامل + الهنا بالكامل)، سعر الكيلو = إجمالى قيمة الخامات ÷ إجمالى وزن الخامات مباشرة (نفس منهجية الملف الأصلى، تم التحقق رياضيًا). فى 3 منتجات أبوهاشم، رصدنا أن سعر الكيلو المذكور بالملف الأصلى لا يساوى (القيمة القديمة ÷ الوزن الإجمالى للخامات) مباشرة — ما يدل على وجود معامل إنتاجية/فاقد (Yield Factor) مطبَّق فى المنشأة (غير موثّق صراحة بالملف). تم استخراج هذا المعامل ضمنيًا من الملف الأصلى (= القيمة القديمة ÷ السعر القديم للكيلو) والإبقاء عليه ثابتًا، مع تحديث المدخلات السعرية فقط — وهذا محفوظ بوضوح فى كل شيت منتج.</t>
  </si>
  <si>
    <t>الخامات غير المسعّرة (23 سطرًا عبر 9 منتجات)</t>
  </si>
  <si>
    <t>شملت: المياه (لا يوجد سعر شراء لها ضمن قاعدة بيانات الخامات — عادة تكلفة مرافق غير مباشرة)، أصناف غير موجودة إطلاقًا فى قاعدة الخامات المُشتراة (بطاطس، حلبة، شعرية، طعم دخان)، وبند «فلفل» غير المحدد النوع فى بعض الوصفات (لا يمكن التمييز بين فلفل أسود/أحمر/أخضر دون توضيح إضافى). قيمة هذه البنود فى الحساب = صفر (استبعاد، وليس تقدير) — وهذا يعنى أن التكلفة الفعلية للمنتجات التى تحتوى كميات معتبرة من هذه البنود (خاصة المياه بكميات كبيرة فى بعض الوصفات) قد تكون أعلى قليلاً من الرقم المعروض إن قررت الإدارة تحميلها بتكلفة.</t>
  </si>
  <si>
    <t>مطابقات بحكم مهنى (فروق تسمية/لهجة)</t>
  </si>
  <si>
    <t>نحو 15 بندًا تمت مطابقتها بثقة متوسطة أو منخفضة بسبب فروق فى التسمية بين وصفة التصنيع وقاعدة بيانات الخامات (مثل: توام↔ثوم، مونوصوديم↔جلتومات، جبهان↔حبهان، سميد↔صميد، لورى↔لورا). جميعها موثّقة بالاسم والسبب فى تقرير الاستثناءات.</t>
  </si>
  <si>
    <t>النطاق: تكلفة الخامات المباشرة فقط</t>
  </si>
  <si>
    <t>الأرقام الناتجة (سعر الكيلو، وسعر كل SKU بعد التعبئة) تمثل تكلفة الخامات المباشرة (Direct Materials) + تكلفة التعبئة الفعلية المذكورة بالملف الأصلى فقط. لا تشمل: الأجور المباشرة، الأعباء الصناعية غير المباشرة (كهرباء، صيانة، إهلاك المعدات)، أو أى تكلفة تشغيل أخرى — هذه تتطلب نموذج تكلفة تصنيع كامل (Full Absorption Costing) بمعدلات تحميل مصنع منفصلة لكل خط إنتاج، وهو خارج نطاق البيانات المتاحة فى هذا الطلب.</t>
  </si>
  <si>
    <t>التحقق</t>
  </si>
  <si>
    <t>تم التأكد أن إجمالى كمية كل وصفة (باستثناء بند التوابيل المُدمَج) يطابق تمامًا إجمالى الكميات فى الملف الأصلى المرفوع لكل من المنتجات التسعة — أى أن أى تغيّر فى النتيجة النهائية يعكس تغيّر الأسعار فقط دون أى تغيير فى تركيبة الوصفة.</t>
  </si>
</sst>
</file>

<file path=xl/styles.xml><?xml version="1.0" encoding="utf-8"?>
<styleSheet xmlns="http://schemas.openxmlformats.org/spreadsheetml/2006/main">
  <numFmts count="5">
    <numFmt numFmtId="0" formatCode="General"/>
    <numFmt numFmtId="164" formatCode="#,##0.0000;\(#,##0.0000\);\-"/>
    <numFmt numFmtId="165" formatCode="\+0.0%;\-0.0%;\-"/>
    <numFmt numFmtId="166" formatCode="#,##0.000;\(#,##0.000\);\-"/>
    <numFmt numFmtId="167" formatCode="#,##0.00;\(#,##0.00\);\-"/>
  </numFmts>
  <fonts count="27">
    <font>
      <name val="Calibri"/>
      <sz val="11"/>
    </font>
    <font>
      <name val="Arial"/>
      <b/>
      <charset val="1"/>
      <sz val="16"/>
      <color rgb="FFFFFFFF"/>
    </font>
    <font>
      <name val="Arial"/>
      <b/>
      <charset val="1"/>
      <sz val="11"/>
      <color rgb="FFFFFFFF"/>
    </font>
    <font>
      <name val="Arial"/>
      <b/>
      <charset val="1"/>
      <sz val="9"/>
      <color rgb="FFFFFFFF"/>
    </font>
    <font>
      <name val="Calibri"/>
      <charset val="1"/>
      <sz val="11"/>
      <color rgb="FF000000"/>
    </font>
    <font>
      <name val="Arial"/>
      <b/>
      <charset val="1"/>
      <sz val="10"/>
      <color rgb="FF000000"/>
    </font>
    <font>
      <name val="FreeSans"/>
      <sz val="11"/>
      <color rgb="FF000000"/>
    </font>
    <font>
      <name val="Arial"/>
      <b/>
      <charset val="1"/>
      <sz val="10"/>
      <color rgb="FFC41E3A"/>
    </font>
    <font>
      <name val="Arial"/>
      <b/>
      <charset val="1"/>
      <sz val="9"/>
      <color rgb="FFC41E3A"/>
    </font>
    <font>
      <name val="Arial"/>
      <b/>
      <charset val="1"/>
      <sz val="9"/>
      <color rgb="FFB8860B"/>
    </font>
    <font>
      <name val="Arial"/>
      <b/>
      <charset val="1"/>
      <sz val="9"/>
      <color rgb="FF1E7B34"/>
    </font>
    <font>
      <name val="Arial"/>
      <b/>
      <i/>
      <charset val="1"/>
      <sz val="9"/>
      <color rgb="FF555555"/>
    </font>
    <font>
      <name val="Arial"/>
      <b/>
      <charset val="1"/>
      <sz val="13"/>
      <color rgb="FFFFFFFF"/>
    </font>
    <font>
      <name val="Arial"/>
      <b/>
      <charset val="1"/>
      <sz val="10"/>
      <color rgb="FFFFFFFF"/>
    </font>
    <font>
      <name val="Arial"/>
      <b/>
      <charset val="1"/>
      <sz val="8"/>
      <color rgb="FFFFFFFF"/>
    </font>
    <font>
      <name val="Arial"/>
      <charset val="1"/>
      <sz val="9"/>
      <color rgb="FF0000FF"/>
    </font>
    <font>
      <name val="Arial"/>
      <charset val="1"/>
      <sz val="7"/>
      <color rgb="FF000000"/>
    </font>
    <font>
      <name val="Arial"/>
      <charset val="1"/>
      <sz val="7"/>
      <color rgb="FFB8860B"/>
    </font>
    <font>
      <name val="Arial"/>
      <b/>
      <charset val="1"/>
      <sz val="9"/>
      <color rgb="FF1A1A2E"/>
    </font>
    <font>
      <name val="Arial"/>
      <charset val="1"/>
      <sz val="7"/>
      <color rgb="FFC41E3A"/>
    </font>
    <font>
      <name val="Arial"/>
      <i/>
      <charset val="1"/>
      <sz val="8"/>
      <color rgb="FF555555"/>
    </font>
    <font>
      <name val="Arial"/>
      <b/>
      <charset val="1"/>
      <sz val="10"/>
      <color rgb="FF1A1A2E"/>
    </font>
    <font>
      <name val="Arial"/>
      <b/>
      <charset val="1"/>
      <sz val="11"/>
      <color rgb="FFC41E3A"/>
    </font>
    <font>
      <name val="Arial"/>
      <b/>
      <charset val="1"/>
      <sz val="9"/>
      <color rgb="FF000000"/>
    </font>
    <font>
      <name val="Arial"/>
      <charset val="1"/>
      <sz val="8"/>
      <color rgb="FF000000"/>
    </font>
    <font>
      <name val="Arial"/>
      <b/>
      <charset val="1"/>
      <sz val="14"/>
      <color rgb="FFFFFFFF"/>
    </font>
    <font>
      <name val="Arial"/>
      <charset val="1"/>
      <sz val="10"/>
      <color rgb="FF000000"/>
    </font>
  </fonts>
  <fills count="6">
    <fill>
      <patternFill patternType="none"/>
    </fill>
    <fill>
      <patternFill patternType="gray125"/>
    </fill>
    <fill>
      <patternFill patternType="solid">
        <fgColor rgb="FF1A1A2E"/>
        <bgColor rgb="FF333300"/>
      </patternFill>
    </fill>
    <fill>
      <patternFill patternType="solid">
        <fgColor rgb="FFC41E3A"/>
        <bgColor rgb="FF993366"/>
      </patternFill>
    </fill>
    <fill>
      <patternFill patternType="solid">
        <fgColor rgb="FFF2F2F2"/>
        <bgColor rgb="FFFFFFFF"/>
      </patternFill>
    </fill>
    <fill>
      <patternFill patternType="solid">
        <fgColor rgb="FFD4AF37"/>
        <bgColor rgb="FFFFCC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lignment vertical="center"/>
    </xf>
  </cellStyleXfs>
  <cellXfs count="71">
    <xf numFmtId="0" fontId="0" fillId="0" borderId="0" xfId="0">
      <alignment vertical="center"/>
    </xf>
    <xf numFmtId="0" fontId="1" fillId="2" borderId="0" xfId="0" applyFont="1" applyBorder="1" applyAlignment="1">
      <alignment horizontal="center" vertical="center" wrapText="1"/>
    </xf>
    <xf numFmtId="0" fontId="2" fillId="3" borderId="0" xfId="0" applyFont="1" applyBorder="1" applyAlignment="1">
      <alignment horizontal="center" vertical="center" wrapText="1"/>
    </xf>
    <xf numFmtId="0" fontId="3" fillId="3" borderId="1" xfId="0" applyFont="1" applyBorder="1" applyAlignment="1">
      <alignment horizontal="center" vertical="center" wrapText="1"/>
    </xf>
    <xf numFmtId="0" fontId="4" fillId="0" borderId="1" xfId="0" applyBorder="1" applyAlignment="1">
      <alignment horizontal="center" vertical="center" wrapText="1"/>
    </xf>
    <xf numFmtId="0" fontId="5" fillId="0" borderId="1" xfId="0" applyFont="1" applyBorder="1" applyAlignment="1">
      <alignment horizontal="right" vertical="center" wrapText="1"/>
    </xf>
    <xf numFmtId="0" fontId="6" fillId="0" borderId="1" xfId="0" applyFont="1" applyBorder="1" applyAlignment="1">
      <alignment horizontal="center" vertical="center" wrapText="1"/>
    </xf>
    <xf numFmtId="164" fontId="4" fillId="0" borderId="1" xfId="0" applyBorder="1" applyAlignment="1">
      <alignment horizontal="center" vertical="center" wrapText="1"/>
    </xf>
    <xf numFmtId="164" fontId="7" fillId="0" borderId="1" xfId="0" applyFont="1" applyBorder="1" applyAlignment="1">
      <alignment horizontal="center" vertical="center" wrapText="1"/>
    </xf>
    <xf numFmtId="165"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4" fillId="4" borderId="1" xfId="0" applyBorder="1" applyAlignment="1">
      <alignment horizontal="center" vertical="center" wrapText="1"/>
    </xf>
    <xf numFmtId="0" fontId="5" fillId="4" borderId="1" xfId="0" applyFont="1" applyBorder="1" applyAlignment="1">
      <alignment horizontal="right" vertical="center" wrapText="1"/>
    </xf>
    <xf numFmtId="0" fontId="6" fillId="4" borderId="1" xfId="0" applyFont="1" applyBorder="1" applyAlignment="1">
      <alignment horizontal="center" vertical="center" wrapText="1"/>
    </xf>
    <xf numFmtId="164" fontId="4" fillId="4" borderId="1" xfId="0" applyBorder="1" applyAlignment="1">
      <alignment horizontal="center" vertical="center" wrapText="1"/>
    </xf>
    <xf numFmtId="164" fontId="7" fillId="4" borderId="1" xfId="0" applyFont="1" applyBorder="1" applyAlignment="1">
      <alignment horizontal="center" vertical="center" wrapText="1"/>
    </xf>
    <xf numFmtId="165" fontId="8" fillId="4" borderId="1" xfId="0" applyFont="1" applyBorder="1" applyAlignment="1">
      <alignment horizontal="center" vertical="center" wrapText="1"/>
    </xf>
    <xf numFmtId="0" fontId="9" fillId="4" borderId="1" xfId="0" applyFont="1" applyBorder="1" applyAlignment="1">
      <alignment horizontal="center" vertical="center" wrapText="1"/>
    </xf>
    <xf numFmtId="165" fontId="10" fillId="0" borderId="1" xfId="0" applyFont="1" applyBorder="1" applyAlignment="1">
      <alignment horizontal="center" vertical="center" wrapText="1"/>
    </xf>
    <xf numFmtId="165" fontId="10" fillId="4" borderId="1" xfId="0" applyFont="1" applyBorder="1" applyAlignment="1">
      <alignment horizontal="center" vertical="center" wrapText="1"/>
    </xf>
    <xf numFmtId="0" fontId="11" fillId="0" borderId="0" xfId="0" applyFont="1" applyBorder="1" applyAlignment="1">
      <alignment horizontal="right" vertical="center" wrapText="1"/>
    </xf>
    <xf numFmtId="0" fontId="12" fillId="2" borderId="0" xfId="0" applyFont="1" applyBorder="1" applyAlignment="1">
      <alignment horizontal="center" vertical="center" wrapText="1"/>
    </xf>
    <xf numFmtId="0" fontId="13" fillId="5" borderId="0" xfId="0" applyFont="1" applyBorder="1" applyAlignment="1">
      <alignment horizontal="right" vertical="center" wrapText="1"/>
    </xf>
    <xf numFmtId="0" fontId="14" fillId="3" borderId="1" xfId="0" applyFont="1" applyBorder="1" applyAlignment="1">
      <alignment horizontal="center" vertical="center" wrapText="1"/>
    </xf>
    <xf numFmtId="0" fontId="6" fillId="0" borderId="1" xfId="0" applyFont="1" applyBorder="1" applyAlignment="1">
      <alignment horizontal="right" vertical="center" wrapText="1"/>
    </xf>
    <xf numFmtId="166" fontId="15" fillId="0" borderId="1" xfId="0" applyFont="1" applyBorder="1" applyAlignment="1">
      <alignment vertical="bottom"/>
    </xf>
    <xf numFmtId="164" fontId="4" fillId="0" borderId="1" xfId="0" applyBorder="1" applyAlignment="1">
      <alignment vertical="bottom"/>
    </xf>
    <xf numFmtId="167" fontId="4" fillId="0" borderId="1" xfId="0" applyBorder="1" applyAlignment="1">
      <alignment vertical="bottom"/>
    </xf>
    <xf numFmtId="0" fontId="16" fillId="0" borderId="1" xfId="0" applyFont="1" applyBorder="1" applyAlignment="1">
      <alignment horizontal="right" vertical="center" wrapText="1"/>
    </xf>
    <xf numFmtId="0" fontId="6" fillId="4" borderId="1" xfId="0" applyFont="1" applyBorder="1" applyAlignment="1">
      <alignment horizontal="right" vertical="center" wrapText="1"/>
    </xf>
    <xf numFmtId="166" fontId="15" fillId="4" borderId="1" xfId="0" applyFont="1" applyBorder="1" applyAlignment="1">
      <alignment vertical="bottom"/>
    </xf>
    <xf numFmtId="164" fontId="4" fillId="4" borderId="1" xfId="0" applyBorder="1" applyAlignment="1">
      <alignment vertical="bottom"/>
    </xf>
    <xf numFmtId="167" fontId="4" fillId="4" borderId="1" xfId="0" applyBorder="1" applyAlignment="1">
      <alignment vertical="bottom"/>
    </xf>
    <xf numFmtId="0" fontId="16" fillId="4" borderId="1" xfId="0" applyFont="1" applyBorder="1" applyAlignment="1">
      <alignment horizontal="right" vertical="center" wrapText="1"/>
    </xf>
    <xf numFmtId="0" fontId="17" fillId="4" borderId="1" xfId="0" applyFont="1" applyBorder="1" applyAlignment="1">
      <alignment horizontal="right" vertical="center" wrapText="1"/>
    </xf>
    <xf numFmtId="0" fontId="3" fillId="5" borderId="1" xfId="0" applyFont="1" applyBorder="1" applyAlignment="1">
      <alignment vertical="bottom"/>
    </xf>
    <xf numFmtId="0" fontId="3" fillId="5" borderId="1" xfId="0" applyFont="1" applyBorder="1" applyAlignment="1">
      <alignment horizontal="right" vertical="center" wrapText="1"/>
    </xf>
    <xf numFmtId="166" fontId="3" fillId="5" borderId="1" xfId="0" applyFont="1" applyBorder="1" applyAlignment="1">
      <alignment vertical="bottom"/>
    </xf>
    <xf numFmtId="167" fontId="3" fillId="5" borderId="1" xfId="0" applyFont="1" applyBorder="1" applyAlignment="1">
      <alignment vertical="bottom"/>
    </xf>
    <xf numFmtId="0" fontId="18" fillId="0" borderId="0" xfId="0" applyFont="1" applyAlignment="1">
      <alignment horizontal="right" vertical="center" wrapText="1"/>
    </xf>
    <xf numFmtId="164" fontId="8" fillId="0" borderId="0" xfId="0" applyFont="1" applyAlignment="1">
      <alignment vertical="bottom"/>
    </xf>
    <xf numFmtId="0" fontId="19" fillId="0" borderId="1" xfId="0" applyFont="1" applyBorder="1" applyAlignment="1">
      <alignment horizontal="right" vertical="center" wrapText="1"/>
    </xf>
    <xf numFmtId="0" fontId="17" fillId="0" borderId="1" xfId="0" applyFont="1" applyBorder="1" applyAlignment="1">
      <alignment horizontal="right" vertical="center" wrapText="1"/>
    </xf>
    <xf numFmtId="0" fontId="19" fillId="4" borderId="1" xfId="0" applyFont="1" applyBorder="1" applyAlignment="1">
      <alignment horizontal="right" vertical="center" wrapText="1"/>
    </xf>
    <xf numFmtId="0" fontId="3" fillId="3" borderId="1" xfId="0" applyFont="1" applyBorder="1" applyAlignment="1">
      <alignment vertical="bottom"/>
    </xf>
    <xf numFmtId="0" fontId="3" fillId="3" borderId="1" xfId="0" applyFont="1" applyBorder="1" applyAlignment="1">
      <alignment horizontal="right" vertical="center" wrapText="1"/>
    </xf>
    <xf numFmtId="166" fontId="3" fillId="3" borderId="1" xfId="0" applyFont="1" applyBorder="1" applyAlignment="1">
      <alignment vertical="bottom"/>
    </xf>
    <xf numFmtId="167" fontId="3" fillId="3" borderId="1" xfId="0" applyFont="1" applyBorder="1" applyAlignment="1">
      <alignment vertical="bottom"/>
    </xf>
    <xf numFmtId="0" fontId="20" fillId="0" borderId="0" xfId="0" applyFont="1" applyBorder="1" applyAlignment="1">
      <alignment horizontal="right" vertical="center" wrapText="1"/>
    </xf>
    <xf numFmtId="0" fontId="21" fillId="0" borderId="0" xfId="0" applyFont="1" applyAlignment="1">
      <alignment horizontal="right" vertical="center" wrapText="1"/>
    </xf>
    <xf numFmtId="164" fontId="22" fillId="0" borderId="0" xfId="0" applyFont="1" applyAlignment="1">
      <alignment vertical="bottom"/>
    </xf>
    <xf numFmtId="0" fontId="14" fillId="2" borderId="1" xfId="0" applyFont="1" applyBorder="1" applyAlignment="1">
      <alignment horizontal="center" vertical="center" wrapText="1"/>
    </xf>
    <xf numFmtId="166" fontId="4" fillId="0" borderId="1" xfId="0" applyBorder="1" applyAlignment="1">
      <alignment vertical="bottom"/>
    </xf>
    <xf numFmtId="167" fontId="15" fillId="0" borderId="1" xfId="0" applyFont="1" applyBorder="1" applyAlignment="1">
      <alignment vertical="bottom"/>
    </xf>
    <xf numFmtId="167" fontId="8" fillId="0" borderId="1" xfId="0" applyFont="1" applyBorder="1" applyAlignment="1">
      <alignment vertical="bottom"/>
    </xf>
    <xf numFmtId="166" fontId="4" fillId="4" borderId="1" xfId="0" applyBorder="1" applyAlignment="1">
      <alignment vertical="bottom"/>
    </xf>
    <xf numFmtId="167" fontId="15" fillId="4" borderId="1" xfId="0" applyFont="1" applyBorder="1" applyAlignment="1">
      <alignment vertical="bottom"/>
    </xf>
    <xf numFmtId="167" fontId="8" fillId="4" borderId="1" xfId="0" applyFont="1" applyBorder="1" applyAlignment="1">
      <alignment vertical="bottom"/>
    </xf>
    <xf numFmtId="0" fontId="4" fillId="4" borderId="1" xfId="0" applyFont="1" applyBorder="1" applyAlignment="1">
      <alignment horizontal="right" vertical="center" wrapText="1"/>
    </xf>
    <xf numFmtId="0" fontId="23" fillId="0" borderId="1" xfId="0" applyFont="1" applyBorder="1" applyAlignment="1">
      <alignment horizontal="right" vertical="center" wrapText="1"/>
    </xf>
    <xf numFmtId="0" fontId="24" fillId="0" borderId="1" xfId="0" applyFont="1" applyBorder="1" applyAlignment="1">
      <alignment horizontal="right" vertical="center" wrapText="1"/>
    </xf>
    <xf numFmtId="0" fontId="23" fillId="4" borderId="1" xfId="0" applyFont="1" applyBorder="1" applyAlignment="1">
      <alignment horizontal="right" vertical="center" wrapText="1"/>
    </xf>
    <xf numFmtId="0" fontId="24" fillId="4" borderId="1" xfId="0" applyFont="1" applyBorder="1" applyAlignment="1">
      <alignment horizontal="right" vertical="center" wrapText="1"/>
    </xf>
    <xf numFmtId="0" fontId="7" fillId="0" borderId="0" xfId="0" applyFont="1" applyBorder="1" applyAlignment="1">
      <alignment horizontal="right" vertical="center" wrapText="1"/>
    </xf>
    <xf numFmtId="0" fontId="4" fillId="0" borderId="0" xfId="0" applyBorder="1" applyAlignment="1">
      <alignment vertical="bottom"/>
    </xf>
    <xf numFmtId="0" fontId="2" fillId="5" borderId="0" xfId="0" applyFont="1" applyBorder="1" applyAlignment="1">
      <alignment horizontal="right" vertical="center" wrapText="1"/>
    </xf>
    <xf numFmtId="0" fontId="8" fillId="4" borderId="1" xfId="0" applyFont="1" applyBorder="1" applyAlignment="1">
      <alignment horizontal="center" vertical="center" wrapText="1"/>
    </xf>
    <xf numFmtId="0" fontId="8" fillId="0" borderId="1" xfId="0" applyFont="1" applyBorder="1" applyAlignment="1">
      <alignment horizontal="center" vertical="center" wrapText="1"/>
    </xf>
    <xf numFmtId="0" fontId="25" fillId="2" borderId="0" xfId="0" applyFont="1" applyBorder="1" applyAlignment="1">
      <alignment horizontal="center" vertical="center" wrapText="1"/>
    </xf>
    <xf numFmtId="0" fontId="22" fillId="5" borderId="0" xfId="0" applyFont="1" applyAlignment="1">
      <alignment horizontal="right" vertical="center" wrapText="1"/>
    </xf>
    <xf numFmtId="0" fontId="26" fillId="0" borderId="0" xfId="0" applyFont="1" applyAlignment="1">
      <alignment horizontal="right" vertical="top" wrapText="1"/>
    </xf>
  </cellXfs>
  <cellStyles count="1">
    <cellStyle name="常规" xfId="0" builtinId="0"/>
  </cellStyles>
  <dxfs count="0"/>
  <colors>
    <indexedColors>
      <rgbColor rgb="00000000"/>
      <rgbColor rgb="00FFFFFF"/>
      <rgbColor rgb="00FF0000"/>
      <rgbColor rgb="0000FF00"/>
      <rgbColor rgb="000000FF"/>
      <rgbColor rgb="00FFFF00"/>
      <rgbColor rgb="00FF00FF"/>
      <rgbColor rgb="0000FFFF"/>
      <rgbColor rgb="00800000"/>
      <rgbColor rgb="001E7B34"/>
      <rgbColor rgb="00000080"/>
      <rgbColor rgb="00B8860B"/>
      <rgbColor rgb="00800080"/>
      <rgbColor rgb="00008080"/>
      <rgbColor rgb="00BFBFBF"/>
      <rgbColor rgb="00808080"/>
      <rgbColor rgb="009999FF"/>
      <rgbColor rgb="00C41E3A"/>
      <rgbColor rgb="00F2F2F2"/>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D4AF37"/>
      <rgbColor rgb="00FF6600"/>
      <rgbColor rgb="00555555"/>
      <rgbColor rgb="00969696"/>
      <rgbColor rgb="00003366"/>
      <rgbColor rgb="00339966"/>
      <rgbColor rgb="00003300"/>
      <rgbColor rgb="00333300"/>
      <rgbColor rgb="00993300"/>
      <rgbColor rgb="00993366"/>
      <rgbColor rgb="00333399"/>
      <rgbColor rgb="001A1A2E"/>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www.wps.cn/officeDocument/2020/cellImage" Target="cellimages.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H15"/>
  <sheetViews>
    <sheetView workbookViewId="0" rightToLeft="1" topLeftCell="X1">
      <pane ySplit="4" topLeftCell="A5" state="frozen" activePane="bottomLeft"/>
      <selection pane="bottomLeft" activeCell="A1" sqref="A1:G12"/>
    </sheetView>
  </sheetViews>
  <sheetFormatPr defaultRowHeight="15.0" zeroHeight="1"/>
  <cols>
    <col min="1" max="1" customWidth="1" width="4.0" style="0"/>
    <col min="2" max="2" customWidth="1" width="26.0" style="0"/>
    <col min="3" max="3" customWidth="1" width="14.0" style="0"/>
    <col min="4" max="5" customWidth="1" width="17.0" style="0"/>
    <col min="6" max="6" customWidth="1" width="12.0" style="0"/>
    <col min="7" max="7" customWidth="1" width="20.0" style="0"/>
  </cols>
  <sheetData>
    <row r="1" spans="8:8" ht="27.75" customHeight="1">
      <c r="A1" s="1" t="s">
        <v>0</v>
      </c>
      <c r="B1" s="1"/>
      <c r="C1" s="1"/>
      <c r="D1" s="1"/>
      <c r="E1" s="1"/>
      <c r="F1" s="1"/>
      <c r="G1" s="1"/>
    </row>
    <row r="2" spans="8:8" ht="21.75" customHeight="1">
      <c r="A2" s="2" t="s">
        <v>1</v>
      </c>
      <c r="B2" s="2"/>
      <c r="C2" s="2"/>
      <c r="D2" s="2"/>
      <c r="E2" s="2"/>
      <c r="F2" s="2"/>
      <c r="G2" s="2"/>
    </row>
    <row r="4" spans="8:8" ht="30.0" customHeight="1">
      <c r="A4" s="3" t="s">
        <v>2</v>
      </c>
      <c r="B4" s="3" t="s">
        <v>3</v>
      </c>
      <c r="C4" s="3" t="s">
        <v>4</v>
      </c>
      <c r="D4" s="3" t="s">
        <v>5</v>
      </c>
      <c r="E4" s="3" t="s">
        <v>6</v>
      </c>
      <c r="F4" s="3" t="s">
        <v>7</v>
      </c>
      <c r="G4" s="3" t="s">
        <v>8</v>
      </c>
    </row>
    <row r="5" spans="8:8" ht="15.0">
      <c r="A5" s="4">
        <v>1.0</v>
      </c>
      <c r="B5" s="5" t="s">
        <v>9</v>
      </c>
      <c r="C5" s="6" t="s">
        <v>10</v>
      </c>
      <c r="D5" s="7">
        <v>90.2841</v>
      </c>
      <c r="E5" s="8">
        <v>91.0834</v>
      </c>
      <c r="F5" s="9">
        <v>0.00885273436322587</v>
      </c>
      <c r="G5" s="10">
        <v>4.0</v>
      </c>
    </row>
    <row r="6" spans="8:8" ht="15.0">
      <c r="A6" s="11">
        <v>2.0</v>
      </c>
      <c r="B6" s="12" t="s">
        <v>11</v>
      </c>
      <c r="C6" s="13" t="s">
        <v>10</v>
      </c>
      <c r="D6" s="14">
        <v>87.15</v>
      </c>
      <c r="E6" s="15">
        <v>88.3292</v>
      </c>
      <c r="F6" s="16">
        <v>0.0135304667872109</v>
      </c>
      <c r="G6" s="17">
        <v>1.0</v>
      </c>
    </row>
    <row r="7" spans="8:8" ht="15.0">
      <c r="A7" s="4">
        <v>3.0</v>
      </c>
      <c r="B7" s="5" t="s">
        <v>12</v>
      </c>
      <c r="C7" s="6" t="s">
        <v>10</v>
      </c>
      <c r="D7" s="7">
        <v>78.2455</v>
      </c>
      <c r="E7" s="8">
        <v>78.1394</v>
      </c>
      <c r="F7" s="18">
        <v>-0.00135569077218012</v>
      </c>
      <c r="G7" s="10">
        <v>2.0</v>
      </c>
    </row>
    <row r="8" spans="8:8" ht="15.0">
      <c r="A8" s="11">
        <v>4.0</v>
      </c>
      <c r="B8" s="12" t="s">
        <v>13</v>
      </c>
      <c r="C8" s="13" t="s">
        <v>14</v>
      </c>
      <c r="D8" s="14">
        <v>24.9178</v>
      </c>
      <c r="E8" s="15">
        <v>24.2895</v>
      </c>
      <c r="F8" s="19">
        <v>-0.0252149474829737</v>
      </c>
      <c r="G8" s="17">
        <v>2.0</v>
      </c>
    </row>
    <row r="9" spans="8:8" ht="15.0">
      <c r="A9" s="4">
        <v>5.0</v>
      </c>
      <c r="B9" s="5" t="s">
        <v>15</v>
      </c>
      <c r="C9" s="6" t="s">
        <v>14</v>
      </c>
      <c r="D9" s="7">
        <v>28.0269</v>
      </c>
      <c r="E9" s="8">
        <v>27.7778</v>
      </c>
      <c r="F9" s="18">
        <v>-0.0088890228609001</v>
      </c>
      <c r="G9" s="10">
        <v>1.0</v>
      </c>
    </row>
    <row r="10" spans="8:8" ht="15.0">
      <c r="A10" s="11">
        <v>6.0</v>
      </c>
      <c r="B10" s="12" t="s">
        <v>16</v>
      </c>
      <c r="C10" s="13" t="s">
        <v>14</v>
      </c>
      <c r="D10" s="14">
        <v>31.341</v>
      </c>
      <c r="E10" s="15">
        <v>30.8696</v>
      </c>
      <c r="F10" s="19">
        <v>-0.0150411338325913</v>
      </c>
      <c r="G10" s="17">
        <v>2.0</v>
      </c>
    </row>
    <row r="11" spans="8:8" ht="15.0">
      <c r="A11" s="4">
        <v>7.0</v>
      </c>
      <c r="B11" s="5" t="s">
        <v>17</v>
      </c>
      <c r="C11" s="6" t="s">
        <v>18</v>
      </c>
      <c r="D11" s="7">
        <v>23.7231</v>
      </c>
      <c r="E11" s="8">
        <v>23.8061</v>
      </c>
      <c r="F11" s="9">
        <v>0.00349727705382175</v>
      </c>
      <c r="G11" s="10">
        <v>2.0</v>
      </c>
    </row>
    <row r="12" spans="8:8" ht="15.0">
      <c r="A12" s="11">
        <v>8.0</v>
      </c>
      <c r="B12" s="12" t="s">
        <v>19</v>
      </c>
      <c r="C12" s="13" t="s">
        <v>18</v>
      </c>
      <c r="D12" s="14">
        <v>25.0235</v>
      </c>
      <c r="E12" s="15">
        <v>24.6792</v>
      </c>
      <c r="F12" s="19">
        <v>-0.0137589590603062</v>
      </c>
      <c r="G12" s="17">
        <v>1.0</v>
      </c>
    </row>
    <row r="13" spans="8:8" ht="15.0">
      <c r="A13" s="4">
        <v>9.0</v>
      </c>
      <c r="B13" s="5" t="s">
        <v>20</v>
      </c>
      <c r="C13" s="6" t="s">
        <v>18</v>
      </c>
      <c r="D13" s="7">
        <v>25.1358</v>
      </c>
      <c r="E13" s="8">
        <v>24.2895</v>
      </c>
      <c r="F13" s="18">
        <v>-0.0336713995676907</v>
      </c>
      <c r="G13" s="10">
        <v>2.0</v>
      </c>
    </row>
    <row r="15" spans="8:8" ht="22.35" customHeight="1">
      <c r="A15" s="20" t="s">
        <v>21</v>
      </c>
      <c r="B15" s="20"/>
      <c r="C15" s="20"/>
      <c r="D15" s="20"/>
      <c r="E15" s="20"/>
      <c r="F15" s="20"/>
      <c r="G15" s="20"/>
    </row>
  </sheetData>
  <mergeCells count="3">
    <mergeCell ref="A1:G1"/>
    <mergeCell ref="A2:G2"/>
    <mergeCell ref="A15:G15"/>
  </mergeCells>
  <pageMargins left="0.75" right="0.75" top="1.0" bottom="1.0" header="0.511811023622047" footer="0.511811023622047"/>
  <pageSetup paperSize="9"/>
</worksheet>
</file>

<file path=xl/worksheets/sheet2.xml><?xml version="1.0" encoding="utf-8"?>
<worksheet xmlns:r="http://schemas.openxmlformats.org/officeDocument/2006/relationships" xmlns="http://schemas.openxmlformats.org/spreadsheetml/2006/main">
  <dimension ref="A1:G144"/>
  <sheetViews>
    <sheetView tabSelected="1" workbookViewId="0" rightToLeft="1" topLeftCell="B1">
      <pane ySplit="1" topLeftCell="A8" state="frozen" activePane="bottomLeft"/>
      <selection pane="bottomLeft" activeCell="C88" sqref="A34:F88"/>
    </sheetView>
  </sheetViews>
  <sheetFormatPr defaultRowHeight="15.0" zeroHeight="1"/>
  <cols>
    <col min="1" max="1" customWidth="1" width="4.0" style="0"/>
    <col min="2" max="2" customWidth="1" width="26.0" style="0"/>
    <col min="3" max="3" customWidth="1" width="13.0" style="0"/>
    <col min="4" max="4" customWidth="1" width="16.0" style="0"/>
    <col min="5" max="5" customWidth="1" width="14.0" style="0"/>
    <col min="6" max="6" customWidth="1" width="42.0" style="0"/>
  </cols>
  <sheetData>
    <row r="1" spans="8:8" ht="24.0" customHeight="1">
      <c r="A1" s="21" t="s">
        <v>22</v>
      </c>
      <c r="B1" s="21"/>
      <c r="C1" s="21"/>
      <c r="D1" s="21"/>
      <c r="E1" s="21"/>
      <c r="F1" s="21"/>
    </row>
    <row r="3" spans="8:8" ht="21.75" customHeight="1">
      <c r="A3" s="21" t="s">
        <v>9</v>
      </c>
      <c r="B3" s="21"/>
      <c r="C3" s="21"/>
      <c r="D3" s="21"/>
      <c r="E3" s="21"/>
      <c r="F3" s="21"/>
    </row>
    <row r="4" spans="8:8" ht="15.0" customHeight="1">
      <c r="A4" s="22" t="s">
        <v>23</v>
      </c>
      <c r="B4" s="22"/>
      <c r="C4" s="22"/>
      <c r="D4" s="22"/>
      <c r="E4" s="22"/>
      <c r="F4" s="22"/>
    </row>
    <row r="5" spans="8:8" ht="15.0">
      <c r="A5" s="23" t="s">
        <v>2</v>
      </c>
      <c r="B5" s="23" t="s">
        <v>24</v>
      </c>
      <c r="C5" s="23" t="s">
        <v>25</v>
      </c>
      <c r="D5" s="23" t="s">
        <v>26</v>
      </c>
      <c r="E5" s="23" t="s">
        <v>27</v>
      </c>
      <c r="F5" s="23" t="s">
        <v>28</v>
      </c>
    </row>
    <row r="6" spans="8:8" ht="15.0">
      <c r="A6" s="4">
        <v>1.0</v>
      </c>
      <c r="B6" s="24" t="s">
        <v>29</v>
      </c>
      <c r="C6" s="25">
        <v>0.3</v>
      </c>
      <c r="D6" s="26">
        <v>161.8292</v>
      </c>
      <c r="E6" s="27">
        <f>C6*D6</f>
        <v>48.548759999999994</v>
      </c>
      <c r="F6" s="28"/>
    </row>
    <row r="7" spans="8:8" ht="15.0">
      <c r="A7" s="11">
        <v>2.0</v>
      </c>
      <c r="B7" s="29" t="s">
        <v>30</v>
      </c>
      <c r="C7" s="30">
        <v>0.32</v>
      </c>
      <c r="D7" s="31">
        <v>103.9958</v>
      </c>
      <c r="E7" s="32">
        <f>C7*D7</f>
        <v>33.278656</v>
      </c>
      <c r="F7" s="33"/>
    </row>
    <row r="8" spans="8:8" ht="15.0">
      <c r="A8" s="4">
        <v>3.0</v>
      </c>
      <c r="B8" s="24" t="s">
        <v>31</v>
      </c>
      <c r="C8" s="25">
        <v>0.04</v>
      </c>
      <c r="D8" s="26">
        <v>784.1353</v>
      </c>
      <c r="E8" s="27">
        <f>C8*D8</f>
        <v>31.365412000000003</v>
      </c>
      <c r="F8" s="28"/>
    </row>
    <row r="9" spans="8:8" ht="15.0">
      <c r="A9" s="11">
        <v>4.0</v>
      </c>
      <c r="B9" s="29" t="s">
        <v>32</v>
      </c>
      <c r="C9" s="30">
        <v>0.06</v>
      </c>
      <c r="D9" s="31">
        <v>285.0</v>
      </c>
      <c r="E9" s="32">
        <f>C9*D9</f>
        <v>17.099999999999998</v>
      </c>
      <c r="F9" s="33"/>
    </row>
    <row r="10" spans="8:8" ht="15.0">
      <c r="A10" s="4">
        <v>5.0</v>
      </c>
      <c r="B10" s="24" t="s">
        <v>33</v>
      </c>
      <c r="C10" s="25">
        <v>0.08</v>
      </c>
      <c r="D10" s="26">
        <v>379.4943</v>
      </c>
      <c r="E10" s="27">
        <f>C10*D10</f>
        <v>30.359544</v>
      </c>
      <c r="F10" s="28"/>
    </row>
    <row r="11" spans="8:8" ht="15.0">
      <c r="A11" s="11">
        <v>6.0</v>
      </c>
      <c r="B11" s="29" t="s">
        <v>34</v>
      </c>
      <c r="C11" s="30">
        <v>0.0</v>
      </c>
      <c r="D11" s="31">
        <v>69.5407</v>
      </c>
      <c r="E11" s="32">
        <f>C11*D11</f>
        <v>0.0</v>
      </c>
      <c r="F11" s="33"/>
    </row>
    <row r="12" spans="8:8" ht="15.0">
      <c r="A12" s="4">
        <v>7.0</v>
      </c>
      <c r="B12" s="24" t="s">
        <v>35</v>
      </c>
      <c r="C12" s="25">
        <v>0.15</v>
      </c>
      <c r="D12" s="26">
        <v>143.0618</v>
      </c>
      <c r="E12" s="27">
        <f>C12*D12</f>
        <v>21.45927</v>
      </c>
      <c r="F12" s="28"/>
    </row>
    <row r="13" spans="8:8" ht="15.0">
      <c r="A13" s="11">
        <v>8.0</v>
      </c>
      <c r="B13" s="29" t="s">
        <v>36</v>
      </c>
      <c r="C13" s="30">
        <v>0.0</v>
      </c>
      <c r="D13" s="11" t="s">
        <v>37</v>
      </c>
      <c r="E13" s="32">
        <v>0.0</v>
      </c>
      <c r="F13" s="34" t="s">
        <v>38</v>
      </c>
    </row>
    <row r="14" spans="8:8" ht="15.0">
      <c r="A14" s="4">
        <v>9.0</v>
      </c>
      <c r="B14" s="24" t="s">
        <v>39</v>
      </c>
      <c r="C14" s="25">
        <v>0.04</v>
      </c>
      <c r="D14" s="26">
        <v>550.0</v>
      </c>
      <c r="E14" s="27">
        <f>C14*D14</f>
        <v>22.0</v>
      </c>
      <c r="F14" s="28"/>
    </row>
    <row r="15" spans="8:8" ht="15.0">
      <c r="A15" s="11">
        <v>10.0</v>
      </c>
      <c r="B15" s="29" t="s">
        <v>40</v>
      </c>
      <c r="C15" s="30">
        <v>0.1</v>
      </c>
      <c r="D15" s="31">
        <v>132.8608</v>
      </c>
      <c r="E15" s="32">
        <f>C15*D15</f>
        <v>13.286080000000002</v>
      </c>
      <c r="F15" s="33"/>
    </row>
    <row r="16" spans="8:8" ht="15.0">
      <c r="A16" s="4">
        <v>11.0</v>
      </c>
      <c r="B16" s="24" t="s">
        <v>41</v>
      </c>
      <c r="C16" s="25">
        <v>0.1</v>
      </c>
      <c r="D16" s="26">
        <v>75.4493</v>
      </c>
      <c r="E16" s="27">
        <f>C16*D16</f>
        <v>7.54493</v>
      </c>
      <c r="F16" s="28"/>
    </row>
    <row r="17" spans="8:8" ht="15.0">
      <c r="A17" s="11">
        <v>12.0</v>
      </c>
      <c r="B17" s="29" t="s">
        <v>42</v>
      </c>
      <c r="C17" s="30">
        <v>1.8</v>
      </c>
      <c r="D17" s="31">
        <v>2.0629</v>
      </c>
      <c r="E17" s="32">
        <f>C17*D17</f>
        <v>3.71322</v>
      </c>
      <c r="F17" s="33"/>
    </row>
    <row r="18" spans="8:8" ht="15.0">
      <c r="A18" s="4">
        <v>13.0</v>
      </c>
      <c r="B18" s="24" t="s">
        <v>43</v>
      </c>
      <c r="C18" s="25">
        <v>0.1</v>
      </c>
      <c r="D18" s="26">
        <v>124.3103</v>
      </c>
      <c r="E18" s="27">
        <f>C18*D18</f>
        <v>12.43103</v>
      </c>
      <c r="F18" s="28"/>
    </row>
    <row r="19" spans="8:8" ht="15.0">
      <c r="A19" s="11">
        <v>14.0</v>
      </c>
      <c r="B19" s="29" t="s">
        <v>44</v>
      </c>
      <c r="C19" s="30">
        <v>0.15</v>
      </c>
      <c r="D19" s="31">
        <v>2919.2872</v>
      </c>
      <c r="E19" s="32">
        <f>C19*D19</f>
        <v>437.89308</v>
      </c>
      <c r="F19" s="33"/>
    </row>
    <row r="20" spans="8:8" ht="15.0">
      <c r="A20" s="4">
        <v>15.0</v>
      </c>
      <c r="B20" s="24" t="s">
        <v>45</v>
      </c>
      <c r="C20" s="25">
        <v>0.03</v>
      </c>
      <c r="D20" s="26">
        <v>1351.717</v>
      </c>
      <c r="E20" s="27">
        <f>C20*D20</f>
        <v>40.55151</v>
      </c>
      <c r="F20" s="28"/>
    </row>
    <row r="21" spans="8:8" ht="15.0">
      <c r="A21" s="35"/>
      <c r="B21" s="36" t="s">
        <v>46</v>
      </c>
      <c r="C21" s="37">
        <f>SUM(C6:C20)</f>
        <v>3.27</v>
      </c>
      <c r="D21" s="35"/>
      <c r="E21" s="38">
        <f>SUM(E6:E20)</f>
        <v>719.5314920000001</v>
      </c>
      <c r="F21" s="35"/>
    </row>
    <row r="22" spans="8:8" ht="22.35">
      <c r="B22" s="39" t="s">
        <v>47</v>
      </c>
      <c r="D22" s="40">
        <f>E21/C21</f>
        <v>220.04021162079513</v>
      </c>
    </row>
    <row r="24" spans="8:8" ht="15.0" customHeight="1">
      <c r="A24" s="22" t="s">
        <v>48</v>
      </c>
      <c r="B24" s="22"/>
      <c r="C24" s="22"/>
      <c r="D24" s="22"/>
      <c r="E24" s="22"/>
      <c r="F24" s="22"/>
    </row>
    <row r="25" spans="8:8" ht="15.0">
      <c r="A25" s="23" t="s">
        <v>2</v>
      </c>
      <c r="B25" s="23" t="s">
        <v>24</v>
      </c>
      <c r="C25" s="23" t="s">
        <v>25</v>
      </c>
      <c r="D25" s="23" t="s">
        <v>26</v>
      </c>
      <c r="E25" s="23" t="s">
        <v>27</v>
      </c>
      <c r="F25" s="23" t="s">
        <v>28</v>
      </c>
    </row>
    <row r="26" spans="8:8" ht="15.0">
      <c r="A26" s="4">
        <v>1.0</v>
      </c>
      <c r="B26" s="24" t="s">
        <v>49</v>
      </c>
      <c r="C26" s="25">
        <v>20.0</v>
      </c>
      <c r="D26" s="26">
        <v>58.4974</v>
      </c>
      <c r="E26" s="27">
        <f>C26*D26</f>
        <v>1169.9479999999999</v>
      </c>
      <c r="F26" s="28"/>
    </row>
    <row r="27" spans="8:8" ht="15.0">
      <c r="A27" s="11">
        <v>2.0</v>
      </c>
      <c r="B27" s="29" t="s">
        <v>50</v>
      </c>
      <c r="C27" s="30">
        <v>10.0</v>
      </c>
      <c r="D27" s="31">
        <v>12.2593</v>
      </c>
      <c r="E27" s="32">
        <f>C27*D27</f>
        <v>122.59299999999999</v>
      </c>
      <c r="F27" s="33"/>
    </row>
    <row r="28" spans="8:8" ht="15.0">
      <c r="A28" s="4">
        <v>3.0</v>
      </c>
      <c r="B28" s="24" t="s">
        <v>51</v>
      </c>
      <c r="C28" s="25">
        <v>10.0</v>
      </c>
      <c r="D28" s="26">
        <v>39.9513</v>
      </c>
      <c r="E28" s="27">
        <f>C28*D28</f>
        <v>399.51300000000003</v>
      </c>
      <c r="F28" s="28"/>
    </row>
    <row r="29" spans="8:8" ht="15.0">
      <c r="A29" s="11">
        <v>4.0</v>
      </c>
      <c r="B29" s="29" t="s">
        <v>52</v>
      </c>
      <c r="C29" s="30">
        <v>20.0</v>
      </c>
      <c r="D29" s="31">
        <v>232.7627</v>
      </c>
      <c r="E29" s="32">
        <f>C29*D29</f>
        <v>4655.254</v>
      </c>
      <c r="F29" s="33"/>
    </row>
    <row r="30" spans="8:8" ht="15.0">
      <c r="A30" s="4">
        <v>5.0</v>
      </c>
      <c r="B30" s="24" t="s">
        <v>53</v>
      </c>
      <c r="C30" s="25">
        <v>0.0</v>
      </c>
      <c r="D30" s="4" t="s">
        <v>37</v>
      </c>
      <c r="E30" s="27">
        <v>0.0</v>
      </c>
      <c r="F30" s="41" t="s">
        <v>54</v>
      </c>
    </row>
    <row r="31" spans="8:8" ht="15.0">
      <c r="A31" s="11">
        <v>6.0</v>
      </c>
      <c r="B31" s="29" t="s">
        <v>55</v>
      </c>
      <c r="C31" s="30">
        <v>2.0</v>
      </c>
      <c r="D31" s="31">
        <v>24.0482</v>
      </c>
      <c r="E31" s="32">
        <f>C31*D31</f>
        <v>48.0964</v>
      </c>
      <c r="F31" s="33"/>
    </row>
    <row r="32" spans="8:8" ht="15.0">
      <c r="A32" s="4">
        <v>7.0</v>
      </c>
      <c r="B32" s="24" t="s">
        <v>56</v>
      </c>
      <c r="C32" s="25">
        <v>10.0</v>
      </c>
      <c r="D32" s="26">
        <v>39.4433</v>
      </c>
      <c r="E32" s="27">
        <f>C32*D32</f>
        <v>394.433</v>
      </c>
      <c r="F32" s="42" t="s">
        <v>57</v>
      </c>
    </row>
    <row r="33" spans="8:8" ht="15.0">
      <c r="A33" s="11">
        <v>8.0</v>
      </c>
      <c r="B33" s="29" t="s">
        <v>58</v>
      </c>
      <c r="C33" s="30">
        <v>0.0</v>
      </c>
      <c r="D33" s="11" t="s">
        <v>37</v>
      </c>
      <c r="E33" s="32">
        <v>0.0</v>
      </c>
      <c r="F33" s="43" t="s">
        <v>38</v>
      </c>
    </row>
    <row r="34" spans="8:8" ht="15.0">
      <c r="A34" s="4">
        <v>9.0</v>
      </c>
      <c r="B34" s="24" t="s">
        <v>59</v>
      </c>
      <c r="C34" s="25">
        <v>4.0</v>
      </c>
      <c r="D34" s="26">
        <v>21.3641</v>
      </c>
      <c r="E34" s="27">
        <f>C34*D34</f>
        <v>85.4564</v>
      </c>
      <c r="F34" s="28"/>
    </row>
    <row r="35" spans="8:8" ht="15.0">
      <c r="A35" s="11">
        <v>10.0</v>
      </c>
      <c r="B35" s="29" t="s">
        <v>60</v>
      </c>
      <c r="C35" s="30">
        <v>10.0</v>
      </c>
      <c r="D35" s="31">
        <v>29.6628</v>
      </c>
      <c r="E35" s="32">
        <f>C35*D35</f>
        <v>296.628</v>
      </c>
      <c r="F35" s="33"/>
    </row>
    <row r="36" spans="8:8" ht="15.0">
      <c r="A36" s="4">
        <v>11.0</v>
      </c>
      <c r="B36" s="24" t="s">
        <v>61</v>
      </c>
      <c r="C36" s="25">
        <v>28.0</v>
      </c>
      <c r="D36" s="4" t="s">
        <v>37</v>
      </c>
      <c r="E36" s="27">
        <v>0.0</v>
      </c>
      <c r="F36" s="41" t="s">
        <v>62</v>
      </c>
    </row>
    <row r="37" spans="8:8" ht="15.0">
      <c r="A37" s="11">
        <v>12.0</v>
      </c>
      <c r="B37" s="29" t="s">
        <v>63</v>
      </c>
      <c r="C37" s="30">
        <v>10.0</v>
      </c>
      <c r="D37" s="31">
        <v>115.5168</v>
      </c>
      <c r="E37" s="32">
        <f>C37*D37</f>
        <v>1155.1680000000001</v>
      </c>
      <c r="F37" s="33"/>
    </row>
    <row r="38" spans="8:8" ht="15.0">
      <c r="A38" s="4">
        <v>13.0</v>
      </c>
      <c r="B38" s="24" t="s">
        <v>64</v>
      </c>
      <c r="C38" s="25">
        <v>0.0</v>
      </c>
      <c r="D38" s="26">
        <v>28.0338</v>
      </c>
      <c r="E38" s="27">
        <f>C38*D38</f>
        <v>0.0</v>
      </c>
      <c r="F38" s="28"/>
    </row>
    <row r="39" spans="8:8" ht="15.0">
      <c r="A39" s="11">
        <v>14.0</v>
      </c>
      <c r="B39" s="29" t="s">
        <v>65</v>
      </c>
      <c r="C39" s="30">
        <v>3.12</v>
      </c>
      <c r="D39" s="31">
        <f>'منتجات أبو هاشم'!D22</f>
        <v>220.04021162079513</v>
      </c>
      <c r="E39" s="32">
        <f>C39*D39</f>
        <v>686.5254602568808</v>
      </c>
      <c r="F39" s="34" t="s">
        <v>66</v>
      </c>
    </row>
    <row r="40" spans="8:8" ht="15.0">
      <c r="A40" s="44"/>
      <c r="B40" s="45" t="s">
        <v>67</v>
      </c>
      <c r="C40" s="46">
        <f>SUM(C26:C39)</f>
        <v>127.12</v>
      </c>
      <c r="D40" s="44"/>
      <c r="E40" s="47">
        <f>SUM(E26:E39)</f>
        <v>9013.61526025688</v>
      </c>
      <c r="F40" s="44"/>
    </row>
    <row r="41" spans="8:8" ht="19.4" customHeight="1">
      <c r="B41" s="48" t="s">
        <v>68</v>
      </c>
      <c r="C41" s="48"/>
      <c r="D41" s="48"/>
      <c r="E41" s="48"/>
      <c r="F41" s="48"/>
    </row>
    <row r="42" spans="8:8" ht="15.0">
      <c r="B42" s="49" t="s">
        <v>69</v>
      </c>
      <c r="D42" s="50">
        <f>E40/98.9600314296844</f>
        <v>91.08339124428697</v>
      </c>
    </row>
    <row r="44" spans="8:8" ht="15.0" customHeight="1">
      <c r="A44" s="22" t="s">
        <v>70</v>
      </c>
      <c r="B44" s="22"/>
      <c r="C44" s="22"/>
      <c r="D44" s="22"/>
      <c r="E44" s="22"/>
      <c r="F44" s="22"/>
    </row>
    <row r="45" spans="8:8" ht="15.0">
      <c r="A45" s="51" t="s">
        <v>2</v>
      </c>
      <c r="B45" s="51" t="s">
        <v>71</v>
      </c>
      <c r="C45" s="51" t="s">
        <v>72</v>
      </c>
      <c r="D45" s="51" t="s">
        <v>73</v>
      </c>
      <c r="E45" s="51" t="s">
        <v>74</v>
      </c>
      <c r="F45" s="51" t="s">
        <v>75</v>
      </c>
    </row>
    <row r="46" spans="8:8" ht="15.0">
      <c r="A46" s="4">
        <v>1.0</v>
      </c>
      <c r="B46" s="24" t="s">
        <v>76</v>
      </c>
      <c r="C46" s="52">
        <v>0.35</v>
      </c>
      <c r="D46" s="27">
        <f>$D$42*C46</f>
        <v>31.87918693550044</v>
      </c>
      <c r="E46" s="53">
        <v>4.67</v>
      </c>
      <c r="F46" s="54">
        <f>D46+E46</f>
        <v>36.5491869355004</v>
      </c>
    </row>
    <row r="47" spans="8:8" ht="15.0">
      <c r="A47" s="11">
        <v>2.0</v>
      </c>
      <c r="B47" s="29" t="s">
        <v>77</v>
      </c>
      <c r="C47" s="55">
        <v>0.8</v>
      </c>
      <c r="D47" s="32">
        <f>$D$42*C47</f>
        <v>72.86671299542958</v>
      </c>
      <c r="E47" s="56">
        <v>6.27</v>
      </c>
      <c r="F47" s="57">
        <f>D47+E47</f>
        <v>79.13671299542959</v>
      </c>
    </row>
    <row r="48" spans="8:8" ht="15.0">
      <c r="A48" s="4">
        <v>3.0</v>
      </c>
      <c r="B48" s="24" t="s">
        <v>78</v>
      </c>
      <c r="C48" s="52">
        <v>3.0</v>
      </c>
      <c r="D48" s="27">
        <f>$D$42*C48</f>
        <v>273.2501737328609</v>
      </c>
      <c r="E48" s="53">
        <v>9.23</v>
      </c>
      <c r="F48" s="54">
        <f>D48+E48</f>
        <v>282.48017373286103</v>
      </c>
    </row>
    <row r="49" spans="8:8" ht="15.0">
      <c r="A49" s="11">
        <v>4.0</v>
      </c>
      <c r="B49" s="29" t="s">
        <v>79</v>
      </c>
      <c r="C49" s="55">
        <v>5.0</v>
      </c>
      <c r="D49" s="32">
        <f>$D$42*C49</f>
        <v>455.4169562214349</v>
      </c>
      <c r="E49" s="56">
        <v>2.5</v>
      </c>
      <c r="F49" s="57">
        <f>D49+E49</f>
        <v>457.916956221435</v>
      </c>
    </row>
    <row r="52" spans="8:8" ht="21.75" customHeight="1">
      <c r="A52" s="21" t="s">
        <v>11</v>
      </c>
      <c r="B52" s="21"/>
      <c r="C52" s="21"/>
      <c r="D52" s="21"/>
      <c r="E52" s="21"/>
      <c r="F52" s="21"/>
    </row>
    <row r="53" spans="8:8" ht="15.0" customHeight="1">
      <c r="A53" s="22" t="s">
        <v>80</v>
      </c>
      <c r="B53" s="22"/>
      <c r="C53" s="22"/>
      <c r="D53" s="22"/>
      <c r="E53" s="22"/>
      <c r="F53" s="22"/>
    </row>
    <row r="54" spans="8:8" ht="15.0">
      <c r="A54" s="23" t="s">
        <v>2</v>
      </c>
      <c r="B54" s="23" t="s">
        <v>24</v>
      </c>
      <c r="C54" s="23" t="s">
        <v>25</v>
      </c>
      <c r="D54" s="23" t="s">
        <v>26</v>
      </c>
      <c r="E54" s="23" t="s">
        <v>27</v>
      </c>
      <c r="F54" s="23" t="s">
        <v>28</v>
      </c>
    </row>
    <row r="55" spans="8:8" ht="15.0">
      <c r="A55" s="4">
        <v>1.0</v>
      </c>
      <c r="B55" s="24" t="s">
        <v>29</v>
      </c>
      <c r="C55" s="25">
        <v>0.4</v>
      </c>
      <c r="D55" s="26">
        <v>161.8292</v>
      </c>
      <c r="E55" s="27">
        <f>C55*D55</f>
        <v>64.73168</v>
      </c>
      <c r="F55" s="28"/>
    </row>
    <row r="56" spans="8:8" ht="15.0">
      <c r="A56" s="11">
        <v>2.0</v>
      </c>
      <c r="B56" s="29" t="s">
        <v>81</v>
      </c>
      <c r="C56" s="30">
        <v>0.3</v>
      </c>
      <c r="D56" s="31">
        <v>103.9958</v>
      </c>
      <c r="E56" s="32">
        <f>C56*D56</f>
        <v>31.19874</v>
      </c>
      <c r="F56" s="33"/>
    </row>
    <row r="57" spans="8:8" ht="15.0">
      <c r="A57" s="4">
        <v>3.0</v>
      </c>
      <c r="B57" s="24" t="s">
        <v>82</v>
      </c>
      <c r="C57" s="25">
        <v>0.0</v>
      </c>
      <c r="D57" s="26">
        <v>176.03</v>
      </c>
      <c r="E57" s="27">
        <f>C57*D57</f>
        <v>0.0</v>
      </c>
      <c r="F57" s="28"/>
    </row>
    <row r="58" spans="8:8" ht="15.0">
      <c r="A58" s="11">
        <v>4.0</v>
      </c>
      <c r="B58" s="29" t="s">
        <v>83</v>
      </c>
      <c r="C58" s="30">
        <v>0.1</v>
      </c>
      <c r="D58" s="31">
        <v>295.0</v>
      </c>
      <c r="E58" s="32">
        <f>C58*D58</f>
        <v>29.5</v>
      </c>
      <c r="F58" s="33"/>
    </row>
    <row r="59" spans="8:8" ht="15.0">
      <c r="A59" s="4">
        <v>5.0</v>
      </c>
      <c r="B59" s="24" t="s">
        <v>84</v>
      </c>
      <c r="C59" s="25">
        <v>0.1</v>
      </c>
      <c r="D59" s="26">
        <v>304.2192</v>
      </c>
      <c r="E59" s="27">
        <f>C59*D59</f>
        <v>30.42192</v>
      </c>
      <c r="F59" s="28"/>
    </row>
    <row r="60" spans="8:8" ht="15.0">
      <c r="A60" s="11">
        <v>6.0</v>
      </c>
      <c r="B60" s="29" t="s">
        <v>85</v>
      </c>
      <c r="C60" s="30">
        <v>0.0</v>
      </c>
      <c r="D60" s="31">
        <v>140.0</v>
      </c>
      <c r="E60" s="32">
        <f>C60*D60</f>
        <v>0.0</v>
      </c>
      <c r="F60" s="33"/>
    </row>
    <row r="61" spans="8:8" ht="15.0">
      <c r="A61" s="4">
        <v>7.0</v>
      </c>
      <c r="B61" s="24" t="s">
        <v>33</v>
      </c>
      <c r="C61" s="25">
        <v>0.3</v>
      </c>
      <c r="D61" s="26">
        <v>379.4943</v>
      </c>
      <c r="E61" s="27">
        <f>C61*D61</f>
        <v>113.84829</v>
      </c>
      <c r="F61" s="28"/>
    </row>
    <row r="62" spans="8:8" ht="15.0">
      <c r="A62" s="11">
        <v>8.0</v>
      </c>
      <c r="B62" s="29" t="s">
        <v>34</v>
      </c>
      <c r="C62" s="30">
        <v>0.05</v>
      </c>
      <c r="D62" s="31">
        <v>69.5407</v>
      </c>
      <c r="E62" s="32">
        <f>C62*D62</f>
        <v>3.4770350000000003</v>
      </c>
      <c r="F62" s="33"/>
    </row>
    <row r="63" spans="8:8" ht="15.0">
      <c r="A63" s="4">
        <v>9.0</v>
      </c>
      <c r="B63" s="24" t="s">
        <v>86</v>
      </c>
      <c r="C63" s="25">
        <v>0.04</v>
      </c>
      <c r="D63" s="26">
        <v>562.2756</v>
      </c>
      <c r="E63" s="27">
        <f>C63*D63</f>
        <v>22.491024000000003</v>
      </c>
      <c r="F63" s="28"/>
    </row>
    <row r="64" spans="8:8" ht="15.0">
      <c r="A64" s="11">
        <v>10.0</v>
      </c>
      <c r="B64" s="29" t="s">
        <v>39</v>
      </c>
      <c r="C64" s="30">
        <v>0.01</v>
      </c>
      <c r="D64" s="31">
        <v>550.0</v>
      </c>
      <c r="E64" s="32">
        <f>C64*D64</f>
        <v>5.5</v>
      </c>
      <c r="F64" s="33"/>
    </row>
    <row r="65" spans="8:8" ht="15.0">
      <c r="A65" s="4">
        <v>11.0</v>
      </c>
      <c r="B65" s="24" t="s">
        <v>87</v>
      </c>
      <c r="C65" s="25">
        <v>0.05</v>
      </c>
      <c r="D65" s="26">
        <v>291.2467</v>
      </c>
      <c r="E65" s="27">
        <f>C65*D65</f>
        <v>14.562335</v>
      </c>
      <c r="F65" s="28"/>
    </row>
    <row r="66" spans="8:8" ht="15.0">
      <c r="A66" s="11">
        <v>12.0</v>
      </c>
      <c r="B66" s="29" t="s">
        <v>88</v>
      </c>
      <c r="C66" s="30">
        <v>0.025</v>
      </c>
      <c r="D66" s="31">
        <v>35.0</v>
      </c>
      <c r="E66" s="32">
        <f>C66*D66</f>
        <v>0.875</v>
      </c>
      <c r="F66" s="33"/>
    </row>
    <row r="67" spans="8:8" ht="15.0">
      <c r="A67" s="4">
        <v>13.0</v>
      </c>
      <c r="B67" s="24" t="s">
        <v>40</v>
      </c>
      <c r="C67" s="25">
        <v>0.025</v>
      </c>
      <c r="D67" s="26">
        <v>132.8608</v>
      </c>
      <c r="E67" s="27">
        <f>C67*D67</f>
        <v>3.3215200000000005</v>
      </c>
      <c r="F67" s="28"/>
    </row>
    <row r="68" spans="8:8" ht="15.0">
      <c r="A68" s="11">
        <v>14.0</v>
      </c>
      <c r="B68" s="29" t="s">
        <v>41</v>
      </c>
      <c r="C68" s="30">
        <v>0.0</v>
      </c>
      <c r="D68" s="31">
        <v>75.4493</v>
      </c>
      <c r="E68" s="32">
        <f>C68*D68</f>
        <v>0.0</v>
      </c>
      <c r="F68" s="33"/>
    </row>
    <row r="69" spans="8:8" ht="15.0">
      <c r="A69" s="4">
        <v>15.0</v>
      </c>
      <c r="B69" s="24" t="s">
        <v>42</v>
      </c>
      <c r="C69" s="25">
        <v>1.2</v>
      </c>
      <c r="D69" s="26">
        <v>2.0629</v>
      </c>
      <c r="E69" s="27">
        <f>C69*D69</f>
        <v>2.4754799999999997</v>
      </c>
      <c r="F69" s="28"/>
    </row>
    <row r="70" spans="8:8" ht="15.0">
      <c r="A70" s="35"/>
      <c r="B70" s="36" t="s">
        <v>46</v>
      </c>
      <c r="C70" s="37">
        <f>SUM(C55:C69)</f>
        <v>2.5999999999999996</v>
      </c>
      <c r="D70" s="35"/>
      <c r="E70" s="38">
        <f>SUM(E55:E69)</f>
        <v>322.403024</v>
      </c>
      <c r="F70" s="35"/>
    </row>
    <row r="71" spans="8:8" ht="22.35">
      <c r="B71" s="39" t="s">
        <v>47</v>
      </c>
      <c r="D71" s="40">
        <f>E70/C70</f>
        <v>124.0011630769231</v>
      </c>
    </row>
    <row r="73" spans="8:8" ht="15.0" customHeight="1">
      <c r="A73" s="22" t="s">
        <v>48</v>
      </c>
      <c r="B73" s="22"/>
      <c r="C73" s="22"/>
      <c r="D73" s="22"/>
      <c r="E73" s="22"/>
      <c r="F73" s="22"/>
    </row>
    <row r="74" spans="8:8" ht="15.0">
      <c r="A74" s="23" t="s">
        <v>2</v>
      </c>
      <c r="B74" s="23" t="s">
        <v>24</v>
      </c>
      <c r="C74" s="23" t="s">
        <v>25</v>
      </c>
      <c r="D74" s="23" t="s">
        <v>26</v>
      </c>
      <c r="E74" s="23" t="s">
        <v>27</v>
      </c>
      <c r="F74" s="23" t="s">
        <v>28</v>
      </c>
    </row>
    <row r="75" spans="8:8" ht="15.0">
      <c r="A75" s="4">
        <v>1.0</v>
      </c>
      <c r="B75" s="24" t="s">
        <v>52</v>
      </c>
      <c r="C75" s="25">
        <v>20.0</v>
      </c>
      <c r="D75" s="26">
        <v>232.7627</v>
      </c>
      <c r="E75" s="27">
        <f>C75*D75</f>
        <v>4655.254</v>
      </c>
      <c r="F75" s="28"/>
    </row>
    <row r="76" spans="8:8" ht="15.0">
      <c r="A76" s="11">
        <v>2.0</v>
      </c>
      <c r="B76" s="29" t="s">
        <v>49</v>
      </c>
      <c r="C76" s="30">
        <v>5.0</v>
      </c>
      <c r="D76" s="31">
        <v>58.4974</v>
      </c>
      <c r="E76" s="32">
        <f>C76*D76</f>
        <v>292.48699999999997</v>
      </c>
      <c r="F76" s="33"/>
    </row>
    <row r="77" spans="8:8" ht="15.0">
      <c r="A77" s="4">
        <v>3.0</v>
      </c>
      <c r="B77" s="24" t="s">
        <v>89</v>
      </c>
      <c r="C77" s="25">
        <v>2.5</v>
      </c>
      <c r="D77" s="26">
        <v>15.1428</v>
      </c>
      <c r="E77" s="27">
        <f>C77*D77</f>
        <v>37.857</v>
      </c>
      <c r="F77" s="42" t="s">
        <v>90</v>
      </c>
    </row>
    <row r="78" spans="8:8" ht="15.0">
      <c r="A78" s="11">
        <v>4.0</v>
      </c>
      <c r="B78" s="29" t="s">
        <v>51</v>
      </c>
      <c r="C78" s="30">
        <v>9.0</v>
      </c>
      <c r="D78" s="31">
        <v>39.9513</v>
      </c>
      <c r="E78" s="32">
        <f>C78*D78</f>
        <v>359.56170000000003</v>
      </c>
      <c r="F78" s="33"/>
    </row>
    <row r="79" spans="8:8" ht="15.0">
      <c r="A79" s="4">
        <v>5.0</v>
      </c>
      <c r="B79" s="24" t="s">
        <v>56</v>
      </c>
      <c r="C79" s="25">
        <v>7.5</v>
      </c>
      <c r="D79" s="26">
        <v>39.4433</v>
      </c>
      <c r="E79" s="27">
        <f>C79*D79</f>
        <v>295.82475</v>
      </c>
      <c r="F79" s="42" t="s">
        <v>57</v>
      </c>
    </row>
    <row r="80" spans="8:8" ht="15.0">
      <c r="A80" s="11">
        <v>6.0</v>
      </c>
      <c r="B80" s="29" t="s">
        <v>91</v>
      </c>
      <c r="C80" s="30">
        <v>0.2</v>
      </c>
      <c r="D80" s="31">
        <v>15.1428</v>
      </c>
      <c r="E80" s="32">
        <f>C80*D80</f>
        <v>3.02856</v>
      </c>
      <c r="F80" s="34" t="s">
        <v>92</v>
      </c>
    </row>
    <row r="81" spans="8:8" ht="15.0">
      <c r="A81" s="4">
        <v>7.0</v>
      </c>
      <c r="B81" s="24" t="s">
        <v>59</v>
      </c>
      <c r="C81" s="25">
        <v>0.0</v>
      </c>
      <c r="D81" s="26">
        <v>21.3641</v>
      </c>
      <c r="E81" s="27">
        <f>C81*D81</f>
        <v>0.0</v>
      </c>
      <c r="F81" s="28"/>
    </row>
    <row r="82" spans="8:8" ht="15.0">
      <c r="A82" s="11">
        <v>8.0</v>
      </c>
      <c r="B82" s="29" t="s">
        <v>50</v>
      </c>
      <c r="C82" s="30">
        <v>6.0</v>
      </c>
      <c r="D82" s="31">
        <v>12.2593</v>
      </c>
      <c r="E82" s="32">
        <f>C82*D82</f>
        <v>73.5558</v>
      </c>
      <c r="F82" s="33"/>
    </row>
    <row r="83" spans="8:8" ht="15.0">
      <c r="A83" s="4">
        <v>9.0</v>
      </c>
      <c r="B83" s="24" t="s">
        <v>93</v>
      </c>
      <c r="C83" s="25">
        <v>1.2</v>
      </c>
      <c r="D83" s="26">
        <v>179.7674</v>
      </c>
      <c r="E83" s="27">
        <f>C83*D83</f>
        <v>215.72088</v>
      </c>
      <c r="F83" s="28"/>
    </row>
    <row r="84" spans="8:8" ht="15.0">
      <c r="A84" s="11">
        <v>10.0</v>
      </c>
      <c r="B84" s="29" t="s">
        <v>61</v>
      </c>
      <c r="C84" s="30">
        <v>15.0</v>
      </c>
      <c r="D84" s="11" t="s">
        <v>37</v>
      </c>
      <c r="E84" s="32">
        <v>0.0</v>
      </c>
      <c r="F84" s="43" t="s">
        <v>62</v>
      </c>
    </row>
    <row r="85" spans="8:8" ht="15.0">
      <c r="A85" s="4">
        <v>11.0</v>
      </c>
      <c r="B85" s="24" t="s">
        <v>64</v>
      </c>
      <c r="C85" s="25">
        <v>2.5</v>
      </c>
      <c r="D85" s="26">
        <v>28.0338</v>
      </c>
      <c r="E85" s="27">
        <f>C85*D85</f>
        <v>70.08449999999999</v>
      </c>
      <c r="F85" s="28"/>
    </row>
    <row r="86" spans="8:8" ht="15.0">
      <c r="A86" s="11">
        <v>12.0</v>
      </c>
      <c r="B86" s="29" t="s">
        <v>94</v>
      </c>
      <c r="C86" s="30">
        <v>2.0</v>
      </c>
      <c r="D86" s="31">
        <v>15.2395</v>
      </c>
      <c r="E86" s="32">
        <f>C86*D86</f>
        <v>30.479</v>
      </c>
      <c r="F86" s="33"/>
    </row>
    <row r="87" spans="8:8" ht="15.0">
      <c r="A87" s="4">
        <v>13.0</v>
      </c>
      <c r="B87" s="24" t="s">
        <v>95</v>
      </c>
      <c r="C87" s="25">
        <v>5.0</v>
      </c>
      <c r="D87" s="26">
        <v>115.5168</v>
      </c>
      <c r="E87" s="27">
        <f>C87*D87</f>
        <v>577.5840000000001</v>
      </c>
      <c r="F87" s="28"/>
    </row>
    <row r="88" spans="8:8" ht="15.0">
      <c r="A88" s="11">
        <v>14.0</v>
      </c>
      <c r="B88" s="29" t="s">
        <v>65</v>
      </c>
      <c r="C88" s="30">
        <v>2.6</v>
      </c>
      <c r="D88" s="31">
        <f>'منتجات أبو هاشم'!D71</f>
        <v>124.0011630769231</v>
      </c>
      <c r="E88" s="32">
        <f>C88*D88</f>
        <v>322.4030240000001</v>
      </c>
      <c r="F88" s="34" t="s">
        <v>96</v>
      </c>
    </row>
    <row r="89" spans="8:8" ht="15.0">
      <c r="A89" s="44"/>
      <c r="B89" s="45" t="s">
        <v>67</v>
      </c>
      <c r="C89" s="46">
        <f>SUM(C75:C88)</f>
        <v>78.5</v>
      </c>
      <c r="D89" s="44"/>
      <c r="E89" s="47">
        <f>SUM(E75:E88)</f>
        <v>6933.840214</v>
      </c>
      <c r="F89" s="44"/>
    </row>
    <row r="90" spans="8:8" ht="15.0" customHeight="1">
      <c r="B90" s="48" t="s">
        <v>97</v>
      </c>
      <c r="C90" s="48"/>
      <c r="D90" s="48"/>
      <c r="E90" s="48"/>
      <c r="F90" s="48"/>
    </row>
    <row r="91" spans="8:8" ht="15.0">
      <c r="B91" s="49" t="s">
        <v>69</v>
      </c>
      <c r="D91" s="50">
        <f>E89/78.5</f>
        <v>88.32917470063694</v>
      </c>
    </row>
    <row r="93" spans="8:8" ht="15.0" customHeight="1">
      <c r="A93" s="22" t="s">
        <v>70</v>
      </c>
      <c r="B93" s="22"/>
      <c r="C93" s="22"/>
      <c r="D93" s="22"/>
      <c r="E93" s="22"/>
      <c r="F93" s="22"/>
    </row>
    <row r="94" spans="8:8" ht="15.0">
      <c r="A94" s="51" t="s">
        <v>2</v>
      </c>
      <c r="B94" s="51" t="s">
        <v>71</v>
      </c>
      <c r="C94" s="51" t="s">
        <v>72</v>
      </c>
      <c r="D94" s="51" t="s">
        <v>73</v>
      </c>
      <c r="E94" s="51" t="s">
        <v>74</v>
      </c>
      <c r="F94" s="51" t="s">
        <v>75</v>
      </c>
    </row>
    <row r="95" spans="8:8" ht="15.0">
      <c r="A95" s="4">
        <v>1.0</v>
      </c>
      <c r="B95" s="24" t="s">
        <v>76</v>
      </c>
      <c r="C95" s="52">
        <v>0.35</v>
      </c>
      <c r="D95" s="27">
        <f>$D$91*C95</f>
        <v>30.915211145222926</v>
      </c>
      <c r="E95" s="53">
        <v>4.5</v>
      </c>
      <c r="F95" s="54">
        <f>D95+E95</f>
        <v>35.4152111452229</v>
      </c>
    </row>
    <row r="96" spans="8:8" ht="15.0">
      <c r="A96" s="11">
        <v>2.0</v>
      </c>
      <c r="B96" s="29" t="s">
        <v>77</v>
      </c>
      <c r="C96" s="55">
        <v>0.8</v>
      </c>
      <c r="D96" s="32">
        <f>$D$91*C96</f>
        <v>70.66333976050956</v>
      </c>
      <c r="E96" s="56">
        <v>5.35</v>
      </c>
      <c r="F96" s="57">
        <f>D96+E96</f>
        <v>76.0133397605096</v>
      </c>
    </row>
    <row r="99" spans="8:8" ht="21.75" customHeight="1">
      <c r="A99" s="21" t="s">
        <v>12</v>
      </c>
      <c r="B99" s="21"/>
      <c r="C99" s="21"/>
      <c r="D99" s="21"/>
      <c r="E99" s="21"/>
      <c r="F99" s="21"/>
    </row>
    <row r="100" spans="8:8" ht="15.0" customHeight="1">
      <c r="A100" s="22" t="s">
        <v>98</v>
      </c>
      <c r="B100" s="22"/>
      <c r="C100" s="22"/>
      <c r="D100" s="22"/>
      <c r="E100" s="22"/>
      <c r="F100" s="22"/>
    </row>
    <row r="101" spans="8:8" ht="15.0">
      <c r="A101" s="23" t="s">
        <v>2</v>
      </c>
      <c r="B101" s="23" t="s">
        <v>24</v>
      </c>
      <c r="C101" s="23" t="s">
        <v>25</v>
      </c>
      <c r="D101" s="23" t="s">
        <v>26</v>
      </c>
      <c r="E101" s="23" t="s">
        <v>27</v>
      </c>
      <c r="F101" s="23" t="s">
        <v>28</v>
      </c>
    </row>
    <row r="102" spans="8:8" ht="15.0">
      <c r="A102" s="4">
        <v>1.0</v>
      </c>
      <c r="B102" s="24" t="s">
        <v>29</v>
      </c>
      <c r="C102" s="25">
        <v>0.25</v>
      </c>
      <c r="D102" s="26">
        <v>161.8292</v>
      </c>
      <c r="E102" s="27">
        <f>C102*D102</f>
        <v>40.4573</v>
      </c>
      <c r="F102" s="28"/>
    </row>
    <row r="103" spans="8:8" ht="15.0">
      <c r="A103" s="11">
        <v>2.0</v>
      </c>
      <c r="B103" s="29" t="s">
        <v>81</v>
      </c>
      <c r="C103" s="30">
        <v>0.2</v>
      </c>
      <c r="D103" s="31">
        <v>103.9958</v>
      </c>
      <c r="E103" s="32">
        <f>C103*D103</f>
        <v>20.79916</v>
      </c>
      <c r="F103" s="33"/>
    </row>
    <row r="104" spans="8:8" ht="15.0">
      <c r="A104" s="4">
        <v>3.0</v>
      </c>
      <c r="B104" s="24" t="s">
        <v>99</v>
      </c>
      <c r="C104" s="25">
        <v>0.1</v>
      </c>
      <c r="D104" s="26">
        <v>297.554</v>
      </c>
      <c r="E104" s="27">
        <f>C104*D104</f>
        <v>29.755399999999998</v>
      </c>
      <c r="F104" s="28"/>
    </row>
    <row r="105" spans="8:8" ht="15.0">
      <c r="A105" s="11">
        <v>4.0</v>
      </c>
      <c r="B105" s="29" t="s">
        <v>100</v>
      </c>
      <c r="C105" s="30">
        <v>0.0</v>
      </c>
      <c r="D105" s="11" t="s">
        <v>37</v>
      </c>
      <c r="E105" s="32">
        <v>0.0</v>
      </c>
      <c r="F105" s="34" t="s">
        <v>38</v>
      </c>
    </row>
    <row r="106" spans="8:8" ht="15.0">
      <c r="A106" s="4">
        <v>5.0</v>
      </c>
      <c r="B106" s="24" t="s">
        <v>84</v>
      </c>
      <c r="C106" s="25">
        <v>0.15</v>
      </c>
      <c r="D106" s="26">
        <v>304.2192</v>
      </c>
      <c r="E106" s="27">
        <f>C106*D106</f>
        <v>45.63288</v>
      </c>
      <c r="F106" s="28"/>
    </row>
    <row r="107" spans="8:8" ht="15.0">
      <c r="A107" s="11">
        <v>6.0</v>
      </c>
      <c r="B107" s="29" t="s">
        <v>40</v>
      </c>
      <c r="C107" s="30">
        <v>0.05</v>
      </c>
      <c r="D107" s="31">
        <v>132.8608</v>
      </c>
      <c r="E107" s="32">
        <f>C107*D107</f>
        <v>6.643040000000001</v>
      </c>
      <c r="F107" s="33"/>
    </row>
    <row r="108" spans="8:8" ht="15.0">
      <c r="A108" s="4">
        <v>7.0</v>
      </c>
      <c r="B108" s="24" t="s">
        <v>33</v>
      </c>
      <c r="C108" s="25">
        <v>0.25</v>
      </c>
      <c r="D108" s="26">
        <v>379.4943</v>
      </c>
      <c r="E108" s="27">
        <f>C108*D108</f>
        <v>94.873575</v>
      </c>
      <c r="F108" s="28"/>
    </row>
    <row r="109" spans="8:8" ht="15.0">
      <c r="A109" s="11">
        <v>8.0</v>
      </c>
      <c r="B109" s="29" t="s">
        <v>34</v>
      </c>
      <c r="C109" s="30">
        <v>0.07</v>
      </c>
      <c r="D109" s="31">
        <v>69.5407</v>
      </c>
      <c r="E109" s="32">
        <f>C109*D109</f>
        <v>4.8678490000000005</v>
      </c>
      <c r="F109" s="33"/>
    </row>
    <row r="110" spans="8:8" ht="15.0">
      <c r="A110" s="4">
        <v>9.0</v>
      </c>
      <c r="B110" s="24" t="s">
        <v>86</v>
      </c>
      <c r="C110" s="25">
        <v>0.0</v>
      </c>
      <c r="D110" s="26">
        <v>562.2756</v>
      </c>
      <c r="E110" s="27">
        <f>C110*D110</f>
        <v>0.0</v>
      </c>
      <c r="F110" s="28"/>
    </row>
    <row r="111" spans="8:8" ht="15.0">
      <c r="A111" s="11">
        <v>10.0</v>
      </c>
      <c r="B111" s="29" t="s">
        <v>39</v>
      </c>
      <c r="C111" s="30">
        <v>0.025</v>
      </c>
      <c r="D111" s="31">
        <v>550.0</v>
      </c>
      <c r="E111" s="32">
        <f>C111*D111</f>
        <v>13.75</v>
      </c>
      <c r="F111" s="33"/>
    </row>
    <row r="112" spans="8:8" ht="15.0">
      <c r="A112" s="4">
        <v>11.0</v>
      </c>
      <c r="B112" s="24" t="s">
        <v>101</v>
      </c>
      <c r="C112" s="25">
        <v>0.0</v>
      </c>
      <c r="D112" s="26">
        <v>120.0</v>
      </c>
      <c r="E112" s="27">
        <f>C112*D112</f>
        <v>0.0</v>
      </c>
      <c r="F112" s="28"/>
    </row>
    <row r="113" spans="8:8" ht="15.0">
      <c r="A113" s="11">
        <v>12.0</v>
      </c>
      <c r="B113" s="29" t="s">
        <v>41</v>
      </c>
      <c r="C113" s="30">
        <v>0.01</v>
      </c>
      <c r="D113" s="31">
        <v>75.4493</v>
      </c>
      <c r="E113" s="32">
        <f>C113*D113</f>
        <v>0.754493</v>
      </c>
      <c r="F113" s="33"/>
    </row>
    <row r="114" spans="8:8" ht="15.0">
      <c r="A114" s="4">
        <v>13.0</v>
      </c>
      <c r="B114" s="24" t="s">
        <v>42</v>
      </c>
      <c r="C114" s="25">
        <v>0.8</v>
      </c>
      <c r="D114" s="26">
        <v>2.0629</v>
      </c>
      <c r="E114" s="27">
        <f>C114*D114</f>
        <v>1.65032</v>
      </c>
      <c r="F114" s="28"/>
    </row>
    <row r="115" spans="8:8" ht="15.0">
      <c r="A115" s="35"/>
      <c r="B115" s="36" t="s">
        <v>46</v>
      </c>
      <c r="C115" s="37">
        <f>SUM(C102:C114)</f>
        <v>1.905</v>
      </c>
      <c r="D115" s="35"/>
      <c r="E115" s="38">
        <f>SUM(E102:E114)</f>
        <v>259.1840170000001</v>
      </c>
      <c r="F115" s="35"/>
    </row>
    <row r="116" spans="8:8" ht="22.35">
      <c r="B116" s="39" t="s">
        <v>47</v>
      </c>
      <c r="D116" s="40">
        <f>E115/C115</f>
        <v>136.0546020997376</v>
      </c>
    </row>
    <row r="118" spans="8:8" ht="15.0" customHeight="1">
      <c r="A118" s="22" t="s">
        <v>48</v>
      </c>
      <c r="B118" s="22"/>
      <c r="C118" s="22"/>
      <c r="D118" s="22"/>
      <c r="E118" s="22"/>
      <c r="F118" s="22"/>
    </row>
    <row r="119" spans="8:8" ht="15.0">
      <c r="A119" s="23" t="s">
        <v>2</v>
      </c>
      <c r="B119" s="23" t="s">
        <v>24</v>
      </c>
      <c r="C119" s="23" t="s">
        <v>25</v>
      </c>
      <c r="D119" s="23" t="s">
        <v>26</v>
      </c>
      <c r="E119" s="23" t="s">
        <v>27</v>
      </c>
      <c r="F119" s="23" t="s">
        <v>28</v>
      </c>
    </row>
    <row r="120" spans="8:8" ht="17.9">
      <c r="A120" s="4">
        <v>1.0</v>
      </c>
      <c r="B120" s="24" t="s">
        <v>102</v>
      </c>
      <c r="C120" s="25">
        <v>12.0</v>
      </c>
      <c r="D120" s="26">
        <v>253.0</v>
      </c>
      <c r="E120" s="27">
        <f>C120*D120</f>
        <v>3036.0</v>
      </c>
      <c r="F120" s="42" t="s">
        <v>103</v>
      </c>
    </row>
    <row r="121" spans="8:8" ht="17.9">
      <c r="A121" s="11">
        <v>2.0</v>
      </c>
      <c r="B121" s="29" t="s">
        <v>104</v>
      </c>
      <c r="C121" s="30">
        <v>5.0</v>
      </c>
      <c r="D121" s="31">
        <v>39.9513</v>
      </c>
      <c r="E121" s="32">
        <f>C121*D121</f>
        <v>199.75650000000002</v>
      </c>
      <c r="F121" s="34" t="s">
        <v>105</v>
      </c>
    </row>
    <row r="122" spans="8:8" ht="15.0">
      <c r="A122" s="4">
        <v>3.0</v>
      </c>
      <c r="B122" s="24" t="s">
        <v>63</v>
      </c>
      <c r="C122" s="25">
        <v>6.0</v>
      </c>
      <c r="D122" s="26">
        <v>115.5168</v>
      </c>
      <c r="E122" s="27">
        <f>C122*D122</f>
        <v>693.1008</v>
      </c>
      <c r="F122" s="28"/>
    </row>
    <row r="123" spans="8:8" ht="15.0">
      <c r="A123" s="11">
        <v>4.0</v>
      </c>
      <c r="B123" s="29" t="s">
        <v>56</v>
      </c>
      <c r="C123" s="30">
        <v>6.0</v>
      </c>
      <c r="D123" s="31">
        <v>39.4433</v>
      </c>
      <c r="E123" s="32">
        <f>C123*D123</f>
        <v>236.65980000000002</v>
      </c>
      <c r="F123" s="34" t="s">
        <v>57</v>
      </c>
    </row>
    <row r="124" spans="8:8" ht="15.0">
      <c r="A124" s="4">
        <v>5.0</v>
      </c>
      <c r="B124" s="24" t="s">
        <v>50</v>
      </c>
      <c r="C124" s="25">
        <v>4.0</v>
      </c>
      <c r="D124" s="26">
        <v>12.2593</v>
      </c>
      <c r="E124" s="27">
        <f>C124*D124</f>
        <v>49.0372</v>
      </c>
      <c r="F124" s="28"/>
    </row>
    <row r="125" spans="8:8" ht="15.0">
      <c r="A125" s="11">
        <v>6.0</v>
      </c>
      <c r="B125" s="29" t="s">
        <v>94</v>
      </c>
      <c r="C125" s="30">
        <v>1.0</v>
      </c>
      <c r="D125" s="31">
        <v>15.2395</v>
      </c>
      <c r="E125" s="32">
        <f>C125*D125</f>
        <v>15.2395</v>
      </c>
      <c r="F125" s="33"/>
    </row>
    <row r="126" spans="8:8" ht="15.0">
      <c r="A126" s="4">
        <v>7.0</v>
      </c>
      <c r="B126" s="24" t="s">
        <v>106</v>
      </c>
      <c r="C126" s="25">
        <v>0.5</v>
      </c>
      <c r="D126" s="26">
        <v>24.0482</v>
      </c>
      <c r="E126" s="27">
        <f>C126*D126</f>
        <v>12.0241</v>
      </c>
      <c r="F126" s="28"/>
    </row>
    <row r="127" spans="8:8" ht="15.0">
      <c r="A127" s="11">
        <v>8.0</v>
      </c>
      <c r="B127" s="29" t="s">
        <v>64</v>
      </c>
      <c r="C127" s="30">
        <v>2.0</v>
      </c>
      <c r="D127" s="31">
        <v>28.0338</v>
      </c>
      <c r="E127" s="32">
        <f>C127*D127</f>
        <v>56.0676</v>
      </c>
      <c r="F127" s="33"/>
    </row>
    <row r="128" spans="8:8" ht="15.0">
      <c r="A128" s="4">
        <v>9.0</v>
      </c>
      <c r="B128" s="24" t="s">
        <v>59</v>
      </c>
      <c r="C128" s="25">
        <v>4.0</v>
      </c>
      <c r="D128" s="26">
        <v>21.3641</v>
      </c>
      <c r="E128" s="27">
        <f>C128*D128</f>
        <v>85.4564</v>
      </c>
      <c r="F128" s="28"/>
    </row>
    <row r="129" spans="8:8" ht="15.0">
      <c r="A129" s="11">
        <v>10.0</v>
      </c>
      <c r="B129" s="29" t="s">
        <v>93</v>
      </c>
      <c r="C129" s="30">
        <v>0.25</v>
      </c>
      <c r="D129" s="31">
        <v>179.7674</v>
      </c>
      <c r="E129" s="32">
        <f>C129*D129</f>
        <v>44.94185</v>
      </c>
      <c r="F129" s="33"/>
    </row>
    <row r="130" spans="8:8" ht="15.0">
      <c r="A130" s="4">
        <v>11.0</v>
      </c>
      <c r="B130" s="24" t="s">
        <v>107</v>
      </c>
      <c r="C130" s="25">
        <v>6.0</v>
      </c>
      <c r="D130" s="26">
        <v>34.726</v>
      </c>
      <c r="E130" s="27">
        <f>C130*D130</f>
        <v>208.356</v>
      </c>
      <c r="F130" s="42" t="s">
        <v>108</v>
      </c>
    </row>
    <row r="131" spans="8:8" ht="15.0">
      <c r="A131" s="11">
        <v>12.0</v>
      </c>
      <c r="B131" s="29" t="s">
        <v>109</v>
      </c>
      <c r="C131" s="30">
        <v>14.0</v>
      </c>
      <c r="D131" s="11" t="s">
        <v>37</v>
      </c>
      <c r="E131" s="32">
        <v>0.0</v>
      </c>
      <c r="F131" s="43" t="s">
        <v>62</v>
      </c>
    </row>
    <row r="132" spans="8:8" ht="15.0">
      <c r="A132" s="4">
        <v>13.0</v>
      </c>
      <c r="B132" s="24" t="s">
        <v>65</v>
      </c>
      <c r="C132" s="25">
        <v>1.905</v>
      </c>
      <c r="D132" s="26">
        <f>'منتجات أبو هاشم'!D116</f>
        <v>136.0546020997376</v>
      </c>
      <c r="E132" s="27">
        <f>C132*D132</f>
        <v>259.1840170000001</v>
      </c>
      <c r="F132" s="42" t="s">
        <v>110</v>
      </c>
    </row>
    <row r="133" spans="8:8" ht="15.0">
      <c r="A133" s="44"/>
      <c r="B133" s="45" t="s">
        <v>67</v>
      </c>
      <c r="C133" s="46">
        <f>SUM(C120:C132)</f>
        <v>62.655</v>
      </c>
      <c r="D133" s="44"/>
      <c r="E133" s="47">
        <f>SUM(E120:E132)</f>
        <v>4895.823767</v>
      </c>
      <c r="F133" s="44"/>
    </row>
    <row r="134" spans="8:8" ht="15.0" customHeight="1">
      <c r="B134" s="48" t="s">
        <v>97</v>
      </c>
      <c r="C134" s="48"/>
      <c r="D134" s="48"/>
      <c r="E134" s="48"/>
      <c r="F134" s="48"/>
    </row>
    <row r="135" spans="8:8" ht="15.0">
      <c r="B135" s="49" t="s">
        <v>69</v>
      </c>
      <c r="D135" s="50">
        <f>E133/62.655</f>
        <v>78.13939457345782</v>
      </c>
    </row>
    <row r="137" spans="8:8" ht="15.0" customHeight="1">
      <c r="A137" s="22" t="s">
        <v>70</v>
      </c>
      <c r="B137" s="22"/>
      <c r="C137" s="22"/>
      <c r="D137" s="22"/>
      <c r="E137" s="22"/>
      <c r="F137" s="22"/>
    </row>
    <row r="138" spans="8:8" ht="15.0">
      <c r="A138" s="51" t="s">
        <v>2</v>
      </c>
      <c r="B138" s="51" t="s">
        <v>71</v>
      </c>
      <c r="C138" s="51" t="s">
        <v>72</v>
      </c>
      <c r="D138" s="51" t="s">
        <v>73</v>
      </c>
      <c r="E138" s="51" t="s">
        <v>74</v>
      </c>
      <c r="F138" s="51" t="s">
        <v>75</v>
      </c>
    </row>
    <row r="139" spans="8:8" ht="15.0">
      <c r="A139" s="4">
        <v>1.0</v>
      </c>
      <c r="B139" s="24" t="s">
        <v>111</v>
      </c>
      <c r="C139" s="52">
        <v>0.4</v>
      </c>
      <c r="D139" s="27">
        <f>$D$135*C139</f>
        <v>31.25575782938313</v>
      </c>
      <c r="E139" s="53">
        <v>4.99</v>
      </c>
      <c r="F139" s="54">
        <f>D139+E139</f>
        <v>36.2457578293831</v>
      </c>
    </row>
    <row r="140" spans="8:8" ht="15.0">
      <c r="A140" s="11">
        <v>2.0</v>
      </c>
      <c r="B140" s="29" t="s">
        <v>77</v>
      </c>
      <c r="C140" s="55">
        <v>0.8</v>
      </c>
      <c r="D140" s="32">
        <f>$D$135*C140</f>
        <v>62.51151565876626</v>
      </c>
      <c r="E140" s="56">
        <v>0.0</v>
      </c>
      <c r="F140" s="57">
        <f>D140+E140</f>
        <v>62.5115156587663</v>
      </c>
    </row>
    <row r="141" spans="8:8" ht="15.0">
      <c r="A141" s="4">
        <v>3.0</v>
      </c>
      <c r="B141" s="24" t="s">
        <v>112</v>
      </c>
      <c r="C141" s="52">
        <v>0.6</v>
      </c>
      <c r="D141" s="27">
        <f>$D$135*C141</f>
        <v>46.88363674407469</v>
      </c>
      <c r="E141" s="53">
        <v>5.99</v>
      </c>
      <c r="F141" s="54">
        <f>D141+E141</f>
        <v>52.8736367440747</v>
      </c>
    </row>
    <row r="142" spans="8:8" ht="15.0">
      <c r="A142" s="11">
        <v>4.0</v>
      </c>
      <c r="B142" s="29" t="s">
        <v>113</v>
      </c>
      <c r="C142" s="55">
        <v>1.0</v>
      </c>
      <c r="D142" s="32">
        <f>$D$135*C142</f>
        <v>78.13939457345782</v>
      </c>
      <c r="E142" s="56">
        <v>5.6</v>
      </c>
      <c r="F142" s="57">
        <f>D142+E142</f>
        <v>83.7393945734578</v>
      </c>
    </row>
    <row r="143" spans="8:8" ht="15.0">
      <c r="A143" s="4">
        <v>5.0</v>
      </c>
      <c r="B143" s="24" t="s">
        <v>114</v>
      </c>
      <c r="C143" s="52">
        <v>1.2</v>
      </c>
      <c r="D143" s="27">
        <f>$D$135*C143</f>
        <v>93.76727348814939</v>
      </c>
      <c r="E143" s="53">
        <v>6.18</v>
      </c>
      <c r="F143" s="54">
        <f>D143+E143</f>
        <v>99.94727348814939</v>
      </c>
    </row>
    <row r="144" spans="8:8" ht="15.0">
      <c r="A144" s="11">
        <v>6.0</v>
      </c>
      <c r="B144" s="58" t="s">
        <v>115</v>
      </c>
      <c r="C144" s="55">
        <v>1.5</v>
      </c>
      <c r="D144" s="32">
        <f>$D$135*C144</f>
        <v>117.20909186018673</v>
      </c>
      <c r="E144" s="56">
        <v>6.07</v>
      </c>
      <c r="F144" s="57">
        <f>D144+E144</f>
        <v>123.27909186018701</v>
      </c>
    </row>
  </sheetData>
  <mergeCells count="16">
    <mergeCell ref="A1:F1"/>
    <mergeCell ref="A53:F53"/>
    <mergeCell ref="A52:F52"/>
    <mergeCell ref="A44:F44"/>
    <mergeCell ref="B41:F41"/>
    <mergeCell ref="A24:F24"/>
    <mergeCell ref="A4:F4"/>
    <mergeCell ref="A3:F3"/>
    <mergeCell ref="B134:F134"/>
    <mergeCell ref="A137:F137"/>
    <mergeCell ref="A73:F73"/>
    <mergeCell ref="A118:F118"/>
    <mergeCell ref="A100:F100"/>
    <mergeCell ref="A99:F99"/>
    <mergeCell ref="A93:F93"/>
    <mergeCell ref="B90:F90"/>
  </mergeCells>
  <pageMargins left="0.75" right="0.75" top="1.0" bottom="1.0" header="0.511811023622047" footer="0.511811023622047"/>
  <pageSetup paperSize="9"/>
</worksheet>
</file>

<file path=xl/worksheets/sheet3.xml><?xml version="1.0" encoding="utf-8"?>
<worksheet xmlns:r="http://schemas.openxmlformats.org/officeDocument/2006/relationships" xmlns="http://schemas.openxmlformats.org/spreadsheetml/2006/main">
  <dimension ref="A1:G115"/>
  <sheetViews>
    <sheetView workbookViewId="0" rightToLeft="1">
      <pane ySplit="1" topLeftCell="A17" state="frozen" activePane="bottomLeft"/>
      <selection pane="bottomLeft" activeCell="A8" sqref="A8:F78"/>
    </sheetView>
  </sheetViews>
  <sheetFormatPr defaultRowHeight="15.0" zeroHeight="1"/>
  <cols>
    <col min="1" max="1" customWidth="1" width="4.0" style="0"/>
    <col min="2" max="2" customWidth="1" width="26.0" style="0"/>
    <col min="3" max="3" customWidth="1" width="13.0" style="0"/>
    <col min="4" max="4" customWidth="1" width="16.0" style="0"/>
    <col min="5" max="5" customWidth="1" width="14.0" style="0"/>
    <col min="6" max="6" customWidth="1" width="42.0" style="0"/>
  </cols>
  <sheetData>
    <row r="1" spans="8:8" ht="24.0" customHeight="1">
      <c r="A1" s="21" t="s">
        <v>116</v>
      </c>
      <c r="B1" s="21"/>
      <c r="C1" s="21"/>
      <c r="D1" s="21"/>
      <c r="E1" s="21"/>
      <c r="F1" s="21"/>
    </row>
    <row r="3" spans="8:8" ht="21.75" customHeight="1">
      <c r="A3" s="21" t="s">
        <v>13</v>
      </c>
      <c r="B3" s="21"/>
      <c r="C3" s="21"/>
      <c r="D3" s="21"/>
      <c r="E3" s="21"/>
      <c r="F3" s="21"/>
    </row>
    <row r="4" spans="8:8" ht="15.0" customHeight="1">
      <c r="A4" s="22" t="s">
        <v>48</v>
      </c>
      <c r="B4" s="22"/>
      <c r="C4" s="22"/>
      <c r="D4" s="22"/>
      <c r="E4" s="22"/>
      <c r="F4" s="22"/>
    </row>
    <row r="5" spans="8:8" ht="15.0">
      <c r="A5" s="23" t="s">
        <v>2</v>
      </c>
      <c r="B5" s="23" t="s">
        <v>24</v>
      </c>
      <c r="C5" s="23" t="s">
        <v>25</v>
      </c>
      <c r="D5" s="23" t="s">
        <v>26</v>
      </c>
      <c r="E5" s="23" t="s">
        <v>27</v>
      </c>
      <c r="F5" s="23" t="s">
        <v>28</v>
      </c>
    </row>
    <row r="6" spans="8:8" ht="15.0">
      <c r="A6" s="4">
        <v>1.0</v>
      </c>
      <c r="B6" s="24" t="s">
        <v>117</v>
      </c>
      <c r="C6" s="25">
        <v>80.0</v>
      </c>
      <c r="D6" s="26">
        <v>34.726</v>
      </c>
      <c r="E6" s="27">
        <f>C6*D6</f>
        <v>2778.08</v>
      </c>
      <c r="F6" s="28"/>
    </row>
    <row r="7" spans="8:8" ht="15.0">
      <c r="A7" s="11">
        <v>2.0</v>
      </c>
      <c r="B7" s="29" t="s">
        <v>51</v>
      </c>
      <c r="C7" s="30">
        <v>28.0</v>
      </c>
      <c r="D7" s="31">
        <v>39.9513</v>
      </c>
      <c r="E7" s="32">
        <f>C7*D7</f>
        <v>1118.6364</v>
      </c>
      <c r="F7" s="33"/>
    </row>
    <row r="8" spans="8:8" ht="15.0">
      <c r="A8" s="4">
        <v>3.0</v>
      </c>
      <c r="B8" s="24" t="s">
        <v>118</v>
      </c>
      <c r="C8" s="25">
        <v>25.0</v>
      </c>
      <c r="D8" s="26">
        <v>13.0</v>
      </c>
      <c r="E8" s="27">
        <f>C8*D8</f>
        <v>325.0</v>
      </c>
      <c r="F8" s="28"/>
    </row>
    <row r="9" spans="8:8" ht="15.0">
      <c r="A9" s="11">
        <v>4.0</v>
      </c>
      <c r="B9" s="29" t="s">
        <v>56</v>
      </c>
      <c r="C9" s="30">
        <v>43.0</v>
      </c>
      <c r="D9" s="31">
        <v>39.4433</v>
      </c>
      <c r="E9" s="32">
        <f>C9*D9</f>
        <v>1696.0619</v>
      </c>
      <c r="F9" s="34" t="s">
        <v>57</v>
      </c>
    </row>
    <row r="10" spans="8:8" ht="15.0">
      <c r="A10" s="4">
        <v>5.0</v>
      </c>
      <c r="B10" s="24" t="s">
        <v>119</v>
      </c>
      <c r="C10" s="25">
        <v>2.0</v>
      </c>
      <c r="D10" s="26">
        <v>15.1428</v>
      </c>
      <c r="E10" s="27">
        <f>C10*D10</f>
        <v>30.2856</v>
      </c>
      <c r="F10" s="42" t="s">
        <v>90</v>
      </c>
    </row>
    <row r="11" spans="8:8" ht="15.0">
      <c r="A11" s="11">
        <v>6.0</v>
      </c>
      <c r="B11" s="29" t="s">
        <v>59</v>
      </c>
      <c r="C11" s="30">
        <v>28.0</v>
      </c>
      <c r="D11" s="31">
        <v>21.3641</v>
      </c>
      <c r="E11" s="32">
        <f>C11*D11</f>
        <v>598.1948</v>
      </c>
      <c r="F11" s="33"/>
    </row>
    <row r="12" spans="8:8" ht="15.0">
      <c r="A12" s="4">
        <v>7.0</v>
      </c>
      <c r="B12" s="24" t="s">
        <v>64</v>
      </c>
      <c r="C12" s="25">
        <v>24.0</v>
      </c>
      <c r="D12" s="26">
        <v>28.0338</v>
      </c>
      <c r="E12" s="27">
        <f>C12*D12</f>
        <v>672.8112</v>
      </c>
      <c r="F12" s="28"/>
    </row>
    <row r="13" spans="8:8" ht="15.0">
      <c r="A13" s="11">
        <v>8.0</v>
      </c>
      <c r="B13" s="29" t="s">
        <v>120</v>
      </c>
      <c r="C13" s="30">
        <v>0.0</v>
      </c>
      <c r="D13" s="11" t="s">
        <v>37</v>
      </c>
      <c r="E13" s="32">
        <v>0.0</v>
      </c>
      <c r="F13" s="43" t="s">
        <v>38</v>
      </c>
    </row>
    <row r="14" spans="8:8" ht="15.0">
      <c r="A14" s="4">
        <v>9.0</v>
      </c>
      <c r="B14" s="24" t="s">
        <v>50</v>
      </c>
      <c r="C14" s="25">
        <v>25.0</v>
      </c>
      <c r="D14" s="26">
        <v>12.2593</v>
      </c>
      <c r="E14" s="27">
        <f>C14*D14</f>
        <v>306.4825</v>
      </c>
      <c r="F14" s="28"/>
    </row>
    <row r="15" spans="8:8" ht="15.0">
      <c r="A15" s="11">
        <v>10.0</v>
      </c>
      <c r="B15" s="29" t="s">
        <v>121</v>
      </c>
      <c r="C15" s="30">
        <v>26.0</v>
      </c>
      <c r="D15" s="31">
        <v>15.2395</v>
      </c>
      <c r="E15" s="32">
        <f>C15*D15</f>
        <v>396.227</v>
      </c>
      <c r="F15" s="33"/>
    </row>
    <row r="16" spans="8:8" ht="15.0">
      <c r="A16" s="4">
        <v>11.0</v>
      </c>
      <c r="B16" s="24" t="s">
        <v>109</v>
      </c>
      <c r="C16" s="25">
        <v>99.0</v>
      </c>
      <c r="D16" s="4" t="s">
        <v>37</v>
      </c>
      <c r="E16" s="27">
        <v>0.0</v>
      </c>
      <c r="F16" s="41" t="s">
        <v>62</v>
      </c>
    </row>
    <row r="17" spans="8:8" ht="15.0">
      <c r="A17" s="11">
        <v>12.0</v>
      </c>
      <c r="B17" s="29" t="s">
        <v>81</v>
      </c>
      <c r="C17" s="30">
        <v>2.0</v>
      </c>
      <c r="D17" s="31">
        <v>103.9958</v>
      </c>
      <c r="E17" s="32">
        <f>C17*D17</f>
        <v>207.9916</v>
      </c>
      <c r="F17" s="33"/>
    </row>
    <row r="18" spans="8:8" ht="15.0">
      <c r="A18" s="4">
        <v>13.0</v>
      </c>
      <c r="B18" s="24" t="s">
        <v>122</v>
      </c>
      <c r="C18" s="25">
        <v>0.09</v>
      </c>
      <c r="D18" s="26">
        <v>2919.2872</v>
      </c>
      <c r="E18" s="27">
        <f>C18*D18</f>
        <v>262.73584800000003</v>
      </c>
      <c r="F18" s="42" t="s">
        <v>123</v>
      </c>
    </row>
    <row r="19" spans="8:8" ht="15.0">
      <c r="A19" s="11">
        <v>14.0</v>
      </c>
      <c r="B19" s="29" t="s">
        <v>124</v>
      </c>
      <c r="C19" s="30">
        <v>0.6</v>
      </c>
      <c r="D19" s="31">
        <v>69.5407</v>
      </c>
      <c r="E19" s="32">
        <f>C19*D19</f>
        <v>41.72442</v>
      </c>
      <c r="F19" s="33"/>
    </row>
    <row r="20" spans="8:8" ht="15.0">
      <c r="A20" s="4">
        <v>15.0</v>
      </c>
      <c r="B20" s="24" t="s">
        <v>125</v>
      </c>
      <c r="C20" s="25">
        <v>0.5</v>
      </c>
      <c r="D20" s="26">
        <v>75.4493</v>
      </c>
      <c r="E20" s="27">
        <f>C20*D20</f>
        <v>37.72465</v>
      </c>
      <c r="F20" s="28"/>
    </row>
    <row r="21" spans="8:8" ht="15.0">
      <c r="A21" s="11">
        <v>16.0</v>
      </c>
      <c r="B21" s="29" t="s">
        <v>42</v>
      </c>
      <c r="C21" s="30">
        <v>6.8</v>
      </c>
      <c r="D21" s="31">
        <v>2.0629</v>
      </c>
      <c r="E21" s="32">
        <f>C21*D21</f>
        <v>14.027719999999999</v>
      </c>
      <c r="F21" s="33"/>
    </row>
    <row r="22" spans="8:8" ht="15.0">
      <c r="A22" s="4">
        <v>17.0</v>
      </c>
      <c r="B22" s="24" t="s">
        <v>126</v>
      </c>
      <c r="C22" s="25">
        <v>0.2</v>
      </c>
      <c r="D22" s="26">
        <v>1351.717</v>
      </c>
      <c r="E22" s="27">
        <f>C22*D22</f>
        <v>270.34340000000003</v>
      </c>
      <c r="F22" s="28"/>
    </row>
    <row r="23" spans="8:8" ht="15.0">
      <c r="A23" s="11">
        <v>18.0</v>
      </c>
      <c r="B23" s="29" t="s">
        <v>82</v>
      </c>
      <c r="C23" s="30">
        <v>0.5</v>
      </c>
      <c r="D23" s="31">
        <v>176.03</v>
      </c>
      <c r="E23" s="32">
        <f>C23*D23</f>
        <v>88.015</v>
      </c>
      <c r="F23" s="33"/>
    </row>
    <row r="24" spans="8:8" ht="15.0">
      <c r="A24" s="4">
        <v>19.0</v>
      </c>
      <c r="B24" s="24" t="s">
        <v>84</v>
      </c>
      <c r="C24" s="25">
        <v>0.5</v>
      </c>
      <c r="D24" s="26">
        <v>304.2192</v>
      </c>
      <c r="E24" s="27">
        <f>C24*D24</f>
        <v>152.1096</v>
      </c>
      <c r="F24" s="28"/>
    </row>
    <row r="25" spans="8:8" ht="15.0">
      <c r="A25" s="11">
        <v>20.0</v>
      </c>
      <c r="B25" s="29" t="s">
        <v>29</v>
      </c>
      <c r="C25" s="30">
        <v>2.0</v>
      </c>
      <c r="D25" s="31">
        <v>161.8292</v>
      </c>
      <c r="E25" s="32">
        <f>C25*D25</f>
        <v>323.6584</v>
      </c>
      <c r="F25" s="33"/>
    </row>
    <row r="26" spans="8:8" ht="15.0">
      <c r="A26" s="4">
        <v>21.0</v>
      </c>
      <c r="B26" s="24" t="s">
        <v>127</v>
      </c>
      <c r="C26" s="25">
        <v>0.2</v>
      </c>
      <c r="D26" s="26">
        <v>211.3081</v>
      </c>
      <c r="E26" s="27">
        <f>C26*D26</f>
        <v>42.26162</v>
      </c>
      <c r="F26" s="28"/>
    </row>
    <row r="27" spans="8:8" ht="15.0">
      <c r="A27" s="11">
        <v>22.0</v>
      </c>
      <c r="B27" s="29" t="s">
        <v>87</v>
      </c>
      <c r="C27" s="30">
        <v>0.5</v>
      </c>
      <c r="D27" s="31">
        <v>291.2467</v>
      </c>
      <c r="E27" s="32">
        <f>C27*D27</f>
        <v>145.62335</v>
      </c>
      <c r="F27" s="33"/>
    </row>
    <row r="28" spans="8:8" ht="15.0">
      <c r="A28" s="4">
        <v>23.0</v>
      </c>
      <c r="B28" s="24" t="s">
        <v>35</v>
      </c>
      <c r="C28" s="25">
        <v>0.5</v>
      </c>
      <c r="D28" s="26">
        <v>143.0618</v>
      </c>
      <c r="E28" s="27">
        <f>C28*D28</f>
        <v>71.5309</v>
      </c>
      <c r="F28" s="28"/>
    </row>
    <row r="29" spans="8:8" ht="15.0">
      <c r="A29" s="44"/>
      <c r="B29" s="45" t="s">
        <v>67</v>
      </c>
      <c r="C29" s="46">
        <f>SUM(C6:C28)</f>
        <v>394.39</v>
      </c>
      <c r="D29" s="44"/>
      <c r="E29" s="47">
        <f>SUM(E6:E28)</f>
        <v>9579.525908</v>
      </c>
      <c r="F29" s="44"/>
    </row>
    <row r="30" spans="8:8" ht="15.0" customHeight="1">
      <c r="B30" s="48" t="s">
        <v>97</v>
      </c>
      <c r="C30" s="48"/>
      <c r="D30" s="48"/>
      <c r="E30" s="48"/>
      <c r="F30" s="48"/>
    </row>
    <row r="31" spans="8:8" ht="15.0">
      <c r="B31" s="49" t="s">
        <v>69</v>
      </c>
      <c r="D31" s="50">
        <f>E29/394.39</f>
        <v>24.28947465199422</v>
      </c>
    </row>
    <row r="33" spans="8:8" ht="15.0" customHeight="1">
      <c r="A33" s="22" t="s">
        <v>70</v>
      </c>
      <c r="B33" s="22"/>
      <c r="C33" s="22"/>
      <c r="D33" s="22"/>
      <c r="E33" s="22"/>
      <c r="F33" s="22"/>
    </row>
    <row r="34" spans="8:8" ht="15.0">
      <c r="A34" s="51" t="s">
        <v>2</v>
      </c>
      <c r="B34" s="51" t="s">
        <v>71</v>
      </c>
      <c r="C34" s="51" t="s">
        <v>72</v>
      </c>
      <c r="D34" s="51" t="s">
        <v>73</v>
      </c>
      <c r="E34" s="51" t="s">
        <v>74</v>
      </c>
      <c r="F34" s="51" t="s">
        <v>75</v>
      </c>
    </row>
    <row r="35" spans="8:8" ht="15.0">
      <c r="A35" s="4">
        <v>1.0</v>
      </c>
      <c r="B35" s="24" t="s">
        <v>128</v>
      </c>
      <c r="C35" s="52">
        <v>0.4</v>
      </c>
      <c r="D35" s="27">
        <f>$D$31*C35</f>
        <v>9.715789860797688</v>
      </c>
      <c r="E35" s="53">
        <v>5.5</v>
      </c>
      <c r="F35" s="54">
        <f>D35+E35</f>
        <v>15.21578986079769</v>
      </c>
    </row>
    <row r="36" spans="8:8" ht="15.0">
      <c r="A36" s="11">
        <v>2.0</v>
      </c>
      <c r="B36" s="29" t="s">
        <v>129</v>
      </c>
      <c r="C36" s="55">
        <v>1.0</v>
      </c>
      <c r="D36" s="32">
        <f>$D$31*C36</f>
        <v>24.28947465199422</v>
      </c>
      <c r="E36" s="56">
        <v>6.7</v>
      </c>
      <c r="F36" s="57">
        <f>D36+E36</f>
        <v>30.9894746519942</v>
      </c>
    </row>
    <row r="39" spans="8:8" ht="21.75" customHeight="1">
      <c r="A39" s="21" t="s">
        <v>15</v>
      </c>
      <c r="B39" s="21"/>
      <c r="C39" s="21"/>
      <c r="D39" s="21"/>
      <c r="E39" s="21"/>
      <c r="F39" s="21"/>
    </row>
    <row r="40" spans="8:8" ht="15.0" customHeight="1">
      <c r="A40" s="22" t="s">
        <v>48</v>
      </c>
      <c r="B40" s="22"/>
      <c r="C40" s="22"/>
      <c r="D40" s="22"/>
      <c r="E40" s="22"/>
      <c r="F40" s="22"/>
    </row>
    <row r="41" spans="8:8" ht="15.0">
      <c r="A41" s="23" t="s">
        <v>2</v>
      </c>
      <c r="B41" s="23" t="s">
        <v>24</v>
      </c>
      <c r="C41" s="23" t="s">
        <v>25</v>
      </c>
      <c r="D41" s="23" t="s">
        <v>26</v>
      </c>
      <c r="E41" s="23" t="s">
        <v>27</v>
      </c>
      <c r="F41" s="23" t="s">
        <v>28</v>
      </c>
    </row>
    <row r="42" spans="8:8" ht="15.0">
      <c r="A42" s="4">
        <v>1.0</v>
      </c>
      <c r="B42" s="24" t="s">
        <v>117</v>
      </c>
      <c r="C42" s="25">
        <v>105.0</v>
      </c>
      <c r="D42" s="26">
        <v>34.726</v>
      </c>
      <c r="E42" s="27">
        <f>C42*D42</f>
        <v>3646.23</v>
      </c>
      <c r="F42" s="28"/>
    </row>
    <row r="43" spans="8:8" ht="15.0">
      <c r="A43" s="11">
        <v>2.0</v>
      </c>
      <c r="B43" s="29" t="s">
        <v>51</v>
      </c>
      <c r="C43" s="30">
        <v>0.0</v>
      </c>
      <c r="D43" s="31">
        <v>39.9513</v>
      </c>
      <c r="E43" s="32">
        <f>C43*D43</f>
        <v>0.0</v>
      </c>
      <c r="F43" s="33"/>
    </row>
    <row r="44" spans="8:8" ht="15.0">
      <c r="A44" s="4">
        <v>3.0</v>
      </c>
      <c r="B44" s="24" t="s">
        <v>59</v>
      </c>
      <c r="C44" s="25">
        <v>10.5</v>
      </c>
      <c r="D44" s="26">
        <v>21.3641</v>
      </c>
      <c r="E44" s="27">
        <f>C44*D44</f>
        <v>224.32305</v>
      </c>
      <c r="F44" s="28"/>
    </row>
    <row r="45" spans="8:8" ht="15.0">
      <c r="A45" s="11">
        <v>4.0</v>
      </c>
      <c r="B45" s="29" t="s">
        <v>109</v>
      </c>
      <c r="C45" s="30">
        <v>48.0</v>
      </c>
      <c r="D45" s="11" t="s">
        <v>37</v>
      </c>
      <c r="E45" s="32">
        <v>0.0</v>
      </c>
      <c r="F45" s="43" t="s">
        <v>62</v>
      </c>
    </row>
    <row r="46" spans="8:8" ht="15.0">
      <c r="A46" s="4">
        <v>5.0</v>
      </c>
      <c r="B46" s="24" t="s">
        <v>56</v>
      </c>
      <c r="C46" s="25">
        <v>21.75</v>
      </c>
      <c r="D46" s="26">
        <v>39.4433</v>
      </c>
      <c r="E46" s="27">
        <f>C46*D46</f>
        <v>857.891775</v>
      </c>
      <c r="F46" s="42" t="s">
        <v>57</v>
      </c>
    </row>
    <row r="47" spans="8:8" ht="15.0">
      <c r="A47" s="11">
        <v>6.0</v>
      </c>
      <c r="B47" s="29" t="s">
        <v>121</v>
      </c>
      <c r="C47" s="30">
        <v>0.0</v>
      </c>
      <c r="D47" s="31">
        <v>15.2395</v>
      </c>
      <c r="E47" s="32">
        <f>C47*D47</f>
        <v>0.0</v>
      </c>
      <c r="F47" s="33"/>
    </row>
    <row r="48" spans="8:8" ht="15.0">
      <c r="A48" s="4">
        <v>7.0</v>
      </c>
      <c r="B48" s="24" t="s">
        <v>60</v>
      </c>
      <c r="C48" s="25">
        <v>0.0</v>
      </c>
      <c r="D48" s="26">
        <v>29.6628</v>
      </c>
      <c r="E48" s="27">
        <f>C48*D48</f>
        <v>0.0</v>
      </c>
      <c r="F48" s="28"/>
    </row>
    <row r="49" spans="8:8" ht="15.0">
      <c r="A49" s="11">
        <v>8.0</v>
      </c>
      <c r="B49" s="29" t="s">
        <v>64</v>
      </c>
      <c r="C49" s="30">
        <v>7.5</v>
      </c>
      <c r="D49" s="31">
        <v>28.0338</v>
      </c>
      <c r="E49" s="32">
        <f>C49*D49</f>
        <v>210.2535</v>
      </c>
      <c r="F49" s="33"/>
    </row>
    <row r="50" spans="8:8" ht="15.0">
      <c r="A50" s="4">
        <v>9.0</v>
      </c>
      <c r="B50" s="24" t="s">
        <v>50</v>
      </c>
      <c r="C50" s="25">
        <v>19.5</v>
      </c>
      <c r="D50" s="26">
        <v>12.2593</v>
      </c>
      <c r="E50" s="27">
        <f>C50*D50</f>
        <v>239.05634999999998</v>
      </c>
      <c r="F50" s="28"/>
    </row>
    <row r="51" spans="8:8" ht="15.0">
      <c r="A51" s="11">
        <v>10.0</v>
      </c>
      <c r="B51" s="29" t="s">
        <v>42</v>
      </c>
      <c r="C51" s="30">
        <v>4.2</v>
      </c>
      <c r="D51" s="31">
        <v>2.0629</v>
      </c>
      <c r="E51" s="32">
        <f>C51*D51</f>
        <v>8.66418</v>
      </c>
      <c r="F51" s="33"/>
    </row>
    <row r="52" spans="8:8" ht="15.0">
      <c r="A52" s="4">
        <v>11.0</v>
      </c>
      <c r="B52" s="24" t="s">
        <v>29</v>
      </c>
      <c r="C52" s="25">
        <v>1.5</v>
      </c>
      <c r="D52" s="26">
        <v>161.8292</v>
      </c>
      <c r="E52" s="27">
        <f>C52*D52</f>
        <v>242.74379999999996</v>
      </c>
      <c r="F52" s="28"/>
    </row>
    <row r="53" spans="8:8" ht="15.0">
      <c r="A53" s="11">
        <v>12.0</v>
      </c>
      <c r="B53" s="29" t="s">
        <v>130</v>
      </c>
      <c r="C53" s="30">
        <v>0.0</v>
      </c>
      <c r="D53" s="31">
        <v>141.4698</v>
      </c>
      <c r="E53" s="32">
        <f>C53*D53</f>
        <v>0.0</v>
      </c>
      <c r="F53" s="33"/>
    </row>
    <row r="54" spans="8:8" ht="15.0">
      <c r="A54" s="4">
        <v>13.0</v>
      </c>
      <c r="B54" s="24" t="s">
        <v>41</v>
      </c>
      <c r="C54" s="25">
        <v>0.75</v>
      </c>
      <c r="D54" s="26">
        <v>75.4493</v>
      </c>
      <c r="E54" s="27">
        <f>C54*D54</f>
        <v>56.586974999999995</v>
      </c>
      <c r="F54" s="28"/>
    </row>
    <row r="55" spans="8:8" ht="15.0">
      <c r="A55" s="11">
        <v>14.0</v>
      </c>
      <c r="B55" s="29" t="s">
        <v>81</v>
      </c>
      <c r="C55" s="30">
        <v>1.5</v>
      </c>
      <c r="D55" s="31">
        <v>103.9958</v>
      </c>
      <c r="E55" s="32">
        <f>C55*D55</f>
        <v>155.9937</v>
      </c>
      <c r="F55" s="33"/>
    </row>
    <row r="56" spans="8:8" ht="15.0">
      <c r="A56" s="4">
        <v>15.0</v>
      </c>
      <c r="B56" s="24" t="s">
        <v>33</v>
      </c>
      <c r="C56" s="25">
        <v>0.0</v>
      </c>
      <c r="D56" s="26">
        <v>379.4943</v>
      </c>
      <c r="E56" s="27">
        <f>C56*D56</f>
        <v>0.0</v>
      </c>
      <c r="F56" s="28"/>
    </row>
    <row r="57" spans="8:8" ht="15.0">
      <c r="A57" s="11">
        <v>16.0</v>
      </c>
      <c r="B57" s="29" t="s">
        <v>85</v>
      </c>
      <c r="C57" s="30">
        <v>0.75</v>
      </c>
      <c r="D57" s="31">
        <v>140.0</v>
      </c>
      <c r="E57" s="32">
        <f>C57*D57</f>
        <v>105.0</v>
      </c>
      <c r="F57" s="33"/>
    </row>
    <row r="58" spans="8:8" ht="15.0">
      <c r="A58" s="4">
        <v>17.0</v>
      </c>
      <c r="B58" s="24" t="s">
        <v>131</v>
      </c>
      <c r="C58" s="25">
        <v>4.5</v>
      </c>
      <c r="D58" s="26">
        <v>24.0482</v>
      </c>
      <c r="E58" s="27">
        <f>C58*D58</f>
        <v>108.21690000000001</v>
      </c>
      <c r="F58" s="28"/>
    </row>
    <row r="59" spans="8:8" ht="15.0">
      <c r="A59" s="11">
        <v>18.0</v>
      </c>
      <c r="B59" s="29" t="s">
        <v>101</v>
      </c>
      <c r="C59" s="30">
        <v>0.38</v>
      </c>
      <c r="D59" s="31">
        <v>120.0</v>
      </c>
      <c r="E59" s="32">
        <f>C59*D59</f>
        <v>45.6</v>
      </c>
      <c r="F59" s="33"/>
    </row>
    <row r="60" spans="8:8" ht="15.0">
      <c r="A60" s="4">
        <v>19.0</v>
      </c>
      <c r="B60" s="24" t="s">
        <v>43</v>
      </c>
      <c r="C60" s="25">
        <v>0.689</v>
      </c>
      <c r="D60" s="26">
        <v>124.3103</v>
      </c>
      <c r="E60" s="27">
        <f>C60*D60</f>
        <v>85.6497967</v>
      </c>
      <c r="F60" s="28"/>
    </row>
    <row r="61" spans="8:8" ht="15.0">
      <c r="A61" s="11">
        <v>20.0</v>
      </c>
      <c r="B61" s="29" t="s">
        <v>132</v>
      </c>
      <c r="C61" s="30">
        <v>0.6</v>
      </c>
      <c r="D61" s="31">
        <v>132.8608</v>
      </c>
      <c r="E61" s="32">
        <f>C61*D61</f>
        <v>79.71648</v>
      </c>
      <c r="F61" s="33"/>
    </row>
    <row r="62" spans="8:8" ht="15.0">
      <c r="A62" s="4">
        <v>21.0</v>
      </c>
      <c r="B62" s="24" t="s">
        <v>133</v>
      </c>
      <c r="C62" s="25">
        <v>1.2</v>
      </c>
      <c r="D62" s="26">
        <v>69.5407</v>
      </c>
      <c r="E62" s="27">
        <f>C62*D62</f>
        <v>83.44884</v>
      </c>
      <c r="F62" s="28"/>
    </row>
    <row r="63" spans="8:8" ht="15.0">
      <c r="A63" s="11">
        <v>22.0</v>
      </c>
      <c r="B63" s="29" t="s">
        <v>134</v>
      </c>
      <c r="C63" s="30">
        <v>0.3</v>
      </c>
      <c r="D63" s="31">
        <v>285.0</v>
      </c>
      <c r="E63" s="32">
        <f>C63*D63</f>
        <v>85.5</v>
      </c>
      <c r="F63" s="33"/>
    </row>
    <row r="64" spans="8:8" ht="15.0">
      <c r="A64" s="4">
        <v>23.0</v>
      </c>
      <c r="B64" s="24" t="s">
        <v>135</v>
      </c>
      <c r="C64" s="25">
        <v>0.0</v>
      </c>
      <c r="D64" s="26">
        <v>304.2192</v>
      </c>
      <c r="E64" s="27">
        <f>C64*D64</f>
        <v>0.0</v>
      </c>
      <c r="F64" s="28"/>
    </row>
    <row r="65" spans="8:8" ht="15.0">
      <c r="A65" s="11">
        <v>24.0</v>
      </c>
      <c r="B65" s="29" t="s">
        <v>44</v>
      </c>
      <c r="C65" s="30">
        <v>0.04</v>
      </c>
      <c r="D65" s="31">
        <v>2919.2872</v>
      </c>
      <c r="E65" s="32">
        <f>C65*D65</f>
        <v>116.771488</v>
      </c>
      <c r="F65" s="33"/>
    </row>
    <row r="66" spans="8:8" ht="15.0">
      <c r="A66" s="44"/>
      <c r="B66" s="45" t="s">
        <v>67</v>
      </c>
      <c r="C66" s="46">
        <f>SUM(C42:C65)</f>
        <v>228.65899999999996</v>
      </c>
      <c r="D66" s="44"/>
      <c r="E66" s="47">
        <f>SUM(E42:E65)</f>
        <v>6351.646834700001</v>
      </c>
      <c r="F66" s="44"/>
    </row>
    <row r="67" spans="8:8" ht="15.0" customHeight="1">
      <c r="B67" s="48" t="s">
        <v>97</v>
      </c>
      <c r="C67" s="48"/>
      <c r="D67" s="48"/>
      <c r="E67" s="48"/>
      <c r="F67" s="48"/>
    </row>
    <row r="68" spans="8:8" ht="15.0">
      <c r="B68" s="49" t="s">
        <v>69</v>
      </c>
      <c r="D68" s="50">
        <f>E66/228.65888</f>
        <v>27.777827105162068</v>
      </c>
    </row>
    <row r="70" spans="8:8" ht="15.0" customHeight="1">
      <c r="A70" s="22" t="s">
        <v>70</v>
      </c>
      <c r="B70" s="22"/>
      <c r="C70" s="22"/>
      <c r="D70" s="22"/>
      <c r="E70" s="22"/>
      <c r="F70" s="22"/>
    </row>
    <row r="71" spans="8:8" ht="15.0">
      <c r="A71" s="51" t="s">
        <v>2</v>
      </c>
      <c r="B71" s="51" t="s">
        <v>71</v>
      </c>
      <c r="C71" s="51" t="s">
        <v>72</v>
      </c>
      <c r="D71" s="51" t="s">
        <v>73</v>
      </c>
      <c r="E71" s="51" t="s">
        <v>74</v>
      </c>
      <c r="F71" s="51" t="s">
        <v>75</v>
      </c>
    </row>
    <row r="72" spans="8:8" ht="15.0">
      <c r="A72" s="4">
        <v>1.0</v>
      </c>
      <c r="B72" s="24" t="s">
        <v>136</v>
      </c>
      <c r="C72" s="52">
        <v>0.3</v>
      </c>
      <c r="D72" s="27">
        <f>$D$68*C72</f>
        <v>8.33334813154862</v>
      </c>
      <c r="E72" s="53">
        <v>5.2</v>
      </c>
      <c r="F72" s="54">
        <f>D72+E72</f>
        <v>13.533348131548621</v>
      </c>
    </row>
    <row r="73" spans="8:8" ht="15.0">
      <c r="A73" s="11">
        <v>2.0</v>
      </c>
      <c r="B73" s="29" t="s">
        <v>137</v>
      </c>
      <c r="C73" s="55">
        <v>0.7</v>
      </c>
      <c r="D73" s="32">
        <f>$D$68*C73</f>
        <v>19.444478973613446</v>
      </c>
      <c r="E73" s="56">
        <v>7.2</v>
      </c>
      <c r="F73" s="57">
        <f>D73+E73</f>
        <v>26.6444789736134</v>
      </c>
    </row>
    <row r="74" spans="8:8" ht="15.0">
      <c r="A74" s="4">
        <v>3.0</v>
      </c>
      <c r="B74" s="24" t="s">
        <v>138</v>
      </c>
      <c r="C74" s="52">
        <v>5.0</v>
      </c>
      <c r="D74" s="27">
        <f>$D$68*C74</f>
        <v>138.88913552581033</v>
      </c>
      <c r="E74" s="53">
        <v>14.0</v>
      </c>
      <c r="F74" s="54">
        <f>D74+E74</f>
        <v>152.88913552581</v>
      </c>
    </row>
    <row r="77" spans="8:8" ht="21.75" customHeight="1">
      <c r="A77" s="21" t="s">
        <v>16</v>
      </c>
      <c r="B77" s="21"/>
      <c r="C77" s="21"/>
      <c r="D77" s="21"/>
      <c r="E77" s="21"/>
      <c r="F77" s="21"/>
    </row>
    <row r="78" spans="8:8" ht="15.0" customHeight="1">
      <c r="A78" s="22" t="s">
        <v>48</v>
      </c>
      <c r="B78" s="22"/>
      <c r="C78" s="22"/>
      <c r="D78" s="22"/>
      <c r="E78" s="22"/>
      <c r="F78" s="22"/>
    </row>
    <row r="79" spans="8:8" ht="15.0">
      <c r="A79" s="23" t="s">
        <v>2</v>
      </c>
      <c r="B79" s="23" t="s">
        <v>24</v>
      </c>
      <c r="C79" s="23" t="s">
        <v>25</v>
      </c>
      <c r="D79" s="23" t="s">
        <v>26</v>
      </c>
      <c r="E79" s="23" t="s">
        <v>27</v>
      </c>
      <c r="F79" s="23" t="s">
        <v>28</v>
      </c>
    </row>
    <row r="80" spans="8:8" ht="15.0">
      <c r="A80" s="4">
        <v>1.0</v>
      </c>
      <c r="B80" s="24" t="s">
        <v>117</v>
      </c>
      <c r="C80" s="25">
        <v>90.0</v>
      </c>
      <c r="D80" s="26">
        <v>34.726</v>
      </c>
      <c r="E80" s="27">
        <f>C80*D80</f>
        <v>3125.34</v>
      </c>
      <c r="F80" s="28"/>
    </row>
    <row r="81" spans="8:8" ht="15.0">
      <c r="A81" s="11">
        <v>2.0</v>
      </c>
      <c r="B81" s="29" t="s">
        <v>51</v>
      </c>
      <c r="C81" s="30">
        <v>60.0</v>
      </c>
      <c r="D81" s="31">
        <v>39.9513</v>
      </c>
      <c r="E81" s="32">
        <f>C81*D81</f>
        <v>2397.0780000000004</v>
      </c>
      <c r="F81" s="33"/>
    </row>
    <row r="82" spans="8:8" ht="15.0">
      <c r="A82" s="4">
        <v>3.0</v>
      </c>
      <c r="B82" s="24" t="s">
        <v>53</v>
      </c>
      <c r="C82" s="25">
        <v>15.0</v>
      </c>
      <c r="D82" s="4" t="s">
        <v>37</v>
      </c>
      <c r="E82" s="27">
        <v>0.0</v>
      </c>
      <c r="F82" s="41" t="s">
        <v>54</v>
      </c>
    </row>
    <row r="83" spans="8:8" ht="15.0">
      <c r="A83" s="11">
        <v>4.0</v>
      </c>
      <c r="B83" s="29" t="s">
        <v>56</v>
      </c>
      <c r="C83" s="30">
        <v>27.0</v>
      </c>
      <c r="D83" s="31">
        <v>39.4433</v>
      </c>
      <c r="E83" s="32">
        <f>C83*D83</f>
        <v>1064.9691</v>
      </c>
      <c r="F83" s="34" t="s">
        <v>57</v>
      </c>
    </row>
    <row r="84" spans="8:8" ht="15.0">
      <c r="A84" s="4">
        <v>5.0</v>
      </c>
      <c r="B84" s="24" t="s">
        <v>118</v>
      </c>
      <c r="C84" s="25">
        <v>15.0</v>
      </c>
      <c r="D84" s="26">
        <v>13.0</v>
      </c>
      <c r="E84" s="27">
        <f>C84*D84</f>
        <v>195.0</v>
      </c>
      <c r="F84" s="28"/>
    </row>
    <row r="85" spans="8:8" ht="15.0">
      <c r="A85" s="11">
        <v>6.0</v>
      </c>
      <c r="B85" s="29" t="s">
        <v>59</v>
      </c>
      <c r="C85" s="30">
        <v>15.0</v>
      </c>
      <c r="D85" s="31">
        <v>21.3641</v>
      </c>
      <c r="E85" s="32">
        <f>C85*D85</f>
        <v>320.4615</v>
      </c>
      <c r="F85" s="33"/>
    </row>
    <row r="86" spans="8:8" ht="15.0">
      <c r="A86" s="4">
        <v>7.0</v>
      </c>
      <c r="B86" s="24" t="s">
        <v>64</v>
      </c>
      <c r="C86" s="25">
        <v>15.0</v>
      </c>
      <c r="D86" s="26">
        <v>28.0338</v>
      </c>
      <c r="E86" s="27">
        <f>C86*D86</f>
        <v>420.507</v>
      </c>
      <c r="F86" s="28"/>
    </row>
    <row r="87" spans="8:8" ht="15.0">
      <c r="A87" s="11">
        <v>8.0</v>
      </c>
      <c r="B87" s="29" t="s">
        <v>50</v>
      </c>
      <c r="C87" s="30">
        <v>30.0</v>
      </c>
      <c r="D87" s="31">
        <v>12.2593</v>
      </c>
      <c r="E87" s="32">
        <f>C87*D87</f>
        <v>367.779</v>
      </c>
      <c r="F87" s="33"/>
    </row>
    <row r="88" spans="8:8" ht="15.0">
      <c r="A88" s="4">
        <v>9.0</v>
      </c>
      <c r="B88" s="24" t="s">
        <v>121</v>
      </c>
      <c r="C88" s="25">
        <v>19.5</v>
      </c>
      <c r="D88" s="26">
        <v>15.2395</v>
      </c>
      <c r="E88" s="27">
        <f>C88*D88</f>
        <v>297.17025</v>
      </c>
      <c r="F88" s="28"/>
    </row>
    <row r="89" spans="8:8" ht="15.0">
      <c r="A89" s="11">
        <v>10.0</v>
      </c>
      <c r="B89" s="29" t="s">
        <v>109</v>
      </c>
      <c r="C89" s="30">
        <v>60.0</v>
      </c>
      <c r="D89" s="11" t="s">
        <v>37</v>
      </c>
      <c r="E89" s="32">
        <v>0.0</v>
      </c>
      <c r="F89" s="43" t="s">
        <v>62</v>
      </c>
    </row>
    <row r="90" spans="8:8" ht="15.0">
      <c r="A90" s="4">
        <v>11.0</v>
      </c>
      <c r="B90" s="24" t="s">
        <v>81</v>
      </c>
      <c r="C90" s="25">
        <v>1.2</v>
      </c>
      <c r="D90" s="26">
        <v>103.9958</v>
      </c>
      <c r="E90" s="27">
        <f>C90*D90</f>
        <v>124.79496</v>
      </c>
      <c r="F90" s="28"/>
    </row>
    <row r="91" spans="8:8" ht="15.0">
      <c r="A91" s="11">
        <v>12.0</v>
      </c>
      <c r="B91" s="29" t="s">
        <v>139</v>
      </c>
      <c r="C91" s="30">
        <v>4.5</v>
      </c>
      <c r="D91" s="31">
        <v>179.7674</v>
      </c>
      <c r="E91" s="32">
        <f>C91*D91</f>
        <v>808.9533</v>
      </c>
      <c r="F91" s="33"/>
    </row>
    <row r="92" spans="8:8" ht="15.0">
      <c r="A92" s="4">
        <v>13.0</v>
      </c>
      <c r="B92" s="24" t="s">
        <v>34</v>
      </c>
      <c r="C92" s="25">
        <v>0.75</v>
      </c>
      <c r="D92" s="26">
        <v>69.5407</v>
      </c>
      <c r="E92" s="27">
        <f>C92*D92</f>
        <v>52.155525</v>
      </c>
      <c r="F92" s="28"/>
    </row>
    <row r="93" spans="8:8" ht="15.0">
      <c r="A93" s="11">
        <v>14.0</v>
      </c>
      <c r="B93" s="29" t="s">
        <v>86</v>
      </c>
      <c r="C93" s="30">
        <v>0.0</v>
      </c>
      <c r="D93" s="31">
        <v>562.2756</v>
      </c>
      <c r="E93" s="32">
        <f>C93*D93</f>
        <v>0.0</v>
      </c>
      <c r="F93" s="33"/>
    </row>
    <row r="94" spans="8:8" ht="15.0">
      <c r="A94" s="4">
        <v>15.0</v>
      </c>
      <c r="B94" s="24" t="s">
        <v>39</v>
      </c>
      <c r="C94" s="25">
        <v>0.0</v>
      </c>
      <c r="D94" s="26">
        <v>550.0</v>
      </c>
      <c r="E94" s="27">
        <f>C94*D94</f>
        <v>0.0</v>
      </c>
      <c r="F94" s="28"/>
    </row>
    <row r="95" spans="8:8" ht="15.0">
      <c r="A95" s="11">
        <v>16.0</v>
      </c>
      <c r="B95" s="29" t="s">
        <v>40</v>
      </c>
      <c r="C95" s="30">
        <v>0.0</v>
      </c>
      <c r="D95" s="31">
        <v>132.8608</v>
      </c>
      <c r="E95" s="32">
        <f>C95*D95</f>
        <v>0.0</v>
      </c>
      <c r="F95" s="33"/>
    </row>
    <row r="96" spans="8:8" ht="15.0">
      <c r="A96" s="4">
        <v>17.0</v>
      </c>
      <c r="B96" s="24" t="s">
        <v>29</v>
      </c>
      <c r="C96" s="25">
        <v>1.8</v>
      </c>
      <c r="D96" s="26">
        <v>161.8292</v>
      </c>
      <c r="E96" s="27">
        <f>C96*D96</f>
        <v>291.29256</v>
      </c>
      <c r="F96" s="28"/>
    </row>
    <row r="97" spans="8:8" ht="15.0">
      <c r="A97" s="11">
        <v>18.0</v>
      </c>
      <c r="B97" s="29" t="s">
        <v>43</v>
      </c>
      <c r="C97" s="30">
        <v>0.0</v>
      </c>
      <c r="D97" s="31">
        <v>124.3103</v>
      </c>
      <c r="E97" s="32">
        <f>C97*D97</f>
        <v>0.0</v>
      </c>
      <c r="F97" s="33"/>
    </row>
    <row r="98" spans="8:8" ht="15.0">
      <c r="A98" s="4">
        <v>19.0</v>
      </c>
      <c r="B98" s="24" t="s">
        <v>125</v>
      </c>
      <c r="C98" s="25">
        <v>0.15</v>
      </c>
      <c r="D98" s="26">
        <v>75.4493</v>
      </c>
      <c r="E98" s="27">
        <f>C98*D98</f>
        <v>11.317395</v>
      </c>
      <c r="F98" s="28"/>
    </row>
    <row r="99" spans="8:8" ht="15.0">
      <c r="A99" s="11">
        <v>20.0</v>
      </c>
      <c r="B99" s="29" t="s">
        <v>42</v>
      </c>
      <c r="C99" s="30">
        <v>5.1</v>
      </c>
      <c r="D99" s="31">
        <v>2.0629</v>
      </c>
      <c r="E99" s="32">
        <f>C99*D99</f>
        <v>10.52079</v>
      </c>
      <c r="F99" s="33"/>
    </row>
    <row r="100" spans="8:8" ht="15.0">
      <c r="A100" s="4">
        <v>21.0</v>
      </c>
      <c r="B100" s="24" t="s">
        <v>33</v>
      </c>
      <c r="C100" s="25">
        <v>1.5</v>
      </c>
      <c r="D100" s="26">
        <v>379.4943</v>
      </c>
      <c r="E100" s="27">
        <f>C100*D100</f>
        <v>569.24145</v>
      </c>
      <c r="F100" s="28"/>
    </row>
    <row r="101" spans="8:8" ht="15.0">
      <c r="A101" s="11">
        <v>22.0</v>
      </c>
      <c r="B101" s="29" t="s">
        <v>126</v>
      </c>
      <c r="C101" s="30">
        <v>0.12</v>
      </c>
      <c r="D101" s="31">
        <v>1351.717</v>
      </c>
      <c r="E101" s="32">
        <f>C101*D101</f>
        <v>162.20604</v>
      </c>
      <c r="F101" s="33"/>
    </row>
    <row r="102" spans="8:8" ht="15.0">
      <c r="A102" s="4">
        <v>23.0</v>
      </c>
      <c r="B102" s="24" t="s">
        <v>140</v>
      </c>
      <c r="C102" s="25">
        <v>0.3</v>
      </c>
      <c r="D102" s="26">
        <v>141.4698</v>
      </c>
      <c r="E102" s="27">
        <f>C102*D102</f>
        <v>42.44094</v>
      </c>
      <c r="F102" s="28"/>
    </row>
    <row r="103" spans="8:8" ht="15.0">
      <c r="A103" s="11">
        <v>24.0</v>
      </c>
      <c r="B103" s="29" t="s">
        <v>83</v>
      </c>
      <c r="C103" s="30">
        <v>0.75</v>
      </c>
      <c r="D103" s="31">
        <v>295.0</v>
      </c>
      <c r="E103" s="32">
        <f>C103*D103</f>
        <v>221.25</v>
      </c>
      <c r="F103" s="33"/>
    </row>
    <row r="104" spans="8:8" ht="15.0">
      <c r="A104" s="4">
        <v>25.0</v>
      </c>
      <c r="B104" s="24" t="s">
        <v>82</v>
      </c>
      <c r="C104" s="25">
        <v>0.75</v>
      </c>
      <c r="D104" s="26">
        <v>176.03</v>
      </c>
      <c r="E104" s="27">
        <f>C104*D104</f>
        <v>132.0225</v>
      </c>
      <c r="F104" s="28"/>
    </row>
    <row r="105" spans="8:8" ht="15.0">
      <c r="A105" s="11">
        <v>26.0</v>
      </c>
      <c r="B105" s="29" t="s">
        <v>87</v>
      </c>
      <c r="C105" s="30">
        <v>1.2</v>
      </c>
      <c r="D105" s="31">
        <v>291.2467</v>
      </c>
      <c r="E105" s="32">
        <f>C105*D105</f>
        <v>349.49603999999994</v>
      </c>
      <c r="F105" s="33"/>
    </row>
    <row r="106" spans="8:8" ht="15.0">
      <c r="A106" s="4">
        <v>27.0</v>
      </c>
      <c r="B106" s="24" t="s">
        <v>84</v>
      </c>
      <c r="C106" s="25">
        <v>0.75</v>
      </c>
      <c r="D106" s="26">
        <v>304.2192</v>
      </c>
      <c r="E106" s="27">
        <f>C106*D106</f>
        <v>228.1644</v>
      </c>
      <c r="F106" s="28"/>
    </row>
    <row r="107" spans="8:8" ht="15.0">
      <c r="A107" s="11">
        <v>28.0</v>
      </c>
      <c r="B107" s="29" t="s">
        <v>141</v>
      </c>
      <c r="C107" s="30">
        <v>0.03</v>
      </c>
      <c r="D107" s="31">
        <v>2919.2872</v>
      </c>
      <c r="E107" s="32">
        <f>C107*D107</f>
        <v>87.578616</v>
      </c>
      <c r="F107" s="33"/>
    </row>
    <row r="108" spans="8:8" ht="15.0">
      <c r="A108" s="44"/>
      <c r="B108" s="45" t="s">
        <v>67</v>
      </c>
      <c r="C108" s="46">
        <f>SUM(C80:C107)</f>
        <v>365.4</v>
      </c>
      <c r="D108" s="44"/>
      <c r="E108" s="47">
        <f>SUM(E80:E107)</f>
        <v>11279.739366</v>
      </c>
      <c r="F108" s="44"/>
    </row>
    <row r="109" spans="8:8" ht="15.0" customHeight="1">
      <c r="B109" s="48" t="s">
        <v>97</v>
      </c>
      <c r="C109" s="48"/>
      <c r="D109" s="48"/>
      <c r="E109" s="48"/>
      <c r="F109" s="48"/>
    </row>
    <row r="110" spans="8:8" ht="15.0">
      <c r="B110" s="49" t="s">
        <v>69</v>
      </c>
      <c r="D110" s="50">
        <f>E108/365.4</f>
        <v>30.869565862068967</v>
      </c>
    </row>
    <row r="112" spans="8:8" ht="15.0" customHeight="1">
      <c r="A112" s="22" t="s">
        <v>70</v>
      </c>
      <c r="B112" s="22"/>
      <c r="C112" s="22"/>
      <c r="D112" s="22"/>
      <c r="E112" s="22"/>
      <c r="F112" s="22"/>
    </row>
    <row r="113" spans="8:8" ht="15.0">
      <c r="A113" s="51" t="s">
        <v>2</v>
      </c>
      <c r="B113" s="51" t="s">
        <v>71</v>
      </c>
      <c r="C113" s="51" t="s">
        <v>72</v>
      </c>
      <c r="D113" s="51" t="s">
        <v>73</v>
      </c>
      <c r="E113" s="51" t="s">
        <v>74</v>
      </c>
      <c r="F113" s="51" t="s">
        <v>75</v>
      </c>
    </row>
    <row r="114" spans="8:8" ht="15.0">
      <c r="A114" s="4">
        <v>1.0</v>
      </c>
      <c r="B114" s="24" t="s">
        <v>142</v>
      </c>
      <c r="C114" s="52">
        <v>0.35</v>
      </c>
      <c r="D114" s="27">
        <f>$D$110*C114</f>
        <v>10.804348051724137</v>
      </c>
      <c r="E114" s="53">
        <v>5.5</v>
      </c>
      <c r="F114" s="54">
        <f>D114+E114</f>
        <v>16.304348051724098</v>
      </c>
    </row>
    <row r="115" spans="8:8" ht="15.0">
      <c r="A115" s="11">
        <v>2.0</v>
      </c>
      <c r="B115" s="29" t="s">
        <v>143</v>
      </c>
      <c r="C115" s="55">
        <v>0.9</v>
      </c>
      <c r="D115" s="32">
        <f>$D$110*C115</f>
        <v>27.78260927586207</v>
      </c>
      <c r="E115" s="56">
        <v>7.2</v>
      </c>
      <c r="F115" s="57">
        <f>D115+E115</f>
        <v>34.9826092758621</v>
      </c>
    </row>
  </sheetData>
  <mergeCells count="13">
    <mergeCell ref="A1:F1"/>
    <mergeCell ref="B67:F67"/>
    <mergeCell ref="A40:F40"/>
    <mergeCell ref="A39:F39"/>
    <mergeCell ref="A33:F33"/>
    <mergeCell ref="B30:F30"/>
    <mergeCell ref="A4:F4"/>
    <mergeCell ref="A70:F70"/>
    <mergeCell ref="A3:F3"/>
    <mergeCell ref="A77:F77"/>
    <mergeCell ref="A78:F78"/>
    <mergeCell ref="B109:F109"/>
    <mergeCell ref="A112:F112"/>
  </mergeCells>
  <pageMargins left="0.75" right="0.75" top="1.0" bottom="1.0" header="0.511811023622047" footer="0.511811023622047"/>
  <pageSetup paperSize="9"/>
</worksheet>
</file>

<file path=xl/worksheets/sheet4.xml><?xml version="1.0" encoding="utf-8"?>
<worksheet xmlns:r="http://schemas.openxmlformats.org/officeDocument/2006/relationships" xmlns="http://schemas.openxmlformats.org/spreadsheetml/2006/main">
  <dimension ref="A1:G113"/>
  <sheetViews>
    <sheetView workbookViewId="0" rightToLeft="1">
      <pane ySplit="1" topLeftCell="A35" state="frozen" activePane="bottomLeft"/>
      <selection pane="bottomLeft" activeCell="A66" sqref="A66:XFD66"/>
    </sheetView>
  </sheetViews>
  <sheetFormatPr defaultRowHeight="15.0" zeroHeight="1"/>
  <cols>
    <col min="1" max="1" customWidth="1" width="4.0" style="0"/>
    <col min="2" max="2" customWidth="1" width="26.0" style="0"/>
    <col min="3" max="3" customWidth="1" width="13.0" style="0"/>
    <col min="4" max="4" customWidth="1" width="16.0" style="0"/>
    <col min="5" max="5" customWidth="1" width="14.0" style="0"/>
    <col min="6" max="6" customWidth="1" width="42.0" style="0"/>
  </cols>
  <sheetData>
    <row r="1" spans="8:8" ht="24.0" customHeight="1">
      <c r="A1" s="21" t="s">
        <v>144</v>
      </c>
      <c r="B1" s="21"/>
      <c r="C1" s="21"/>
      <c r="D1" s="21"/>
      <c r="E1" s="21"/>
      <c r="F1" s="21"/>
    </row>
    <row r="3" spans="8:8" ht="21.75" customHeight="1">
      <c r="A3" s="21" t="s">
        <v>17</v>
      </c>
      <c r="B3" s="21"/>
      <c r="C3" s="21"/>
      <c r="D3" s="21"/>
      <c r="E3" s="21"/>
      <c r="F3" s="21"/>
    </row>
    <row r="4" spans="8:8" ht="15.0" customHeight="1">
      <c r="A4" s="22" t="s">
        <v>48</v>
      </c>
      <c r="B4" s="22"/>
      <c r="C4" s="22"/>
      <c r="D4" s="22"/>
      <c r="E4" s="22"/>
      <c r="F4" s="22"/>
    </row>
    <row r="5" spans="8:8" ht="15.0">
      <c r="A5" s="23" t="s">
        <v>2</v>
      </c>
      <c r="B5" s="23" t="s">
        <v>24</v>
      </c>
      <c r="C5" s="23" t="s">
        <v>25</v>
      </c>
      <c r="D5" s="23" t="s">
        <v>26</v>
      </c>
      <c r="E5" s="23" t="s">
        <v>27</v>
      </c>
      <c r="F5" s="23" t="s">
        <v>28</v>
      </c>
    </row>
    <row r="6" spans="8:8" ht="15.0">
      <c r="A6" s="4">
        <v>1.0</v>
      </c>
      <c r="B6" s="24" t="s">
        <v>117</v>
      </c>
      <c r="C6" s="25">
        <v>60.0</v>
      </c>
      <c r="D6" s="26">
        <v>34.726</v>
      </c>
      <c r="E6" s="27">
        <f>C6*D6</f>
        <v>2083.56</v>
      </c>
      <c r="F6" s="28"/>
    </row>
    <row r="7" spans="8:8" ht="15.0">
      <c r="A7" s="11">
        <v>2.0</v>
      </c>
      <c r="B7" s="29" t="s">
        <v>51</v>
      </c>
      <c r="C7" s="30">
        <v>27.0</v>
      </c>
      <c r="D7" s="31">
        <v>39.9513</v>
      </c>
      <c r="E7" s="32">
        <f>C7*D7</f>
        <v>1078.6851000000001</v>
      </c>
      <c r="F7" s="33"/>
    </row>
    <row r="8" spans="8:8" ht="15.0">
      <c r="A8" s="4">
        <v>3.0</v>
      </c>
      <c r="B8" s="24" t="s">
        <v>53</v>
      </c>
      <c r="C8" s="25">
        <v>0.0</v>
      </c>
      <c r="D8" s="4" t="s">
        <v>37</v>
      </c>
      <c r="E8" s="27">
        <v>0.0</v>
      </c>
      <c r="F8" s="41" t="s">
        <v>54</v>
      </c>
    </row>
    <row r="9" spans="8:8" ht="15.0">
      <c r="A9" s="11">
        <v>4.0</v>
      </c>
      <c r="B9" s="29" t="s">
        <v>56</v>
      </c>
      <c r="C9" s="30">
        <v>15.0</v>
      </c>
      <c r="D9" s="31">
        <v>39.4433</v>
      </c>
      <c r="E9" s="32">
        <f>C9*D9</f>
        <v>591.6495</v>
      </c>
      <c r="F9" s="34" t="s">
        <v>57</v>
      </c>
    </row>
    <row r="10" spans="8:8" ht="15.0">
      <c r="A10" s="4">
        <v>5.0</v>
      </c>
      <c r="B10" s="24" t="s">
        <v>59</v>
      </c>
      <c r="C10" s="25">
        <v>22.5</v>
      </c>
      <c r="D10" s="26">
        <v>21.3641</v>
      </c>
      <c r="E10" s="27">
        <f>C10*D10</f>
        <v>480.69225</v>
      </c>
      <c r="F10" s="28"/>
    </row>
    <row r="11" spans="8:8" ht="15.0">
      <c r="A11" s="11">
        <v>6.0</v>
      </c>
      <c r="B11" s="29" t="s">
        <v>60</v>
      </c>
      <c r="C11" s="30">
        <v>0.0</v>
      </c>
      <c r="D11" s="31">
        <v>29.6628</v>
      </c>
      <c r="E11" s="32">
        <f>C11*D11</f>
        <v>0.0</v>
      </c>
      <c r="F11" s="33"/>
    </row>
    <row r="12" spans="8:8" ht="15.0">
      <c r="A12" s="4">
        <v>7.0</v>
      </c>
      <c r="B12" s="24" t="s">
        <v>55</v>
      </c>
      <c r="C12" s="25">
        <v>7.5</v>
      </c>
      <c r="D12" s="26">
        <v>24.0482</v>
      </c>
      <c r="E12" s="27">
        <f>C12*D12</f>
        <v>180.3615</v>
      </c>
      <c r="F12" s="28"/>
    </row>
    <row r="13" spans="8:8" ht="15.0">
      <c r="A13" s="11">
        <v>8.0</v>
      </c>
      <c r="B13" s="29" t="s">
        <v>121</v>
      </c>
      <c r="C13" s="30">
        <v>21.0</v>
      </c>
      <c r="D13" s="31">
        <v>15.2395</v>
      </c>
      <c r="E13" s="32">
        <f>C13*D13</f>
        <v>320.0295</v>
      </c>
      <c r="F13" s="33"/>
    </row>
    <row r="14" spans="8:8" ht="15.0">
      <c r="A14" s="4">
        <v>9.0</v>
      </c>
      <c r="B14" s="24" t="s">
        <v>109</v>
      </c>
      <c r="C14" s="25">
        <v>67.5</v>
      </c>
      <c r="D14" s="4" t="s">
        <v>37</v>
      </c>
      <c r="E14" s="27">
        <v>0.0</v>
      </c>
      <c r="F14" s="41" t="s">
        <v>62</v>
      </c>
    </row>
    <row r="15" spans="8:8" ht="15.0">
      <c r="A15" s="11">
        <v>10.0</v>
      </c>
      <c r="B15" s="29" t="s">
        <v>81</v>
      </c>
      <c r="C15" s="30">
        <v>0.9</v>
      </c>
      <c r="D15" s="31">
        <v>103.9958</v>
      </c>
      <c r="E15" s="32">
        <f>C15*D15</f>
        <v>93.59622</v>
      </c>
      <c r="F15" s="33"/>
    </row>
    <row r="16" spans="8:8" ht="15.0">
      <c r="A16" s="4">
        <v>11.0</v>
      </c>
      <c r="B16" s="24" t="s">
        <v>141</v>
      </c>
      <c r="C16" s="25">
        <v>0.0</v>
      </c>
      <c r="D16" s="26">
        <v>2919.2872</v>
      </c>
      <c r="E16" s="27">
        <f>C16*D16</f>
        <v>0.0</v>
      </c>
      <c r="F16" s="28"/>
    </row>
    <row r="17" spans="8:8" ht="15.0">
      <c r="A17" s="11">
        <v>12.0</v>
      </c>
      <c r="B17" s="29" t="s">
        <v>34</v>
      </c>
      <c r="C17" s="30">
        <v>0.0</v>
      </c>
      <c r="D17" s="31">
        <v>69.5407</v>
      </c>
      <c r="E17" s="32">
        <f>C17*D17</f>
        <v>0.0</v>
      </c>
      <c r="F17" s="33"/>
    </row>
    <row r="18" spans="8:8" ht="15.0">
      <c r="A18" s="4">
        <v>13.0</v>
      </c>
      <c r="B18" s="24" t="s">
        <v>86</v>
      </c>
      <c r="C18" s="25">
        <v>0.0</v>
      </c>
      <c r="D18" s="26">
        <v>562.2756</v>
      </c>
      <c r="E18" s="27">
        <f>C18*D18</f>
        <v>0.0</v>
      </c>
      <c r="F18" s="28"/>
    </row>
    <row r="19" spans="8:8" ht="15.0">
      <c r="A19" s="11">
        <v>14.0</v>
      </c>
      <c r="B19" s="29" t="s">
        <v>39</v>
      </c>
      <c r="C19" s="30">
        <v>0.15</v>
      </c>
      <c r="D19" s="31">
        <v>550.0</v>
      </c>
      <c r="E19" s="32">
        <f>C19*D19</f>
        <v>82.5</v>
      </c>
      <c r="F19" s="33"/>
    </row>
    <row r="20" spans="8:8" ht="15.0">
      <c r="A20" s="4">
        <v>15.0</v>
      </c>
      <c r="B20" s="24" t="s">
        <v>40</v>
      </c>
      <c r="C20" s="25">
        <v>0.24</v>
      </c>
      <c r="D20" s="26">
        <v>132.8608</v>
      </c>
      <c r="E20" s="27">
        <f>C20*D20</f>
        <v>31.886592</v>
      </c>
      <c r="F20" s="28"/>
    </row>
    <row r="21" spans="8:8" ht="15.0">
      <c r="A21" s="11">
        <v>16.0</v>
      </c>
      <c r="B21" s="29" t="s">
        <v>29</v>
      </c>
      <c r="C21" s="30">
        <v>0.15</v>
      </c>
      <c r="D21" s="31">
        <v>161.8292</v>
      </c>
      <c r="E21" s="32">
        <f>C21*D21</f>
        <v>24.274379999999997</v>
      </c>
      <c r="F21" s="33"/>
    </row>
    <row r="22" spans="8:8" ht="15.0">
      <c r="A22" s="4">
        <v>17.0</v>
      </c>
      <c r="B22" s="24" t="s">
        <v>43</v>
      </c>
      <c r="C22" s="25">
        <v>0.12</v>
      </c>
      <c r="D22" s="26">
        <v>124.3103</v>
      </c>
      <c r="E22" s="27">
        <f>C22*D22</f>
        <v>14.917235999999999</v>
      </c>
      <c r="F22" s="28"/>
    </row>
    <row r="23" spans="8:8" ht="15.0">
      <c r="A23" s="11">
        <v>18.0</v>
      </c>
      <c r="B23" s="29" t="s">
        <v>125</v>
      </c>
      <c r="C23" s="30">
        <v>0.42</v>
      </c>
      <c r="D23" s="31">
        <v>75.4493</v>
      </c>
      <c r="E23" s="32">
        <f>C23*D23</f>
        <v>31.688705999999996</v>
      </c>
      <c r="F23" s="33"/>
    </row>
    <row r="24" spans="8:8" ht="15.0">
      <c r="A24" s="4">
        <v>19.0</v>
      </c>
      <c r="B24" s="24" t="s">
        <v>42</v>
      </c>
      <c r="C24" s="25">
        <v>4.2</v>
      </c>
      <c r="D24" s="26">
        <v>2.0629</v>
      </c>
      <c r="E24" s="27">
        <f>C24*D24</f>
        <v>8.66418</v>
      </c>
      <c r="F24" s="28"/>
    </row>
    <row r="25" spans="8:8" ht="15.0">
      <c r="A25" s="11">
        <v>20.0</v>
      </c>
      <c r="B25" s="29" t="s">
        <v>145</v>
      </c>
      <c r="C25" s="30">
        <v>0.3</v>
      </c>
      <c r="D25" s="31">
        <v>143.0618</v>
      </c>
      <c r="E25" s="32">
        <f>C25*D25</f>
        <v>42.91854</v>
      </c>
      <c r="F25" s="33"/>
    </row>
    <row r="26" spans="8:8" ht="15.0">
      <c r="A26" s="4">
        <v>21.0</v>
      </c>
      <c r="B26" s="24" t="s">
        <v>146</v>
      </c>
      <c r="C26" s="25">
        <v>0.0</v>
      </c>
      <c r="D26" s="26">
        <v>251.5284</v>
      </c>
      <c r="E26" s="27">
        <f>C26*D26</f>
        <v>0.0</v>
      </c>
      <c r="F26" s="28"/>
    </row>
    <row r="27" spans="8:8" ht="15.0">
      <c r="A27" s="11">
        <v>22.0</v>
      </c>
      <c r="B27" s="29" t="s">
        <v>140</v>
      </c>
      <c r="C27" s="30">
        <v>0.0</v>
      </c>
      <c r="D27" s="31">
        <v>141.4698</v>
      </c>
      <c r="E27" s="32">
        <f>C27*D27</f>
        <v>0.0</v>
      </c>
      <c r="F27" s="33"/>
    </row>
    <row r="28" spans="8:8" ht="15.0">
      <c r="A28" s="4">
        <v>23.0</v>
      </c>
      <c r="B28" s="24" t="s">
        <v>87</v>
      </c>
      <c r="C28" s="25">
        <v>0.15</v>
      </c>
      <c r="D28" s="26">
        <v>291.2467</v>
      </c>
      <c r="E28" s="27">
        <f>C28*D28</f>
        <v>43.68700499999999</v>
      </c>
      <c r="F28" s="28"/>
    </row>
    <row r="29" spans="8:8" ht="15.0">
      <c r="A29" s="11">
        <v>24.0</v>
      </c>
      <c r="B29" s="29" t="s">
        <v>84</v>
      </c>
      <c r="C29" s="30">
        <v>0.03</v>
      </c>
      <c r="D29" s="31">
        <v>304.2192</v>
      </c>
      <c r="E29" s="32">
        <f>C29*D29</f>
        <v>9.126576</v>
      </c>
      <c r="F29" s="33"/>
    </row>
    <row r="30" spans="8:8" ht="15.0">
      <c r="A30" s="4">
        <v>25.0</v>
      </c>
      <c r="B30" s="24" t="s">
        <v>147</v>
      </c>
      <c r="C30" s="25">
        <v>0.1</v>
      </c>
      <c r="D30" s="26">
        <v>2919.2872</v>
      </c>
      <c r="E30" s="27">
        <f>C30*D30</f>
        <v>291.92872000000006</v>
      </c>
      <c r="F30" s="28"/>
    </row>
    <row r="31" spans="8:8" ht="15.0">
      <c r="A31" s="44"/>
      <c r="B31" s="45" t="s">
        <v>67</v>
      </c>
      <c r="C31" s="46">
        <f>SUM(C6:C30)</f>
        <v>227.26000000000002</v>
      </c>
      <c r="D31" s="44"/>
      <c r="E31" s="47">
        <f>SUM(E6:E30)</f>
        <v>5410.166004999998</v>
      </c>
      <c r="F31" s="44"/>
    </row>
    <row r="32" spans="8:8" ht="15.0" customHeight="1">
      <c r="B32" s="48" t="s">
        <v>97</v>
      </c>
      <c r="C32" s="48"/>
      <c r="D32" s="48"/>
      <c r="E32" s="48"/>
      <c r="F32" s="48"/>
    </row>
    <row r="33" spans="8:8" ht="15.0">
      <c r="B33" s="49" t="s">
        <v>69</v>
      </c>
      <c r="D33" s="50">
        <f>E31/227.26</f>
        <v>23.80606356155944</v>
      </c>
    </row>
    <row r="35" spans="8:8" ht="15.0" customHeight="1">
      <c r="A35" s="22" t="s">
        <v>70</v>
      </c>
      <c r="B35" s="22"/>
      <c r="C35" s="22"/>
      <c r="D35" s="22"/>
      <c r="E35" s="22"/>
      <c r="F35" s="22"/>
    </row>
    <row r="36" spans="8:8" ht="15.0">
      <c r="A36" s="51" t="s">
        <v>2</v>
      </c>
      <c r="B36" s="51" t="s">
        <v>71</v>
      </c>
      <c r="C36" s="51" t="s">
        <v>72</v>
      </c>
      <c r="D36" s="51" t="s">
        <v>73</v>
      </c>
      <c r="E36" s="51" t="s">
        <v>74</v>
      </c>
      <c r="F36" s="51" t="s">
        <v>75</v>
      </c>
    </row>
    <row r="37" spans="8:8" ht="15.0">
      <c r="A37" s="4">
        <v>1.0</v>
      </c>
      <c r="B37" s="24" t="s">
        <v>148</v>
      </c>
      <c r="C37" s="52">
        <v>0.3</v>
      </c>
      <c r="D37" s="27">
        <f>$D$33*C37</f>
        <v>7.141819068467832</v>
      </c>
      <c r="E37" s="53">
        <v>4.63</v>
      </c>
      <c r="F37" s="54">
        <f>D37+E37</f>
        <v>11.771819068467831</v>
      </c>
    </row>
    <row r="38" spans="8:8" ht="15.0">
      <c r="A38" s="11">
        <v>2.0</v>
      </c>
      <c r="B38" s="29" t="s">
        <v>149</v>
      </c>
      <c r="C38" s="55">
        <v>0.7</v>
      </c>
      <c r="D38" s="32">
        <f>$D$33*C38</f>
        <v>16.66424449309161</v>
      </c>
      <c r="E38" s="56">
        <v>5.99</v>
      </c>
      <c r="F38" s="57">
        <f>D38+E38</f>
        <v>22.654244493091603</v>
      </c>
    </row>
    <row r="39" spans="8:8" ht="15.0">
      <c r="A39" s="4">
        <v>3.0</v>
      </c>
      <c r="B39" s="24" t="s">
        <v>150</v>
      </c>
      <c r="C39" s="52">
        <v>5.0</v>
      </c>
      <c r="D39" s="27">
        <f>$D$33*C39</f>
        <v>119.0303178077972</v>
      </c>
      <c r="E39" s="53">
        <v>16.06</v>
      </c>
      <c r="F39" s="54">
        <f>D39+E39</f>
        <v>135.090317807797</v>
      </c>
    </row>
    <row r="40" spans="8:8" ht="15.0">
      <c r="A40" s="11">
        <v>4.0</v>
      </c>
      <c r="B40" s="29" t="s">
        <v>151</v>
      </c>
      <c r="C40" s="55">
        <v>5.0</v>
      </c>
      <c r="D40" s="32">
        <f>$D$33*C40</f>
        <v>119.0303178077972</v>
      </c>
      <c r="E40" s="56">
        <v>16.06</v>
      </c>
      <c r="F40" s="57">
        <f>D40+E40</f>
        <v>135.090317807797</v>
      </c>
    </row>
    <row r="43" spans="8:8" ht="21.75" customHeight="1">
      <c r="A43" s="21" t="s">
        <v>19</v>
      </c>
      <c r="B43" s="21"/>
      <c r="C43" s="21"/>
      <c r="D43" s="21"/>
      <c r="E43" s="21"/>
      <c r="F43" s="21"/>
    </row>
    <row r="44" spans="8:8" ht="15.0" customHeight="1">
      <c r="A44" s="22" t="s">
        <v>48</v>
      </c>
      <c r="B44" s="22"/>
      <c r="C44" s="22"/>
      <c r="D44" s="22"/>
      <c r="E44" s="22"/>
      <c r="F44" s="22"/>
    </row>
    <row r="45" spans="8:8" ht="15.0">
      <c r="A45" s="23" t="s">
        <v>2</v>
      </c>
      <c r="B45" s="23" t="s">
        <v>24</v>
      </c>
      <c r="C45" s="23" t="s">
        <v>25</v>
      </c>
      <c r="D45" s="23" t="s">
        <v>26</v>
      </c>
      <c r="E45" s="23" t="s">
        <v>27</v>
      </c>
      <c r="F45" s="23" t="s">
        <v>28</v>
      </c>
    </row>
    <row r="46" spans="8:8" ht="15.0">
      <c r="A46" s="4">
        <v>1.0</v>
      </c>
      <c r="B46" s="24" t="s">
        <v>117</v>
      </c>
      <c r="C46" s="25">
        <v>100.0</v>
      </c>
      <c r="D46" s="26">
        <v>34.726</v>
      </c>
      <c r="E46" s="27">
        <f>C46*D46</f>
        <v>3472.6</v>
      </c>
      <c r="F46" s="28"/>
    </row>
    <row r="47" spans="8:8" ht="15.0">
      <c r="A47" s="11">
        <v>2.0</v>
      </c>
      <c r="B47" s="29" t="s">
        <v>51</v>
      </c>
      <c r="C47" s="30">
        <v>40.0</v>
      </c>
      <c r="D47" s="31">
        <v>39.9513</v>
      </c>
      <c r="E47" s="32">
        <f>C47*D47</f>
        <v>1598.0520000000001</v>
      </c>
      <c r="F47" s="33"/>
    </row>
    <row r="48" spans="8:8" ht="15.0">
      <c r="A48" s="4">
        <v>3.0</v>
      </c>
      <c r="B48" s="24" t="s">
        <v>59</v>
      </c>
      <c r="C48" s="25">
        <v>20.0</v>
      </c>
      <c r="D48" s="26">
        <v>21.3641</v>
      </c>
      <c r="E48" s="27">
        <f>C48*D48</f>
        <v>427.28200000000004</v>
      </c>
      <c r="F48" s="28"/>
    </row>
    <row r="49" spans="8:8" ht="15.0">
      <c r="A49" s="11">
        <v>4.0</v>
      </c>
      <c r="B49" s="29" t="s">
        <v>109</v>
      </c>
      <c r="C49" s="30">
        <v>116.0</v>
      </c>
      <c r="D49" s="11" t="s">
        <v>37</v>
      </c>
      <c r="E49" s="32">
        <v>0.0</v>
      </c>
      <c r="F49" s="43" t="s">
        <v>62</v>
      </c>
    </row>
    <row r="50" spans="8:8" ht="15.0">
      <c r="A50" s="4">
        <v>5.0</v>
      </c>
      <c r="B50" s="24" t="s">
        <v>56</v>
      </c>
      <c r="C50" s="25">
        <v>44.0</v>
      </c>
      <c r="D50" s="26">
        <v>39.4433</v>
      </c>
      <c r="E50" s="27">
        <f>C50*D50</f>
        <v>1735.5052</v>
      </c>
      <c r="F50" s="42" t="s">
        <v>57</v>
      </c>
    </row>
    <row r="51" spans="8:8" ht="15.0">
      <c r="A51" s="11">
        <v>6.0</v>
      </c>
      <c r="B51" s="29" t="s">
        <v>121</v>
      </c>
      <c r="C51" s="30">
        <v>20.0</v>
      </c>
      <c r="D51" s="31">
        <v>15.2395</v>
      </c>
      <c r="E51" s="32">
        <f>C51*D51</f>
        <v>304.78999999999996</v>
      </c>
      <c r="F51" s="33"/>
    </row>
    <row r="52" spans="8:8" ht="15.0">
      <c r="A52" s="4">
        <v>7.0</v>
      </c>
      <c r="B52" s="24" t="s">
        <v>60</v>
      </c>
      <c r="C52" s="25">
        <v>20.0</v>
      </c>
      <c r="D52" s="26">
        <v>29.6628</v>
      </c>
      <c r="E52" s="27">
        <f>C52*D52</f>
        <v>593.256</v>
      </c>
      <c r="F52" s="28"/>
    </row>
    <row r="53" spans="8:8" ht="15.0">
      <c r="A53" s="11">
        <v>8.0</v>
      </c>
      <c r="B53" s="29" t="s">
        <v>64</v>
      </c>
      <c r="C53" s="30">
        <v>20.0</v>
      </c>
      <c r="D53" s="31">
        <v>28.0338</v>
      </c>
      <c r="E53" s="32">
        <f>C53*D53</f>
        <v>560.6759999999999</v>
      </c>
      <c r="F53" s="33"/>
    </row>
    <row r="54" spans="8:8" ht="15.0">
      <c r="A54" s="4">
        <v>9.0</v>
      </c>
      <c r="B54" s="24" t="s">
        <v>50</v>
      </c>
      <c r="C54" s="25">
        <v>36.0</v>
      </c>
      <c r="D54" s="26">
        <v>12.2593</v>
      </c>
      <c r="E54" s="27">
        <f>C54*D54</f>
        <v>441.3348</v>
      </c>
      <c r="F54" s="28"/>
    </row>
    <row r="55" spans="8:8" ht="15.0">
      <c r="A55" s="11">
        <v>10.0</v>
      </c>
      <c r="B55" s="29" t="s">
        <v>42</v>
      </c>
      <c r="C55" s="30">
        <v>6.4</v>
      </c>
      <c r="D55" s="31">
        <v>2.0629</v>
      </c>
      <c r="E55" s="32">
        <f>C55*D55</f>
        <v>13.20256</v>
      </c>
      <c r="F55" s="33"/>
    </row>
    <row r="56" spans="8:8" ht="15.0">
      <c r="A56" s="4">
        <v>11.0</v>
      </c>
      <c r="B56" s="24" t="s">
        <v>29</v>
      </c>
      <c r="C56" s="25">
        <v>2.0</v>
      </c>
      <c r="D56" s="26">
        <v>161.8292</v>
      </c>
      <c r="E56" s="27">
        <f>C56*D56</f>
        <v>323.6584</v>
      </c>
      <c r="F56" s="28"/>
    </row>
    <row r="57" spans="8:8" ht="15.0">
      <c r="A57" s="11">
        <v>12.0</v>
      </c>
      <c r="B57" s="29" t="s">
        <v>130</v>
      </c>
      <c r="C57" s="30">
        <v>0.2</v>
      </c>
      <c r="D57" s="31">
        <v>141.4698</v>
      </c>
      <c r="E57" s="32">
        <f>C57*D57</f>
        <v>28.29396</v>
      </c>
      <c r="F57" s="33"/>
    </row>
    <row r="58" spans="8:8" ht="15.0">
      <c r="A58" s="4">
        <v>13.0</v>
      </c>
      <c r="B58" s="24" t="s">
        <v>41</v>
      </c>
      <c r="C58" s="25">
        <v>0.4</v>
      </c>
      <c r="D58" s="26">
        <v>75.4493</v>
      </c>
      <c r="E58" s="27">
        <f>C58*D58</f>
        <v>30.17972</v>
      </c>
      <c r="F58" s="28"/>
    </row>
    <row r="59" spans="8:8" ht="15.0">
      <c r="A59" s="11">
        <v>14.0</v>
      </c>
      <c r="B59" s="29" t="s">
        <v>81</v>
      </c>
      <c r="C59" s="30">
        <v>2.0</v>
      </c>
      <c r="D59" s="31">
        <v>103.9958</v>
      </c>
      <c r="E59" s="32">
        <f>C59*D59</f>
        <v>207.9916</v>
      </c>
      <c r="F59" s="33"/>
    </row>
    <row r="60" spans="8:8" ht="15.0">
      <c r="A60" s="4">
        <v>15.0</v>
      </c>
      <c r="B60" s="24" t="s">
        <v>132</v>
      </c>
      <c r="C60" s="25">
        <v>0.6</v>
      </c>
      <c r="D60" s="26">
        <v>132.8608</v>
      </c>
      <c r="E60" s="27">
        <f>C60*D60</f>
        <v>79.71648</v>
      </c>
      <c r="F60" s="28"/>
    </row>
    <row r="61" spans="8:8" ht="15.0">
      <c r="A61" s="11">
        <v>16.0</v>
      </c>
      <c r="B61" s="29" t="s">
        <v>133</v>
      </c>
      <c r="C61" s="30">
        <v>0.8</v>
      </c>
      <c r="D61" s="31">
        <v>69.5407</v>
      </c>
      <c r="E61" s="32">
        <f>C61*D61</f>
        <v>55.632560000000005</v>
      </c>
      <c r="F61" s="33"/>
    </row>
    <row r="62" spans="8:8" ht="15.0">
      <c r="A62" s="4">
        <v>17.0</v>
      </c>
      <c r="B62" s="24" t="s">
        <v>83</v>
      </c>
      <c r="C62" s="25">
        <v>0.8</v>
      </c>
      <c r="D62" s="26">
        <v>295.0</v>
      </c>
      <c r="E62" s="27">
        <f>C62*D62</f>
        <v>236.0</v>
      </c>
      <c r="F62" s="28"/>
    </row>
    <row r="63" spans="8:8" ht="15.0">
      <c r="A63" s="11">
        <v>18.0</v>
      </c>
      <c r="B63" s="29" t="s">
        <v>135</v>
      </c>
      <c r="C63" s="30">
        <v>0.8</v>
      </c>
      <c r="D63" s="31">
        <v>304.2192</v>
      </c>
      <c r="E63" s="32">
        <f>C63*D63</f>
        <v>243.37536</v>
      </c>
      <c r="F63" s="33"/>
    </row>
    <row r="64" spans="8:8" ht="15.0">
      <c r="A64" s="4">
        <v>19.0</v>
      </c>
      <c r="B64" s="24" t="s">
        <v>44</v>
      </c>
      <c r="C64" s="25">
        <v>0.09</v>
      </c>
      <c r="D64" s="26">
        <v>2919.2872</v>
      </c>
      <c r="E64" s="27">
        <f>C64*D64</f>
        <v>262.73584800000003</v>
      </c>
      <c r="F64" s="28"/>
    </row>
    <row r="65" spans="8:8" ht="15.0">
      <c r="A65" s="44"/>
      <c r="B65" s="45" t="s">
        <v>67</v>
      </c>
      <c r="C65" s="46">
        <f>SUM(C46:C64)</f>
        <v>430.09</v>
      </c>
      <c r="D65" s="44"/>
      <c r="E65" s="47">
        <f>SUM(E46:E64)</f>
        <v>10614.282488</v>
      </c>
      <c r="F65" s="44"/>
    </row>
    <row r="66" spans="8:8" ht="15.0" customHeight="1">
      <c r="B66" s="48" t="s">
        <v>97</v>
      </c>
      <c r="C66" s="48"/>
      <c r="D66" s="48"/>
      <c r="E66" s="48"/>
      <c r="F66" s="48"/>
    </row>
    <row r="67" spans="8:8" ht="15.0">
      <c r="B67" s="49" t="s">
        <v>69</v>
      </c>
      <c r="D67" s="50">
        <f>E65/430.09</f>
        <v>24.67921246250785</v>
      </c>
    </row>
    <row r="69" spans="8:8" ht="15.0" customHeight="1">
      <c r="A69" s="22" t="s">
        <v>70</v>
      </c>
      <c r="B69" s="22"/>
      <c r="C69" s="22"/>
      <c r="D69" s="22"/>
      <c r="E69" s="22"/>
      <c r="F69" s="22"/>
    </row>
    <row r="70" spans="8:8" ht="15.0">
      <c r="A70" s="51" t="s">
        <v>2</v>
      </c>
      <c r="B70" s="51" t="s">
        <v>71</v>
      </c>
      <c r="C70" s="51" t="s">
        <v>72</v>
      </c>
      <c r="D70" s="51" t="s">
        <v>73</v>
      </c>
      <c r="E70" s="51" t="s">
        <v>74</v>
      </c>
      <c r="F70" s="51" t="s">
        <v>75</v>
      </c>
    </row>
    <row r="71" spans="8:8" ht="15.0">
      <c r="A71" s="4">
        <v>1.0</v>
      </c>
      <c r="B71" s="24" t="s">
        <v>152</v>
      </c>
      <c r="C71" s="52">
        <v>0.38</v>
      </c>
      <c r="D71" s="27">
        <f>$D$67*C71</f>
        <v>9.378100735752982</v>
      </c>
      <c r="E71" s="53">
        <v>4.88</v>
      </c>
      <c r="F71" s="54">
        <f>D71+E71</f>
        <v>14.25810073575298</v>
      </c>
    </row>
    <row r="72" spans="8:8" ht="15.0">
      <c r="A72" s="11">
        <v>2.0</v>
      </c>
      <c r="B72" s="29" t="s">
        <v>153</v>
      </c>
      <c r="C72" s="55">
        <v>0.9</v>
      </c>
      <c r="D72" s="32">
        <f>$D$67*C72</f>
        <v>22.211291216257063</v>
      </c>
      <c r="E72" s="56">
        <v>6.63</v>
      </c>
      <c r="F72" s="57">
        <f>D72+E72</f>
        <v>28.841291216257098</v>
      </c>
    </row>
    <row r="73" spans="8:8" ht="15.0">
      <c r="A73" s="4">
        <v>3.0</v>
      </c>
      <c r="B73" s="24" t="s">
        <v>154</v>
      </c>
      <c r="C73" s="52">
        <v>0.4</v>
      </c>
      <c r="D73" s="27">
        <f>$D$67*C73</f>
        <v>9.87168498500314</v>
      </c>
      <c r="E73" s="53">
        <v>4.22</v>
      </c>
      <c r="F73" s="54">
        <f>D73+E73</f>
        <v>14.091684985003141</v>
      </c>
    </row>
    <row r="74" spans="8:8" ht="15.0">
      <c r="A74" s="11">
        <v>4.0</v>
      </c>
      <c r="B74" s="29" t="s">
        <v>155</v>
      </c>
      <c r="C74" s="55">
        <v>1.0</v>
      </c>
      <c r="D74" s="32">
        <f>$D$67*C74</f>
        <v>24.67921246250785</v>
      </c>
      <c r="E74" s="56">
        <v>5.63</v>
      </c>
      <c r="F74" s="57">
        <f>D74+E74</f>
        <v>30.309212462507897</v>
      </c>
    </row>
    <row r="75" spans="8:8" ht="15.0">
      <c r="A75" s="4">
        <v>5.0</v>
      </c>
      <c r="B75" s="24" t="s">
        <v>156</v>
      </c>
      <c r="C75" s="52">
        <v>2.0</v>
      </c>
      <c r="D75" s="27">
        <f>$D$67*C75</f>
        <v>49.3584249250157</v>
      </c>
      <c r="E75" s="53">
        <v>5.62</v>
      </c>
      <c r="F75" s="54">
        <f>D75+E75</f>
        <v>54.978424925015695</v>
      </c>
    </row>
    <row r="78" spans="8:8" ht="21.75" customHeight="1">
      <c r="A78" s="21" t="s">
        <v>20</v>
      </c>
      <c r="B78" s="21"/>
      <c r="C78" s="21"/>
      <c r="D78" s="21"/>
      <c r="E78" s="21"/>
      <c r="F78" s="21"/>
    </row>
    <row r="79" spans="8:8" ht="15.0" customHeight="1">
      <c r="A79" s="22" t="s">
        <v>48</v>
      </c>
      <c r="B79" s="22"/>
      <c r="C79" s="22"/>
      <c r="D79" s="22"/>
      <c r="E79" s="22"/>
      <c r="F79" s="22"/>
    </row>
    <row r="80" spans="8:8" ht="15.0">
      <c r="A80" s="23" t="s">
        <v>2</v>
      </c>
      <c r="B80" s="23" t="s">
        <v>24</v>
      </c>
      <c r="C80" s="23" t="s">
        <v>25</v>
      </c>
      <c r="D80" s="23" t="s">
        <v>26</v>
      </c>
      <c r="E80" s="23" t="s">
        <v>27</v>
      </c>
      <c r="F80" s="23" t="s">
        <v>28</v>
      </c>
    </row>
    <row r="81" spans="8:8" ht="15.0">
      <c r="A81" s="4">
        <v>1.0</v>
      </c>
      <c r="B81" s="24" t="s">
        <v>117</v>
      </c>
      <c r="C81" s="25">
        <v>80.0</v>
      </c>
      <c r="D81" s="26">
        <v>34.726</v>
      </c>
      <c r="E81" s="27">
        <f>C81*D81</f>
        <v>2778.08</v>
      </c>
      <c r="F81" s="28"/>
    </row>
    <row r="82" spans="8:8" ht="15.0">
      <c r="A82" s="11">
        <v>2.0</v>
      </c>
      <c r="B82" s="29" t="s">
        <v>51</v>
      </c>
      <c r="C82" s="30">
        <v>28.0</v>
      </c>
      <c r="D82" s="31">
        <v>39.9513</v>
      </c>
      <c r="E82" s="32">
        <f>C82*D82</f>
        <v>1118.6364</v>
      </c>
      <c r="F82" s="33"/>
    </row>
    <row r="83" spans="8:8" ht="15.0">
      <c r="A83" s="4">
        <v>3.0</v>
      </c>
      <c r="B83" s="24" t="s">
        <v>118</v>
      </c>
      <c r="C83" s="25">
        <v>25.0</v>
      </c>
      <c r="D83" s="26">
        <v>13.0</v>
      </c>
      <c r="E83" s="27">
        <f>C83*D83</f>
        <v>325.0</v>
      </c>
      <c r="F83" s="28"/>
    </row>
    <row r="84" spans="8:8" ht="15.0">
      <c r="A84" s="11">
        <v>4.0</v>
      </c>
      <c r="B84" s="29" t="s">
        <v>56</v>
      </c>
      <c r="C84" s="30">
        <v>43.0</v>
      </c>
      <c r="D84" s="31">
        <v>39.4433</v>
      </c>
      <c r="E84" s="32">
        <f>C84*D84</f>
        <v>1696.0619</v>
      </c>
      <c r="F84" s="34" t="s">
        <v>57</v>
      </c>
    </row>
    <row r="85" spans="8:8" ht="15.0">
      <c r="A85" s="4">
        <v>5.0</v>
      </c>
      <c r="B85" s="24" t="s">
        <v>119</v>
      </c>
      <c r="C85" s="25">
        <v>2.0</v>
      </c>
      <c r="D85" s="26">
        <v>15.1428</v>
      </c>
      <c r="E85" s="27">
        <f>C85*D85</f>
        <v>30.2856</v>
      </c>
      <c r="F85" s="42" t="s">
        <v>90</v>
      </c>
    </row>
    <row r="86" spans="8:8" ht="15.0">
      <c r="A86" s="11">
        <v>6.0</v>
      </c>
      <c r="B86" s="29" t="s">
        <v>59</v>
      </c>
      <c r="C86" s="30">
        <v>28.0</v>
      </c>
      <c r="D86" s="31">
        <v>21.3641</v>
      </c>
      <c r="E86" s="32">
        <f>C86*D86</f>
        <v>598.1948</v>
      </c>
      <c r="F86" s="33"/>
    </row>
    <row r="87" spans="8:8" ht="15.0">
      <c r="A87" s="4">
        <v>7.0</v>
      </c>
      <c r="B87" s="24" t="s">
        <v>64</v>
      </c>
      <c r="C87" s="25">
        <v>24.0</v>
      </c>
      <c r="D87" s="26">
        <v>28.0338</v>
      </c>
      <c r="E87" s="27">
        <f>C87*D87</f>
        <v>672.8112</v>
      </c>
      <c r="F87" s="28"/>
    </row>
    <row r="88" spans="8:8" ht="15.0">
      <c r="A88" s="11">
        <v>8.0</v>
      </c>
      <c r="B88" s="29" t="s">
        <v>120</v>
      </c>
      <c r="C88" s="30">
        <v>0.0</v>
      </c>
      <c r="D88" s="11" t="s">
        <v>37</v>
      </c>
      <c r="E88" s="32">
        <v>0.0</v>
      </c>
      <c r="F88" s="43" t="s">
        <v>38</v>
      </c>
    </row>
    <row r="89" spans="8:8" ht="15.0">
      <c r="A89" s="4">
        <v>9.0</v>
      </c>
      <c r="B89" s="24" t="s">
        <v>50</v>
      </c>
      <c r="C89" s="25">
        <v>25.0</v>
      </c>
      <c r="D89" s="26">
        <v>12.2593</v>
      </c>
      <c r="E89" s="27">
        <f>C89*D89</f>
        <v>306.4825</v>
      </c>
      <c r="F89" s="28"/>
    </row>
    <row r="90" spans="8:8" ht="15.0">
      <c r="A90" s="11">
        <v>10.0</v>
      </c>
      <c r="B90" s="29" t="s">
        <v>121</v>
      </c>
      <c r="C90" s="30">
        <v>26.0</v>
      </c>
      <c r="D90" s="31">
        <v>15.2395</v>
      </c>
      <c r="E90" s="32">
        <f>C90*D90</f>
        <v>396.227</v>
      </c>
      <c r="F90" s="33"/>
    </row>
    <row r="91" spans="8:8" ht="15.0">
      <c r="A91" s="4">
        <v>11.0</v>
      </c>
      <c r="B91" s="24" t="s">
        <v>109</v>
      </c>
      <c r="C91" s="25">
        <v>99.0</v>
      </c>
      <c r="D91" s="4" t="s">
        <v>37</v>
      </c>
      <c r="E91" s="27">
        <v>0.0</v>
      </c>
      <c r="F91" s="41" t="s">
        <v>62</v>
      </c>
    </row>
    <row r="92" spans="8:8" ht="15.0">
      <c r="A92" s="11">
        <v>12.0</v>
      </c>
      <c r="B92" s="29" t="s">
        <v>81</v>
      </c>
      <c r="C92" s="30">
        <v>2.0</v>
      </c>
      <c r="D92" s="31">
        <v>103.9958</v>
      </c>
      <c r="E92" s="32">
        <f>C92*D92</f>
        <v>207.9916</v>
      </c>
      <c r="F92" s="33"/>
    </row>
    <row r="93" spans="8:8" ht="15.0">
      <c r="A93" s="4">
        <v>13.0</v>
      </c>
      <c r="B93" s="24" t="s">
        <v>122</v>
      </c>
      <c r="C93" s="25">
        <v>0.09</v>
      </c>
      <c r="D93" s="26">
        <v>2919.2872</v>
      </c>
      <c r="E93" s="27">
        <f>C93*D93</f>
        <v>262.73584800000003</v>
      </c>
      <c r="F93" s="42" t="s">
        <v>123</v>
      </c>
    </row>
    <row r="94" spans="8:8" ht="15.0">
      <c r="A94" s="11">
        <v>14.0</v>
      </c>
      <c r="B94" s="29" t="s">
        <v>124</v>
      </c>
      <c r="C94" s="30">
        <v>0.6</v>
      </c>
      <c r="D94" s="31">
        <v>69.5407</v>
      </c>
      <c r="E94" s="32">
        <f>C94*D94</f>
        <v>41.72442</v>
      </c>
      <c r="F94" s="33"/>
    </row>
    <row r="95" spans="8:8" ht="15.0">
      <c r="A95" s="4">
        <v>15.0</v>
      </c>
      <c r="B95" s="24" t="s">
        <v>125</v>
      </c>
      <c r="C95" s="25">
        <v>0.5</v>
      </c>
      <c r="D95" s="26">
        <v>75.4493</v>
      </c>
      <c r="E95" s="27">
        <f>C95*D95</f>
        <v>37.72465</v>
      </c>
      <c r="F95" s="28"/>
    </row>
    <row r="96" spans="8:8" ht="15.0">
      <c r="A96" s="11">
        <v>16.0</v>
      </c>
      <c r="B96" s="29" t="s">
        <v>42</v>
      </c>
      <c r="C96" s="30">
        <v>6.8</v>
      </c>
      <c r="D96" s="31">
        <v>2.0629</v>
      </c>
      <c r="E96" s="32">
        <f>C96*D96</f>
        <v>14.027719999999999</v>
      </c>
      <c r="F96" s="33"/>
    </row>
    <row r="97" spans="8:8" ht="15.0">
      <c r="A97" s="4">
        <v>17.0</v>
      </c>
      <c r="B97" s="24" t="s">
        <v>126</v>
      </c>
      <c r="C97" s="25">
        <v>0.2</v>
      </c>
      <c r="D97" s="26">
        <v>1351.717</v>
      </c>
      <c r="E97" s="27">
        <f>C97*D97</f>
        <v>270.34340000000003</v>
      </c>
      <c r="F97" s="28"/>
    </row>
    <row r="98" spans="8:8" ht="15.0">
      <c r="A98" s="11">
        <v>18.0</v>
      </c>
      <c r="B98" s="29" t="s">
        <v>82</v>
      </c>
      <c r="C98" s="30">
        <v>0.5</v>
      </c>
      <c r="D98" s="31">
        <v>176.03</v>
      </c>
      <c r="E98" s="32">
        <f>C98*D98</f>
        <v>88.015</v>
      </c>
      <c r="F98" s="33"/>
    </row>
    <row r="99" spans="8:8" ht="15.0">
      <c r="A99" s="4">
        <v>19.0</v>
      </c>
      <c r="B99" s="24" t="s">
        <v>84</v>
      </c>
      <c r="C99" s="25">
        <v>0.5</v>
      </c>
      <c r="D99" s="26">
        <v>304.2192</v>
      </c>
      <c r="E99" s="27">
        <f>C99*D99</f>
        <v>152.1096</v>
      </c>
      <c r="F99" s="28"/>
    </row>
    <row r="100" spans="8:8" ht="15.0">
      <c r="A100" s="11">
        <v>20.0</v>
      </c>
      <c r="B100" s="29" t="s">
        <v>29</v>
      </c>
      <c r="C100" s="30">
        <v>2.0</v>
      </c>
      <c r="D100" s="31">
        <v>161.8292</v>
      </c>
      <c r="E100" s="32">
        <f>C100*D100</f>
        <v>323.6584</v>
      </c>
      <c r="F100" s="33"/>
    </row>
    <row r="101" spans="8:8" ht="15.0">
      <c r="A101" s="4">
        <v>21.0</v>
      </c>
      <c r="B101" s="24" t="s">
        <v>127</v>
      </c>
      <c r="C101" s="25">
        <v>0.2</v>
      </c>
      <c r="D101" s="26">
        <v>211.3081</v>
      </c>
      <c r="E101" s="27">
        <f>C101*D101</f>
        <v>42.26162</v>
      </c>
      <c r="F101" s="28"/>
    </row>
    <row r="102" spans="8:8" ht="15.0">
      <c r="A102" s="11">
        <v>22.0</v>
      </c>
      <c r="B102" s="29" t="s">
        <v>87</v>
      </c>
      <c r="C102" s="30">
        <v>0.5</v>
      </c>
      <c r="D102" s="31">
        <v>291.2467</v>
      </c>
      <c r="E102" s="32">
        <f>C102*D102</f>
        <v>145.62335</v>
      </c>
      <c r="F102" s="33"/>
    </row>
    <row r="103" spans="8:8" ht="15.0">
      <c r="A103" s="4">
        <v>23.0</v>
      </c>
      <c r="B103" s="24" t="s">
        <v>35</v>
      </c>
      <c r="C103" s="25">
        <v>0.5</v>
      </c>
      <c r="D103" s="26">
        <v>143.0618</v>
      </c>
      <c r="E103" s="27">
        <f>C103*D103</f>
        <v>71.5309</v>
      </c>
      <c r="F103" s="28"/>
    </row>
    <row r="104" spans="8:8" ht="15.0">
      <c r="A104" s="44"/>
      <c r="B104" s="45" t="s">
        <v>67</v>
      </c>
      <c r="C104" s="46">
        <f>SUM(C81:C103)</f>
        <v>394.39</v>
      </c>
      <c r="D104" s="44"/>
      <c r="E104" s="47">
        <f>SUM(E81:E103)</f>
        <v>9579.525908</v>
      </c>
      <c r="F104" s="44"/>
    </row>
    <row r="105" spans="8:8" ht="15.0" customHeight="1">
      <c r="B105" s="48" t="s">
        <v>97</v>
      </c>
      <c r="C105" s="48"/>
      <c r="D105" s="48"/>
      <c r="E105" s="48"/>
      <c r="F105" s="48"/>
    </row>
    <row r="106" spans="8:8" ht="15.0">
      <c r="B106" s="49" t="s">
        <v>69</v>
      </c>
      <c r="D106" s="50">
        <f>E104/394.39</f>
        <v>24.28947465199422</v>
      </c>
    </row>
    <row r="108" spans="8:8" ht="15.0" customHeight="1">
      <c r="A108" s="22" t="s">
        <v>70</v>
      </c>
      <c r="B108" s="22"/>
      <c r="C108" s="22"/>
      <c r="D108" s="22"/>
      <c r="E108" s="22"/>
      <c r="F108" s="22"/>
    </row>
    <row r="109" spans="8:8" ht="15.0">
      <c r="A109" s="51" t="s">
        <v>2</v>
      </c>
      <c r="B109" s="51" t="s">
        <v>71</v>
      </c>
      <c r="C109" s="51" t="s">
        <v>72</v>
      </c>
      <c r="D109" s="51" t="s">
        <v>73</v>
      </c>
      <c r="E109" s="51" t="s">
        <v>74</v>
      </c>
      <c r="F109" s="51" t="s">
        <v>75</v>
      </c>
    </row>
    <row r="110" spans="8:8" ht="15.0">
      <c r="A110" s="4">
        <v>1.0</v>
      </c>
      <c r="B110" s="24" t="s">
        <v>157</v>
      </c>
      <c r="C110" s="52">
        <v>0.35</v>
      </c>
      <c r="D110" s="27">
        <f>$D$106*C110</f>
        <v>8.501316128197976</v>
      </c>
      <c r="E110" s="53">
        <v>5.18</v>
      </c>
      <c r="F110" s="54">
        <f>D110+E110</f>
        <v>13.68131612819798</v>
      </c>
    </row>
    <row r="111" spans="8:8" ht="15.0">
      <c r="A111" s="11">
        <v>2.0</v>
      </c>
      <c r="B111" s="29" t="s">
        <v>158</v>
      </c>
      <c r="C111" s="55">
        <v>0.8</v>
      </c>
      <c r="D111" s="32">
        <f>$D$106*C111</f>
        <v>19.431579721595376</v>
      </c>
      <c r="E111" s="56">
        <v>6.08</v>
      </c>
      <c r="F111" s="57">
        <f>D111+E111</f>
        <v>25.511579721595403</v>
      </c>
    </row>
    <row r="112" spans="8:8" ht="15.0">
      <c r="A112" s="4">
        <v>3.0</v>
      </c>
      <c r="B112" s="24" t="s">
        <v>159</v>
      </c>
      <c r="C112" s="52">
        <v>5.0</v>
      </c>
      <c r="D112" s="27">
        <f>$D$106*C112</f>
        <v>121.4473732599711</v>
      </c>
      <c r="E112" s="53">
        <v>14.26</v>
      </c>
      <c r="F112" s="54">
        <f>D112+E112</f>
        <v>135.707373259971</v>
      </c>
    </row>
    <row r="113" spans="8:8" ht="15.0">
      <c r="A113" s="11">
        <v>4.0</v>
      </c>
      <c r="B113" s="29" t="s">
        <v>160</v>
      </c>
      <c r="C113" s="55">
        <v>0.9</v>
      </c>
      <c r="D113" s="32">
        <f>$D$106*C113</f>
        <v>21.860527186794798</v>
      </c>
      <c r="E113" s="56">
        <v>5.1</v>
      </c>
      <c r="F113" s="57">
        <f>D113+E113</f>
        <v>26.9605271867948</v>
      </c>
    </row>
  </sheetData>
  <mergeCells count="13">
    <mergeCell ref="A1:F1"/>
    <mergeCell ref="B66:F66"/>
    <mergeCell ref="A44:F44"/>
    <mergeCell ref="A43:F43"/>
    <mergeCell ref="A35:F35"/>
    <mergeCell ref="B32:F32"/>
    <mergeCell ref="A4:F4"/>
    <mergeCell ref="A69:F69"/>
    <mergeCell ref="A3:F3"/>
    <mergeCell ref="A78:F78"/>
    <mergeCell ref="A79:F79"/>
    <mergeCell ref="B105:F105"/>
    <mergeCell ref="A108:F108"/>
  </mergeCells>
  <pageMargins left="0.75" right="0.75" top="1.0" bottom="1.0" header="0.511811023622047" footer="0.511811023622047"/>
  <pageSetup paperSize="9"/>
</worksheet>
</file>

<file path=xl/worksheets/sheet5.xml><?xml version="1.0" encoding="utf-8"?>
<worksheet xmlns:r="http://schemas.openxmlformats.org/officeDocument/2006/relationships" xmlns="http://schemas.openxmlformats.org/spreadsheetml/2006/main">
  <dimension ref="A1:F35"/>
  <sheetViews>
    <sheetView workbookViewId="0" rightToLeft="1">
      <pane ySplit="1" topLeftCell="A2" state="frozen" activePane="bottomLeft"/>
      <selection pane="bottomLeft" activeCell="A1" sqref="A1:E1"/>
    </sheetView>
  </sheetViews>
  <sheetFormatPr defaultRowHeight="15.0" zeroHeight="1"/>
  <cols>
    <col min="1" max="1" customWidth="1" width="4.0" style="0"/>
    <col min="2" max="2" customWidth="1" width="22.0" style="0"/>
    <col min="3" max="3" customWidth="1" width="26.0" style="0"/>
    <col min="4" max="4" customWidth="1" width="14.0" style="0"/>
    <col min="5" max="5" customWidth="1" width="50.0" style="0"/>
  </cols>
  <sheetData>
    <row r="1" spans="8:8" ht="21.75" customHeight="1">
      <c r="A1" s="21" t="s">
        <v>161</v>
      </c>
      <c r="B1" s="21"/>
      <c r="C1" s="21"/>
      <c r="D1" s="21"/>
      <c r="E1" s="21"/>
    </row>
    <row r="3" spans="8:8" ht="15.0">
      <c r="A3" s="3" t="s">
        <v>2</v>
      </c>
      <c r="B3" s="3" t="s">
        <v>3</v>
      </c>
      <c r="C3" s="3" t="s">
        <v>24</v>
      </c>
      <c r="D3" s="3" t="s">
        <v>162</v>
      </c>
      <c r="E3" s="3" t="s">
        <v>163</v>
      </c>
    </row>
    <row r="4" spans="8:8" ht="15.0">
      <c r="A4" s="4">
        <v>1.0</v>
      </c>
      <c r="B4" s="24" t="s">
        <v>164</v>
      </c>
      <c r="C4" s="59" t="s">
        <v>53</v>
      </c>
      <c r="D4" s="52">
        <v>0.0</v>
      </c>
      <c r="E4" s="60" t="s">
        <v>54</v>
      </c>
    </row>
    <row r="5" spans="8:8" ht="15.0">
      <c r="A5" s="11">
        <v>2.0</v>
      </c>
      <c r="B5" s="29" t="s">
        <v>164</v>
      </c>
      <c r="C5" s="61" t="s">
        <v>58</v>
      </c>
      <c r="D5" s="55">
        <v>0.0</v>
      </c>
      <c r="E5" s="62" t="s">
        <v>38</v>
      </c>
    </row>
    <row r="6" spans="8:8" ht="15.0">
      <c r="A6" s="4">
        <v>3.0</v>
      </c>
      <c r="B6" s="24" t="s">
        <v>164</v>
      </c>
      <c r="C6" s="59" t="s">
        <v>61</v>
      </c>
      <c r="D6" s="52">
        <v>28.0</v>
      </c>
      <c r="E6" s="60" t="s">
        <v>62</v>
      </c>
    </row>
    <row r="7" spans="8:8" ht="15.0">
      <c r="A7" s="11">
        <v>4.0</v>
      </c>
      <c r="B7" s="29" t="s">
        <v>164</v>
      </c>
      <c r="C7" s="61" t="s">
        <v>36</v>
      </c>
      <c r="D7" s="55">
        <v>0.0</v>
      </c>
      <c r="E7" s="62" t="s">
        <v>38</v>
      </c>
    </row>
    <row r="8" spans="8:8" ht="15.0">
      <c r="A8" s="4">
        <v>5.0</v>
      </c>
      <c r="B8" s="24" t="s">
        <v>165</v>
      </c>
      <c r="C8" s="59" t="s">
        <v>61</v>
      </c>
      <c r="D8" s="52">
        <v>15.0</v>
      </c>
      <c r="E8" s="60" t="s">
        <v>62</v>
      </c>
    </row>
    <row r="9" spans="8:8" ht="15.0">
      <c r="A9" s="11">
        <v>6.0</v>
      </c>
      <c r="B9" s="29" t="s">
        <v>166</v>
      </c>
      <c r="C9" s="61" t="s">
        <v>109</v>
      </c>
      <c r="D9" s="55">
        <v>14.0</v>
      </c>
      <c r="E9" s="62" t="s">
        <v>62</v>
      </c>
    </row>
    <row r="10" spans="8:8" ht="15.0">
      <c r="A10" s="4">
        <v>7.0</v>
      </c>
      <c r="B10" s="24" t="s">
        <v>166</v>
      </c>
      <c r="C10" s="59" t="s">
        <v>100</v>
      </c>
      <c r="D10" s="52">
        <v>0.0</v>
      </c>
      <c r="E10" s="60" t="s">
        <v>38</v>
      </c>
    </row>
    <row r="11" spans="8:8" ht="15.0">
      <c r="A11" s="11">
        <v>8.0</v>
      </c>
      <c r="B11" s="29" t="s">
        <v>167</v>
      </c>
      <c r="C11" s="61" t="s">
        <v>120</v>
      </c>
      <c r="D11" s="55">
        <v>0.0</v>
      </c>
      <c r="E11" s="62" t="s">
        <v>38</v>
      </c>
    </row>
    <row r="12" spans="8:8" ht="15.0">
      <c r="A12" s="4">
        <v>9.0</v>
      </c>
      <c r="B12" s="24" t="s">
        <v>167</v>
      </c>
      <c r="C12" s="59" t="s">
        <v>109</v>
      </c>
      <c r="D12" s="52">
        <v>99.0</v>
      </c>
      <c r="E12" s="60" t="s">
        <v>62</v>
      </c>
    </row>
    <row r="13" spans="8:8" ht="15.0">
      <c r="A13" s="11">
        <v>10.0</v>
      </c>
      <c r="B13" s="29" t="s">
        <v>168</v>
      </c>
      <c r="C13" s="61" t="s">
        <v>109</v>
      </c>
      <c r="D13" s="55">
        <v>48.0</v>
      </c>
      <c r="E13" s="62" t="s">
        <v>62</v>
      </c>
    </row>
    <row r="14" spans="8:8" ht="15.0">
      <c r="A14" s="4">
        <v>11.0</v>
      </c>
      <c r="B14" s="24" t="s">
        <v>169</v>
      </c>
      <c r="C14" s="59" t="s">
        <v>53</v>
      </c>
      <c r="D14" s="52">
        <v>15.0</v>
      </c>
      <c r="E14" s="60" t="s">
        <v>54</v>
      </c>
    </row>
    <row r="15" spans="8:8" ht="15.0">
      <c r="A15" s="11">
        <v>12.0</v>
      </c>
      <c r="B15" s="29" t="s">
        <v>169</v>
      </c>
      <c r="C15" s="61" t="s">
        <v>109</v>
      </c>
      <c r="D15" s="55">
        <v>60.0</v>
      </c>
      <c r="E15" s="62" t="s">
        <v>62</v>
      </c>
    </row>
    <row r="16" spans="8:8" ht="15.0">
      <c r="A16" s="4">
        <v>13.0</v>
      </c>
      <c r="B16" s="24" t="s">
        <v>170</v>
      </c>
      <c r="C16" s="59" t="s">
        <v>53</v>
      </c>
      <c r="D16" s="52">
        <v>0.0</v>
      </c>
      <c r="E16" s="60" t="s">
        <v>54</v>
      </c>
    </row>
    <row r="17" spans="8:8" ht="15.0">
      <c r="A17" s="11">
        <v>14.0</v>
      </c>
      <c r="B17" s="29" t="s">
        <v>170</v>
      </c>
      <c r="C17" s="61" t="s">
        <v>109</v>
      </c>
      <c r="D17" s="55">
        <v>67.5</v>
      </c>
      <c r="E17" s="62" t="s">
        <v>62</v>
      </c>
    </row>
    <row r="18" spans="8:8" ht="15.0">
      <c r="A18" s="4">
        <v>15.0</v>
      </c>
      <c r="B18" s="24" t="s">
        <v>171</v>
      </c>
      <c r="C18" s="59" t="s">
        <v>109</v>
      </c>
      <c r="D18" s="52">
        <v>116.0</v>
      </c>
      <c r="E18" s="60" t="s">
        <v>62</v>
      </c>
    </row>
    <row r="19" spans="8:8" ht="15.0">
      <c r="A19" s="11">
        <v>16.0</v>
      </c>
      <c r="B19" s="29" t="s">
        <v>172</v>
      </c>
      <c r="C19" s="61" t="s">
        <v>120</v>
      </c>
      <c r="D19" s="55">
        <v>0.0</v>
      </c>
      <c r="E19" s="62" t="s">
        <v>38</v>
      </c>
    </row>
    <row r="20" spans="8:8" ht="15.0">
      <c r="A20" s="4">
        <v>17.0</v>
      </c>
      <c r="B20" s="24" t="s">
        <v>172</v>
      </c>
      <c r="C20" s="59" t="s">
        <v>109</v>
      </c>
      <c r="D20" s="52">
        <v>99.0</v>
      </c>
      <c r="E20" s="60" t="s">
        <v>62</v>
      </c>
    </row>
    <row r="22" spans="8:8" ht="15.0" customHeight="1">
      <c r="A22" s="63" t="s">
        <v>173</v>
      </c>
      <c r="B22" s="63"/>
      <c r="C22" s="63"/>
      <c r="D22" s="63"/>
      <c r="E22" s="63"/>
    </row>
    <row r="24" spans="8:8" ht="15.0">
      <c r="A24" s="64"/>
      <c r="B24" s="64"/>
      <c r="C24" s="64"/>
      <c r="D24" s="64"/>
      <c r="E24" s="64"/>
    </row>
    <row r="25" spans="8:8" ht="15.0" customHeight="1">
      <c r="A25" s="65" t="s">
        <v>174</v>
      </c>
      <c r="B25" s="65"/>
      <c r="C25" s="65"/>
      <c r="D25" s="65"/>
      <c r="E25" s="65"/>
    </row>
    <row r="26" spans="8:8" ht="15.0">
      <c r="A26" s="3" t="s">
        <v>2</v>
      </c>
      <c r="B26" s="3" t="s">
        <v>175</v>
      </c>
      <c r="C26" s="3" t="s">
        <v>176</v>
      </c>
      <c r="D26" s="3" t="s">
        <v>177</v>
      </c>
      <c r="E26" s="3"/>
    </row>
    <row r="27" spans="8:8" ht="15.0">
      <c r="A27" s="4">
        <v>1.0</v>
      </c>
      <c r="B27" s="24" t="s">
        <v>56</v>
      </c>
      <c r="C27" s="24" t="s">
        <v>178</v>
      </c>
      <c r="D27" s="10" t="s">
        <v>179</v>
      </c>
      <c r="E27" s="60" t="s">
        <v>57</v>
      </c>
    </row>
    <row r="28" spans="8:8" ht="15.0">
      <c r="A28" s="11">
        <v>2.0</v>
      </c>
      <c r="B28" s="29" t="s">
        <v>89</v>
      </c>
      <c r="C28" s="29" t="s">
        <v>180</v>
      </c>
      <c r="D28" s="66" t="s">
        <v>181</v>
      </c>
      <c r="E28" s="62" t="s">
        <v>90</v>
      </c>
    </row>
    <row r="29" spans="8:8" ht="15.0">
      <c r="A29" s="4">
        <v>3.0</v>
      </c>
      <c r="B29" s="24" t="s">
        <v>91</v>
      </c>
      <c r="C29" s="24" t="s">
        <v>180</v>
      </c>
      <c r="D29" s="67" t="s">
        <v>181</v>
      </c>
      <c r="E29" s="60" t="s">
        <v>92</v>
      </c>
    </row>
    <row r="30" spans="8:8" ht="19.4">
      <c r="A30" s="11">
        <v>4.0</v>
      </c>
      <c r="B30" s="29" t="s">
        <v>102</v>
      </c>
      <c r="C30" s="29" t="s">
        <v>182</v>
      </c>
      <c r="D30" s="17" t="s">
        <v>179</v>
      </c>
      <c r="E30" s="62" t="s">
        <v>103</v>
      </c>
    </row>
    <row r="31" spans="8:8" ht="19.4">
      <c r="A31" s="4">
        <v>5.0</v>
      </c>
      <c r="B31" s="24" t="s">
        <v>104</v>
      </c>
      <c r="C31" s="24" t="s">
        <v>183</v>
      </c>
      <c r="D31" s="10" t="s">
        <v>179</v>
      </c>
      <c r="E31" s="60" t="s">
        <v>105</v>
      </c>
    </row>
    <row r="32" spans="8:8" ht="15.0">
      <c r="A32" s="11">
        <v>6.0</v>
      </c>
      <c r="B32" s="29" t="s">
        <v>107</v>
      </c>
      <c r="C32" s="29" t="s">
        <v>184</v>
      </c>
      <c r="D32" s="17" t="s">
        <v>179</v>
      </c>
      <c r="E32" s="62" t="s">
        <v>108</v>
      </c>
    </row>
    <row r="33" spans="8:8" ht="15.0">
      <c r="A33" s="4">
        <v>7.0</v>
      </c>
      <c r="B33" s="24" t="s">
        <v>119</v>
      </c>
      <c r="C33" s="24" t="s">
        <v>180</v>
      </c>
      <c r="D33" s="67" t="s">
        <v>181</v>
      </c>
      <c r="E33" s="60" t="s">
        <v>90</v>
      </c>
    </row>
    <row r="34" spans="8:8" ht="15.0">
      <c r="A34" s="11">
        <v>8.0</v>
      </c>
      <c r="B34" s="29" t="s">
        <v>122</v>
      </c>
      <c r="C34" s="29" t="s">
        <v>185</v>
      </c>
      <c r="D34" s="17" t="s">
        <v>179</v>
      </c>
      <c r="E34" s="62" t="s">
        <v>123</v>
      </c>
    </row>
    <row r="35" spans="8:8" ht="15.0">
      <c r="A35" s="4">
        <v>9.0</v>
      </c>
      <c r="B35" s="24" t="s">
        <v>32</v>
      </c>
      <c r="C35" s="24" t="s">
        <v>134</v>
      </c>
      <c r="D35" s="10" t="s">
        <v>179</v>
      </c>
      <c r="E35" s="60" t="s">
        <v>186</v>
      </c>
    </row>
  </sheetData>
  <mergeCells count="4">
    <mergeCell ref="A1:E1"/>
    <mergeCell ref="A22:E22"/>
    <mergeCell ref="A24:E24"/>
    <mergeCell ref="A25:E25"/>
  </mergeCells>
  <pageMargins left="0.75" right="0.75" top="1.0" bottom="1.0" header="0.511811023622047" footer="0.511811023622047"/>
  <pageSetup paperSize="9"/>
</worksheet>
</file>

<file path=xl/worksheets/sheet6.xml><?xml version="1.0" encoding="utf-8"?>
<worksheet xmlns:r="http://schemas.openxmlformats.org/officeDocument/2006/relationships" xmlns="http://schemas.openxmlformats.org/spreadsheetml/2006/main">
  <dimension ref="A1:C22"/>
  <sheetViews>
    <sheetView workbookViewId="0" rightToLeft="1">
      <selection activeCell="A1" sqref="A1:B1"/>
    </sheetView>
  </sheetViews>
  <sheetFormatPr defaultRowHeight="15.0" zeroHeight="1"/>
  <cols>
    <col min="1" max="1" customWidth="1" width="4.0" style="0"/>
    <col min="2" max="2" customWidth="1" width="115.0" style="0"/>
  </cols>
  <sheetData>
    <row r="1" spans="8:8" ht="24.0" customHeight="1">
      <c r="A1" s="68" t="s">
        <v>187</v>
      </c>
      <c r="B1" s="68"/>
    </row>
    <row r="3" spans="8:8" ht="18.0" customHeight="1">
      <c r="B3" s="69" t="s">
        <v>188</v>
      </c>
    </row>
    <row r="4" spans="8:8" ht="60.0" customHeight="1">
      <c r="B4" s="70" t="s">
        <v>189</v>
      </c>
    </row>
    <row r="6" spans="8:8" ht="18.0" customHeight="1">
      <c r="B6" s="69" t="s">
        <v>190</v>
      </c>
    </row>
    <row r="7" spans="8:8" ht="60.0" customHeight="1">
      <c r="B7" s="70" t="s">
        <v>191</v>
      </c>
    </row>
    <row r="9" spans="8:8" ht="18.0" customHeight="1">
      <c r="B9" s="69" t="s">
        <v>192</v>
      </c>
    </row>
    <row r="10" spans="8:8" ht="90.0" customHeight="1">
      <c r="B10" s="70" t="s">
        <v>193</v>
      </c>
    </row>
    <row r="12" spans="8:8" ht="18.0" customHeight="1">
      <c r="B12" s="69" t="s">
        <v>194</v>
      </c>
    </row>
    <row r="13" spans="8:8" ht="90.0" customHeight="1">
      <c r="B13" s="70" t="s">
        <v>195</v>
      </c>
    </row>
    <row r="15" spans="8:8" ht="18.0" customHeight="1">
      <c r="B15" s="69" t="s">
        <v>196</v>
      </c>
    </row>
    <row r="16" spans="8:8" ht="45.0" customHeight="1">
      <c r="B16" s="70" t="s">
        <v>197</v>
      </c>
    </row>
    <row r="18" spans="8:8" ht="18.0" customHeight="1">
      <c r="B18" s="69" t="s">
        <v>198</v>
      </c>
    </row>
    <row r="19" spans="8:8" ht="75.0" customHeight="1">
      <c r="B19" s="70" t="s">
        <v>199</v>
      </c>
    </row>
    <row r="21" spans="8:8" ht="18.0" customHeight="1">
      <c r="B21" s="69" t="s">
        <v>200</v>
      </c>
    </row>
    <row r="22" spans="8:8" ht="45.0" customHeight="1">
      <c r="B22" s="70" t="s">
        <v>201</v>
      </c>
    </row>
  </sheetData>
  <mergeCells count="1">
    <mergeCell ref="A1:B1"/>
  </mergeCells>
  <pageMargins left="0.75" right="0.75" top="1.0" bottom="1.0" header="0.511811023622047" footer="0.511811023622047"/>
  <pageSetup paperSize="9"/>
</worksheet>
</file>

<file path=docProps/app.xml><?xml version="1.0" encoding="utf-8"?>
<Properties xmlns="http://schemas.openxmlformats.org/officeDocument/2006/extended-properties">
  <Application>Kingsoft Office</Application>
  <ScaleCrop>0</ScaleCrop>
  <LinksUpToDate>0</LinksUpToDate>
  <AppVersion>15.0000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٢٠٢٦-٠٧-٠٣T١٣:١٤:١٠Z</dcterms:created>
  <dcterms:modified xsi:type="dcterms:W3CDTF">٢٠٢٦-٠٧-٠٣T١٦:٢٠:٥٣Z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4d989441f9554b7d97306fb8963be568</vt:lpwstr>
  </property>
</Properties>
</file>