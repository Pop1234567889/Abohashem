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جرد شهر 8\"/>
    </mc:Choice>
  </mc:AlternateContent>
  <xr:revisionPtr revIDLastSave="0" documentId="13_ncr:1_{3D8A4A56-B48E-44F6-AA45-2AE34EC23FAE}" xr6:coauthVersionLast="47" xr6:coauthVersionMax="47" xr10:uidLastSave="{00000000-0000-0000-0000-000000000000}"/>
  <bookViews>
    <workbookView xWindow="-120" yWindow="-120" windowWidth="19440" windowHeight="14040" xr2:uid="{86282878-4084-4E7F-B814-2BEB8919EF4C}"/>
  </bookViews>
  <sheets>
    <sheet name="Sheet1" sheetId="1" r:id="rId1"/>
  </sheets>
  <definedNames>
    <definedName name="_xlnm._FilterDatabase" localSheetId="0" hidden="1">Sheet1!$A$4:$H$374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41" i="1"/>
  <c r="G142" i="1"/>
  <c r="G143" i="1"/>
  <c r="G144" i="1"/>
  <c r="G145" i="1"/>
  <c r="G118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5" i="1"/>
  <c r="G115" i="1"/>
  <c r="G102" i="1"/>
  <c r="G85" i="1"/>
</calcChain>
</file>

<file path=xl/sharedStrings.xml><?xml version="1.0" encoding="utf-8"?>
<sst xmlns="http://schemas.openxmlformats.org/spreadsheetml/2006/main" count="259" uniqueCount="252">
  <si>
    <t>اكياس برجر الهنا ص</t>
  </si>
  <si>
    <t>اكياس برجر الهنا ك</t>
  </si>
  <si>
    <t>اكياس كفتة الهنا ص</t>
  </si>
  <si>
    <t>اكياس كفته الهنا ك</t>
  </si>
  <si>
    <t>اكياس مفروم3ك</t>
  </si>
  <si>
    <t>اكياس سجق الهنا ك</t>
  </si>
  <si>
    <t>اكياس سجق الهنا ص</t>
  </si>
  <si>
    <t>اكياس سجق ابوهاشم ك</t>
  </si>
  <si>
    <t>اكياس كفته ابوهاشم ك</t>
  </si>
  <si>
    <t>اكياس برجر ابوهاشم ص</t>
  </si>
  <si>
    <t xml:space="preserve">اكياس كفته ابوهاشم ص </t>
  </si>
  <si>
    <t xml:space="preserve">اكياس مفروم صافي </t>
  </si>
  <si>
    <t>اكياس مفروم صويا</t>
  </si>
  <si>
    <t>اكياس سجق ابوهاشم 3ك</t>
  </si>
  <si>
    <t>اكياس سجق ابو هاشم ص</t>
  </si>
  <si>
    <t>اكياس برجر ابوهاشم 1.5</t>
  </si>
  <si>
    <t>علب  سوداء</t>
  </si>
  <si>
    <t>اطباق 1/2</t>
  </si>
  <si>
    <t>اطباق 3/4</t>
  </si>
  <si>
    <t>فرش البرجر 11*11</t>
  </si>
  <si>
    <t>اكياس سجق الهنا 5ك</t>
  </si>
  <si>
    <t xml:space="preserve">فرش كفته </t>
  </si>
  <si>
    <t>فرش برانيك</t>
  </si>
  <si>
    <t>اكياس كبده 3ك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</si>
  <si>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</si>
  <si>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</si>
  <si>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</si>
  <si>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</si>
  <si>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</si>
  <si>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</si>
  <si>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</si>
  <si>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</si>
  <si>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</si>
  <si>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</si>
  <si>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</si>
  <si>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</si>
  <si>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طبق مسطح 3/4شفاف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</si>
  <si>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</si>
  <si>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</si>
  <si>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</si>
  <si>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</si>
  <si>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</si>
  <si>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</si>
  <si>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</si>
  <si>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</si>
  <si>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</si>
  <si>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</si>
  <si>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</si>
  <si>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</si>
  <si>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</si>
  <si>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</si>
  <si>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</si>
  <si>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</si>
  <si>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>ممبار</t>
  </si>
  <si>
    <t>خام عجينة سجق أبو هاشم</t>
  </si>
  <si>
    <t>خام عجينة كفته أبو هاشم</t>
  </si>
  <si>
    <t>خام عجينة برجر  أبو هاشم</t>
  </si>
  <si>
    <t>خام مفروم صافى 5ك</t>
  </si>
  <si>
    <t>خام عجينة برجر  اسبيشيال</t>
  </si>
  <si>
    <t>خاج عجينة كفته اسبيشيال</t>
  </si>
  <si>
    <t xml:space="preserve">خام مفروم اسبيشيال </t>
  </si>
  <si>
    <t xml:space="preserve">خام عجينه بقري اسبيشيال </t>
  </si>
  <si>
    <t xml:space="preserve">خام عجينه مفروم صويا </t>
  </si>
  <si>
    <t>خام عجينه سجق اسبيشيال</t>
  </si>
  <si>
    <t>خام مفروم صويا الهنا</t>
  </si>
  <si>
    <t>خام عجينة برجر  الهنا</t>
  </si>
  <si>
    <t>خام عجينة كفته الهنا</t>
  </si>
  <si>
    <t>خام عجينة سجق الهنا</t>
  </si>
  <si>
    <t>فلاتر</t>
  </si>
  <si>
    <t xml:space="preserve">استطوانة فريون </t>
  </si>
  <si>
    <t xml:space="preserve">زيت سيارات </t>
  </si>
  <si>
    <t>اسم الصنف</t>
  </si>
  <si>
    <t>الرصيد النهائي المصنع</t>
  </si>
  <si>
    <t>الرصيد النهائي النهضه</t>
  </si>
  <si>
    <t>الرصيد النهائي المنوفية</t>
  </si>
  <si>
    <t>الرصيد النهائي التغليف</t>
  </si>
  <si>
    <t xml:space="preserve">بصل </t>
  </si>
  <si>
    <t>ثوم</t>
  </si>
  <si>
    <t>فلفل بارد</t>
  </si>
  <si>
    <t>مفروم فراخ شعبي</t>
  </si>
  <si>
    <t>صميد</t>
  </si>
  <si>
    <t>صويا لحمه</t>
  </si>
  <si>
    <t>صويا اوزيليت</t>
  </si>
  <si>
    <t>مفروم فراخ فاخر</t>
  </si>
  <si>
    <t xml:space="preserve">دهن بلدي </t>
  </si>
  <si>
    <t>لحم كتف</t>
  </si>
  <si>
    <t>لحم رقبه</t>
  </si>
  <si>
    <t>لحم سن</t>
  </si>
  <si>
    <t>لحمه ارباع</t>
  </si>
  <si>
    <t xml:space="preserve">سمانة هندي </t>
  </si>
  <si>
    <t>فلانك</t>
  </si>
  <si>
    <t>برغل</t>
  </si>
  <si>
    <t>صويا  فراخ</t>
  </si>
  <si>
    <t>كبده</t>
  </si>
  <si>
    <t>جلد</t>
  </si>
  <si>
    <t>هانك</t>
  </si>
  <si>
    <t>دوبريه</t>
  </si>
  <si>
    <t>فلفل رومي حامي</t>
  </si>
  <si>
    <t>بقسماط اصفر</t>
  </si>
  <si>
    <t>بقسماط ابيض</t>
  </si>
  <si>
    <t>بطاطس</t>
  </si>
  <si>
    <t>دوبرية بسطرمة (لحمة)</t>
  </si>
  <si>
    <t>قلب برازيلي</t>
  </si>
  <si>
    <t>بوش</t>
  </si>
  <si>
    <t>شعريه</t>
  </si>
  <si>
    <t>دقيق</t>
  </si>
  <si>
    <t>نشا</t>
  </si>
  <si>
    <t>فلفل اسود</t>
  </si>
  <si>
    <t xml:space="preserve">قرنفل </t>
  </si>
  <si>
    <t xml:space="preserve">كمون </t>
  </si>
  <si>
    <t>كبابه</t>
  </si>
  <si>
    <t>بقدونس</t>
  </si>
  <si>
    <t>لورا</t>
  </si>
  <si>
    <t>خلنجان</t>
  </si>
  <si>
    <t>كزبره</t>
  </si>
  <si>
    <t>قرفه</t>
  </si>
  <si>
    <t>زعتر</t>
  </si>
  <si>
    <t>شطه</t>
  </si>
  <si>
    <t>جوزه الطيب</t>
  </si>
  <si>
    <t>ينسون</t>
  </si>
  <si>
    <t>حبهان</t>
  </si>
  <si>
    <t>بابريكا</t>
  </si>
  <si>
    <t>جنزبيل</t>
  </si>
  <si>
    <t>الملح</t>
  </si>
  <si>
    <t>فوسفات</t>
  </si>
  <si>
    <t>جلتومات</t>
  </si>
  <si>
    <t>طعم سجق بودر</t>
  </si>
  <si>
    <t>طعم ليه</t>
  </si>
  <si>
    <t>طعم كفته</t>
  </si>
  <si>
    <t>طعم برجر</t>
  </si>
  <si>
    <t>طعم بيف</t>
  </si>
  <si>
    <t>طعم شواي</t>
  </si>
  <si>
    <t>طعم دخان</t>
  </si>
  <si>
    <t>سكر</t>
  </si>
  <si>
    <t>فلفل ابيض</t>
  </si>
  <si>
    <t>لون طبيعي</t>
  </si>
  <si>
    <t>طعم فراخ</t>
  </si>
  <si>
    <t>زيوت بسطرمه</t>
  </si>
  <si>
    <t>ثوم بودر</t>
  </si>
  <si>
    <t>كامينا</t>
  </si>
  <si>
    <t>MX</t>
  </si>
  <si>
    <t>زيت سجق</t>
  </si>
  <si>
    <t>كمينا ابيض</t>
  </si>
  <si>
    <t>كروت كبده شرائح 350</t>
  </si>
  <si>
    <t>اكياس افيز</t>
  </si>
  <si>
    <t>لازق</t>
  </si>
  <si>
    <t>كراتين ابوهاشم</t>
  </si>
  <si>
    <t xml:space="preserve">ورق برجر </t>
  </si>
  <si>
    <t xml:space="preserve">مزيل لماكينة التغليف </t>
  </si>
  <si>
    <t>الإجمالي</t>
  </si>
  <si>
    <t>مفروم ابو هاشم 350</t>
  </si>
  <si>
    <t>مفروم صافي ابوهاشم 500</t>
  </si>
  <si>
    <t>كبده اسكندراني 370</t>
  </si>
  <si>
    <t>سجق ابوهاشم 3ك</t>
  </si>
  <si>
    <t>سجق ابوهاشم 1ك</t>
  </si>
  <si>
    <t>سجق ابوهاشم 800</t>
  </si>
  <si>
    <t>سجق ابوهاشم 350</t>
  </si>
  <si>
    <t>كفته ابوهاشم 800</t>
  </si>
  <si>
    <t>كفته ابوهاشم 350</t>
  </si>
  <si>
    <t>برجر ابوهاشم 1.5</t>
  </si>
  <si>
    <t>برجر ابوهاشم1100</t>
  </si>
  <si>
    <t>برجر ابو هاشم 800</t>
  </si>
  <si>
    <t xml:space="preserve">برجر ابوهاشم 600 </t>
  </si>
  <si>
    <t>برجر ابوهاشم 400</t>
  </si>
  <si>
    <t>شاورما  400</t>
  </si>
  <si>
    <t>بفتيك 400</t>
  </si>
  <si>
    <t>قطع  400</t>
  </si>
  <si>
    <t>قطع 800</t>
  </si>
  <si>
    <t>مفروم ابو هاشم 3 ك</t>
  </si>
  <si>
    <t xml:space="preserve">سجق ابو هاشم 2 ك </t>
  </si>
  <si>
    <t xml:space="preserve">كبده امريكي3 ك </t>
  </si>
  <si>
    <t>مفروم صويا-بروتين  400 ش</t>
  </si>
  <si>
    <t>مفروم صويا-بروتين 400 علب</t>
  </si>
  <si>
    <t>برجر ابوهاشم 1200</t>
  </si>
  <si>
    <t>كبده اك</t>
  </si>
  <si>
    <t>برجر ابوهاشم 1000</t>
  </si>
  <si>
    <t>عجينة سجق ابوهاشم 1ك</t>
  </si>
  <si>
    <t>عجينة كفته ابو هاشم 5 ك</t>
  </si>
  <si>
    <t>كفتة ابو هاشم 1ك</t>
  </si>
  <si>
    <t>كيس كبده 3 ك برازيلي</t>
  </si>
  <si>
    <t>سجق ابو هاشم 1.5 ك</t>
  </si>
  <si>
    <t>عجينة سجق ابوهاشم 3ك</t>
  </si>
  <si>
    <t>كبده  500</t>
  </si>
  <si>
    <t>سجق الهنا 700</t>
  </si>
  <si>
    <t>سجق الهنا 300</t>
  </si>
  <si>
    <t>كفته الهنا 800</t>
  </si>
  <si>
    <t>كفته الهنا 350</t>
  </si>
  <si>
    <t>برجر الهنا 800</t>
  </si>
  <si>
    <t>برجر الهنا 900</t>
  </si>
  <si>
    <t>برجر الهنا 350</t>
  </si>
  <si>
    <t xml:space="preserve">سجق الهنا 3 ك </t>
  </si>
  <si>
    <t xml:space="preserve">سجق الهنا 5 ك </t>
  </si>
  <si>
    <t xml:space="preserve">بانيه 700 </t>
  </si>
  <si>
    <t>بانيه 800</t>
  </si>
  <si>
    <t>بانيه 900</t>
  </si>
  <si>
    <t>عجينه سجق هنا 5ك</t>
  </si>
  <si>
    <t>سجق الهنا عرض 200ج</t>
  </si>
  <si>
    <t>برجر الهنا عرض 300ج</t>
  </si>
  <si>
    <t>كفتة الهنا عرض 200ج</t>
  </si>
  <si>
    <t>عرض ثلاثي الهنا&lt;سجق برجر كفته &gt;</t>
  </si>
  <si>
    <t>برجر اسبيشيال1ك</t>
  </si>
  <si>
    <t>برجر اسبيشيال 400</t>
  </si>
  <si>
    <t>كفته اسبيشيال 900</t>
  </si>
  <si>
    <t>كفته اسبيشيال 350</t>
  </si>
  <si>
    <t>سجق اسبيشيال 700</t>
  </si>
  <si>
    <t>سجق اسبيشيال300</t>
  </si>
  <si>
    <t>بانيه اسبيشيال900</t>
  </si>
  <si>
    <t>بانيه اسبيشيال 800</t>
  </si>
  <si>
    <t>بانيه اسبيشيال حار800</t>
  </si>
  <si>
    <t>سجق اسبشيال 5ك</t>
  </si>
  <si>
    <t>مفروم اسبيشيال 400</t>
  </si>
  <si>
    <t>عجينه بقري اسبيشيال 5 كيلو</t>
  </si>
  <si>
    <t xml:space="preserve">عجينه مفروم صويا </t>
  </si>
  <si>
    <t>كبده اسبيشيال 400</t>
  </si>
  <si>
    <t>برجر مخصوص</t>
  </si>
  <si>
    <t>كفتة مخصوص</t>
  </si>
  <si>
    <t>سجق مخصوص 1ك</t>
  </si>
  <si>
    <t>عرض ثلاثي &lt;سجق برجر كفته 700جرام&gt;</t>
  </si>
  <si>
    <t>عجينه بقري اسبيشيال 500جرام</t>
  </si>
  <si>
    <t>بانيه 5كيلو حار</t>
  </si>
  <si>
    <t>عجينة بقرى 250ج</t>
  </si>
  <si>
    <t>مفروم صافى 5ك</t>
  </si>
  <si>
    <t>موزة فرخة</t>
  </si>
  <si>
    <t>بانيه بارد دوفا</t>
  </si>
  <si>
    <t>لحمة قطع كيلو أبو هاشم</t>
  </si>
  <si>
    <t>كبده اسبيشيال 3 ك</t>
  </si>
  <si>
    <t>بفتيك 600</t>
  </si>
  <si>
    <t>عجينة كفته الهنا الـ5 ك</t>
  </si>
  <si>
    <t xml:space="preserve">عجينة بقري 1 ك </t>
  </si>
  <si>
    <t xml:space="preserve">عجينة بقري 3 ك </t>
  </si>
  <si>
    <t>النفق</t>
  </si>
  <si>
    <t>فيليه</t>
  </si>
  <si>
    <t>كرفس</t>
  </si>
  <si>
    <t>روزماري</t>
  </si>
  <si>
    <t>بصل بودر</t>
  </si>
  <si>
    <t>كربوناتو</t>
  </si>
  <si>
    <t xml:space="preserve">شرش بودر </t>
  </si>
  <si>
    <t>أكياس بانيه الهنا 5 ك</t>
  </si>
  <si>
    <t xml:space="preserve">حشوة زيت </t>
  </si>
  <si>
    <t>استبربس SP 900</t>
  </si>
  <si>
    <t>استبربس 800</t>
  </si>
  <si>
    <t>استبربس GB 2</t>
  </si>
  <si>
    <t xml:space="preserve">خام عجينة برجر اسبيشيال </t>
  </si>
  <si>
    <t>أكياس استربس اسبيشيال ص</t>
  </si>
  <si>
    <t>بانيه 1 ك</t>
  </si>
  <si>
    <t xml:space="preserve">كفته أبو هاشم 1 ك </t>
  </si>
  <si>
    <t xml:space="preserve">فلتر هواء </t>
  </si>
  <si>
    <t>استربس 1 ك</t>
  </si>
  <si>
    <t>جرد شهر 8 لعام 2026</t>
  </si>
  <si>
    <t xml:space="preserve">كروت برجر أبو هاشم </t>
  </si>
  <si>
    <t xml:space="preserve">برجر أبو هاشم 1ك </t>
  </si>
  <si>
    <t xml:space="preserve">كروت استربس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</si>
</sst>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0"/>
      <name val="Arial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2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6" borderId="0" applyNumberFormat="0" applyBorder="0" applyAlignment="0" applyProtection="0"/>
    <xf numFmtId="0" fontId="7" fillId="22" borderId="12" applyNumberFormat="0" applyAlignment="0" applyProtection="0"/>
    <xf numFmtId="0" fontId="8" fillId="23" borderId="13" applyNumberFormat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4" fillId="10" borderId="12" applyNumberFormat="0" applyAlignment="0" applyProtection="0"/>
    <xf numFmtId="0" fontId="15" fillId="0" borderId="17" applyNumberFormat="0" applyFill="0" applyAlignment="0" applyProtection="0"/>
    <xf numFmtId="0" fontId="16" fillId="24" borderId="0" applyNumberFormat="0" applyBorder="0" applyAlignment="0" applyProtection="0"/>
    <xf numFmtId="0" fontId="17" fillId="25" borderId="18" applyNumberFormat="0" applyFont="0" applyAlignment="0" applyProtection="0"/>
    <xf numFmtId="0" fontId="18" fillId="22" borderId="19" applyNumberFormat="0" applyAlignment="0" applyProtection="0"/>
    <xf numFmtId="0" fontId="19" fillId="0" borderId="0" applyNumberFormat="0" applyFill="0" applyBorder="0" applyAlignment="0" applyProtection="0"/>
    <xf numFmtId="0" fontId="20" fillId="0" borderId="20" applyNumberFormat="0" applyFill="0" applyAlignment="0" applyProtection="0"/>
    <xf numFmtId="0" fontId="2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2" borderId="6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right"/>
    </xf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1" fontId="1" fillId="0" borderId="1" xfId="0" applyNumberFormat="1" applyFont="1" applyBorder="1"/>
    <xf numFmtId="2" fontId="1" fillId="0" borderId="1" xfId="0" applyNumberFormat="1" applyFont="1" applyBorder="1"/>
  </cellXfs>
  <cellStyles count="44">
    <cellStyle name="20% - Accent1" xfId="3" xr:uid="{98BF7EF2-0FB0-4F53-BF07-4F0204879330}"/>
    <cellStyle name="20% - Accent2" xfId="4" xr:uid="{61FCF3CC-69D1-4D95-8826-05F1208358EF}"/>
    <cellStyle name="20% - Accent3" xfId="5" xr:uid="{507B8746-5290-4963-9502-CAA611642737}"/>
    <cellStyle name="20% - Accent4" xfId="6" xr:uid="{4B61ABEE-4455-4943-93AC-61552CC0C3E4}"/>
    <cellStyle name="20% - Accent5" xfId="7" xr:uid="{E760FA76-6D12-44E0-9026-1A2A0A55ECFF}"/>
    <cellStyle name="20% - Accent6" xfId="8" xr:uid="{835FBC51-BAC5-4D3F-9BF8-8B4FC146F677}"/>
    <cellStyle name="40% - Accent1" xfId="9" xr:uid="{49F90F62-4207-4E6D-858E-B7B8920769A4}"/>
    <cellStyle name="40% - Accent2" xfId="10" xr:uid="{6AE962DF-0A0D-4E32-834F-32D19360757F}"/>
    <cellStyle name="40% - Accent3" xfId="11" xr:uid="{EB077589-326C-4917-B1E2-2896A8A2D79C}"/>
    <cellStyle name="40% - Accent3 2" xfId="2" xr:uid="{6FD4C5EA-656B-4A54-9048-8C03FFF91696}"/>
    <cellStyle name="40% - Accent4" xfId="12" xr:uid="{8F1998A5-49AF-45A1-BF97-96EE3842AC83}"/>
    <cellStyle name="40% - Accent5" xfId="13" xr:uid="{C2106FA8-F990-4671-A7A5-0F7673513D5A}"/>
    <cellStyle name="40% - Accent6" xfId="14" xr:uid="{5EACC164-F7BB-42BA-A2BB-77E569060AD6}"/>
    <cellStyle name="60% - Accent1" xfId="15" xr:uid="{A5FF2B1C-8CD5-4C68-8C72-77151C5C7046}"/>
    <cellStyle name="60% - Accent2" xfId="16" xr:uid="{E934D724-9A35-4734-B5AB-15307F7F57B7}"/>
    <cellStyle name="60% - Accent3" xfId="17" xr:uid="{B8744FB7-0A5F-483B-90F9-F16C6BF6576B}"/>
    <cellStyle name="60% - Accent4" xfId="18" xr:uid="{D4ABCFFB-34CE-4AEA-9214-8DC1F1F82390}"/>
    <cellStyle name="60% - Accent5" xfId="19" xr:uid="{B0B40576-1712-4E5D-ADC6-4D6517B519F5}"/>
    <cellStyle name="60% - Accent6" xfId="20" xr:uid="{1F0E09F3-C85A-487F-B414-A7F2619BCE0A}"/>
    <cellStyle name="Accent1" xfId="21" xr:uid="{51916046-9288-4605-83B1-F9439383DBFF}"/>
    <cellStyle name="Accent2" xfId="22" xr:uid="{1BEFA8AC-68D2-4860-90C8-28604CE76EE1}"/>
    <cellStyle name="Accent3" xfId="23" xr:uid="{FA6B71EF-CF1A-4515-938B-C05B91BB3E1B}"/>
    <cellStyle name="Accent4" xfId="24" xr:uid="{F390CE8B-2702-4AD5-B30B-6604388BB80A}"/>
    <cellStyle name="Accent5" xfId="25" xr:uid="{DDBA87CC-EB90-4908-A4CF-BD900FCD94AF}"/>
    <cellStyle name="Accent6" xfId="26" xr:uid="{58AE080C-AB09-4396-B9F4-23891BEFF670}"/>
    <cellStyle name="Bad" xfId="27" xr:uid="{C30D80BA-847D-4CBB-9960-64BE342AEE0B}"/>
    <cellStyle name="Calculation" xfId="28" xr:uid="{92190C74-EA60-4384-A5B1-9C3AEA66B581}"/>
    <cellStyle name="Check Cell" xfId="29" xr:uid="{ACD2E0A9-EEC8-46F1-A764-A832E8205C0C}"/>
    <cellStyle name="Explanatory Text" xfId="30" xr:uid="{95AAD415-486B-4D03-8679-DD6EFD0E79AF}"/>
    <cellStyle name="Good" xfId="31" xr:uid="{C6F96AA7-3CBF-4F5C-B87F-BAA6F9BD6F2E}"/>
    <cellStyle name="Heading 1" xfId="32" xr:uid="{7DA58484-70E6-43CA-9FF6-582BA163965F}"/>
    <cellStyle name="Heading 2" xfId="33" xr:uid="{3713F434-0C62-44F1-894E-3529126351B6}"/>
    <cellStyle name="Heading 3" xfId="34" xr:uid="{41F8E502-442E-4D07-80A9-F4A03C9BDC83}"/>
    <cellStyle name="Heading 4" xfId="35" xr:uid="{F3C33703-63F0-4CAB-9769-5D607BDD9ECA}"/>
    <cellStyle name="Input" xfId="36" xr:uid="{7D6B1DE4-9F12-431F-B0AD-CA692504543A}"/>
    <cellStyle name="Linked Cell" xfId="37" xr:uid="{899D87CD-D0C0-4671-A687-C4D69228AFBE}"/>
    <cellStyle name="Neutral" xfId="38" xr:uid="{CF81082A-0AF5-4439-9D96-8EF23E785E9D}"/>
    <cellStyle name="Normal" xfId="0" builtinId="0"/>
    <cellStyle name="Normal 2" xfId="1" xr:uid="{CAB98B09-382F-4261-9B16-A82BDD194821}"/>
    <cellStyle name="Note" xfId="39" xr:uid="{3157DEA9-BBDD-4235-9699-7909B97D4450}"/>
    <cellStyle name="Output" xfId="40" xr:uid="{2E617861-6889-40D6-84DC-6738D9D08BFB}"/>
    <cellStyle name="Title" xfId="41" xr:uid="{C437FD37-8E5D-41DF-A214-EADD331C7B5C}"/>
    <cellStyle name="Total" xfId="42" xr:uid="{4D135EE2-9599-4AAC-B6BE-E010B175EC70}"/>
    <cellStyle name="Warning Text" xfId="43" xr:uid="{D584DC6B-40E5-4D4E-8F13-B212D7A0A2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074-F9E1-47CB-9D65-9D1D53B05140}">
  <dimension ref="A2:I152"/>
  <sheetViews>
    <sheetView rightToLeft="1" tabSelected="1" zoomScale="85" zoomScaleNormal="85" workbookViewId="0">
      <pane xSplit="1" ySplit="4" topLeftCell="B139" activePane="bottomRight" state="frozen"/>
      <selection pane="topRight" activeCell="B1" sqref="B1"/>
      <selection pane="bottomLeft" activeCell="A5" sqref="A5"/>
      <selection pane="bottomRight" activeCell="C158" sqref="C158"/>
    </sheetView>
  </sheetViews>
  <sheetFormatPr defaultRowHeight="18.75"/>
  <cols>
    <col min="1" max="1" width="35.7109375" style="1" bestFit="1" customWidth="1"/>
    <col min="2" max="2" width="27.140625" style="1" bestFit="1" customWidth="1"/>
    <col min="3" max="3" width="11.42578125" style="1" bestFit="1" customWidth="1"/>
    <col min="4" max="4" width="27.140625" style="1" bestFit="1" customWidth="1"/>
    <col min="5" max="5" width="28" style="1" bestFit="1" customWidth="1"/>
    <col min="6" max="6" width="27.7109375" style="1" bestFit="1" customWidth="1"/>
    <col min="7" max="7" width="13.7109375" style="1" bestFit="1" customWidth="1"/>
    <col min="8" max="8" width="40.42578125" style="1" bestFit="1" customWidth="1"/>
    <col min="9" max="9" width="22.28515625" style="1" bestFit="1" customWidth="1"/>
    <col min="10" max="16384" width="9.140625" style="1"/>
  </cols>
  <sheetData>
    <row r="2" spans="1:9">
      <c r="D2" s="9" t="s">
        <v>248</v>
      </c>
      <c r="E2" s="9"/>
    </row>
    <row r="3" spans="1:9" ht="19.5" thickBot="1"/>
    <row r="4" spans="1:9">
      <c r="A4" s="2" t="s">
        <v>71</v>
      </c>
      <c r="B4" s="3" t="s">
        <v>72</v>
      </c>
      <c r="C4" s="3" t="s">
        <v>230</v>
      </c>
      <c r="D4" s="3" t="s">
        <v>73</v>
      </c>
      <c r="E4" s="3" t="s">
        <v>74</v>
      </c>
      <c r="F4" s="3" t="s">
        <v>75</v>
      </c>
      <c r="G4" s="3" t="s">
        <v>149</v>
      </c>
      <c r="H4" s="3" t="s">
        <v>71</v>
      </c>
      <c r="I4" s="4" t="s">
        <v>72</v>
      </c>
    </row>
    <row r="5" spans="1:9">
      <c r="A5" s="10" t="s">
        <v>76</v>
      </c>
      <c r="B5" s="11">
        <v>500</v>
      </c>
      <c r="C5" s="11"/>
      <c r="D5" s="11">
        <v>0</v>
      </c>
      <c r="E5" s="11">
        <v>0</v>
      </c>
      <c r="F5" s="11">
        <v>0</v>
      </c>
      <c r="G5" s="11">
        <f t="shared" ref="G5:G36" si="0">SUM(B5:F5)</f>
        <v>500</v>
      </c>
      <c r="H5" s="11" t="s">
        <v>150</v>
      </c>
      <c r="I5" s="5">
        <v>92</v>
      </c>
    </row>
    <row r="6" spans="1:9">
      <c r="A6" s="10" t="s">
        <v>77</v>
      </c>
      <c r="B6" s="11">
        <v>1240.25</v>
      </c>
      <c r="C6" s="11">
        <v>9.3000000000000007</v>
      </c>
      <c r="D6" s="11">
        <v>0</v>
      </c>
      <c r="E6" s="11">
        <v>0</v>
      </c>
      <c r="F6" s="11">
        <v>0</v>
      </c>
      <c r="G6" s="11">
        <f t="shared" si="0"/>
        <v>1249.55</v>
      </c>
      <c r="H6" s="11" t="s">
        <v>151</v>
      </c>
      <c r="I6" s="5">
        <v>30</v>
      </c>
    </row>
    <row r="7" spans="1:9">
      <c r="A7" s="10" t="s">
        <v>78</v>
      </c>
      <c r="B7" s="11">
        <v>320</v>
      </c>
      <c r="C7" s="11"/>
      <c r="D7" s="11">
        <v>0</v>
      </c>
      <c r="E7" s="11">
        <v>0</v>
      </c>
      <c r="F7" s="11">
        <v>0</v>
      </c>
      <c r="G7" s="11">
        <f t="shared" si="0"/>
        <v>320</v>
      </c>
      <c r="H7" s="11" t="s">
        <v>152</v>
      </c>
      <c r="I7" s="5">
        <v>172</v>
      </c>
    </row>
    <row r="8" spans="1:9">
      <c r="A8" s="10" t="s">
        <v>79</v>
      </c>
      <c r="B8" s="11">
        <v>2110</v>
      </c>
      <c r="C8" s="11">
        <v>10</v>
      </c>
      <c r="D8" s="11">
        <v>0</v>
      </c>
      <c r="E8" s="11">
        <v>0</v>
      </c>
      <c r="F8" s="11">
        <v>0</v>
      </c>
      <c r="G8" s="11">
        <f>B8+C8</f>
        <v>2120</v>
      </c>
      <c r="H8" s="11" t="s">
        <v>153</v>
      </c>
      <c r="I8" s="5">
        <v>358</v>
      </c>
    </row>
    <row r="9" spans="1:9">
      <c r="A9" s="10" t="s">
        <v>80</v>
      </c>
      <c r="B9" s="11">
        <v>1241</v>
      </c>
      <c r="C9" s="11"/>
      <c r="D9" s="11">
        <v>0</v>
      </c>
      <c r="E9" s="11">
        <v>0</v>
      </c>
      <c r="F9" s="11">
        <v>0</v>
      </c>
      <c r="G9" s="11">
        <f t="shared" si="0"/>
        <v>1241</v>
      </c>
      <c r="H9" s="11" t="s">
        <v>154</v>
      </c>
      <c r="I9" s="5">
        <v>0</v>
      </c>
    </row>
    <row r="10" spans="1:9">
      <c r="A10" s="10" t="s">
        <v>81</v>
      </c>
      <c r="B10" s="11">
        <v>680</v>
      </c>
      <c r="C10" s="11">
        <v>97</v>
      </c>
      <c r="D10" s="11">
        <v>0</v>
      </c>
      <c r="E10" s="11">
        <v>0</v>
      </c>
      <c r="F10" s="11">
        <v>0</v>
      </c>
      <c r="G10" s="11">
        <f t="shared" si="0"/>
        <v>777</v>
      </c>
      <c r="H10" s="11" t="s">
        <v>155</v>
      </c>
      <c r="I10" s="5">
        <v>201</v>
      </c>
    </row>
    <row r="11" spans="1:9">
      <c r="A11" s="10" t="s">
        <v>82</v>
      </c>
      <c r="B11" s="11">
        <v>151.5</v>
      </c>
      <c r="C11" s="11"/>
      <c r="D11" s="11">
        <v>0</v>
      </c>
      <c r="E11" s="11">
        <v>0</v>
      </c>
      <c r="F11" s="11">
        <v>0</v>
      </c>
      <c r="G11" s="11">
        <f t="shared" si="0"/>
        <v>151.5</v>
      </c>
      <c r="H11" s="11" t="s">
        <v>156</v>
      </c>
      <c r="I11" s="5">
        <v>158</v>
      </c>
    </row>
    <row r="12" spans="1:9">
      <c r="A12" s="10" t="s">
        <v>83</v>
      </c>
      <c r="B12" s="11">
        <v>415</v>
      </c>
      <c r="C12" s="11"/>
      <c r="D12" s="11">
        <v>0</v>
      </c>
      <c r="E12" s="11">
        <v>0</v>
      </c>
      <c r="F12" s="11">
        <v>0</v>
      </c>
      <c r="G12" s="11">
        <f t="shared" si="0"/>
        <v>415</v>
      </c>
      <c r="H12" s="11" t="s">
        <v>157</v>
      </c>
      <c r="I12" s="5">
        <v>278</v>
      </c>
    </row>
    <row r="13" spans="1:9">
      <c r="A13" s="10" t="s">
        <v>84</v>
      </c>
      <c r="B13" s="11">
        <v>1751.1999999999998</v>
      </c>
      <c r="C13" s="11">
        <v>3.65</v>
      </c>
      <c r="D13" s="11">
        <v>0</v>
      </c>
      <c r="E13" s="11">
        <v>0</v>
      </c>
      <c r="F13" s="11">
        <v>0</v>
      </c>
      <c r="G13" s="11">
        <f t="shared" si="0"/>
        <v>1754.85</v>
      </c>
      <c r="H13" s="11" t="s">
        <v>158</v>
      </c>
      <c r="I13" s="5">
        <v>81</v>
      </c>
    </row>
    <row r="14" spans="1:9">
      <c r="A14" s="10" t="s">
        <v>85</v>
      </c>
      <c r="B14" s="11">
        <v>20</v>
      </c>
      <c r="C14" s="11">
        <v>20</v>
      </c>
      <c r="D14" s="11">
        <v>0</v>
      </c>
      <c r="E14" s="11">
        <v>0</v>
      </c>
      <c r="F14" s="11">
        <v>0</v>
      </c>
      <c r="G14" s="11">
        <f t="shared" si="0"/>
        <v>40</v>
      </c>
      <c r="H14" s="11" t="s">
        <v>159</v>
      </c>
      <c r="I14" s="5">
        <v>147</v>
      </c>
    </row>
    <row r="15" spans="1:9">
      <c r="A15" s="10" t="s">
        <v>86</v>
      </c>
      <c r="B15" s="11">
        <v>40</v>
      </c>
      <c r="C15" s="11">
        <v>20</v>
      </c>
      <c r="D15" s="11">
        <v>0</v>
      </c>
      <c r="E15" s="11">
        <v>0</v>
      </c>
      <c r="F15" s="11">
        <v>0</v>
      </c>
      <c r="G15" s="11">
        <f t="shared" si="0"/>
        <v>60</v>
      </c>
      <c r="H15" s="11" t="s">
        <v>160</v>
      </c>
      <c r="I15" s="5">
        <v>240</v>
      </c>
    </row>
    <row r="16" spans="1:9">
      <c r="A16" s="10" t="s">
        <v>87</v>
      </c>
      <c r="B16" s="11">
        <v>0</v>
      </c>
      <c r="C16" s="11">
        <v>20</v>
      </c>
      <c r="D16" s="11">
        <v>0</v>
      </c>
      <c r="E16" s="11">
        <v>0</v>
      </c>
      <c r="F16" s="11">
        <v>0</v>
      </c>
      <c r="G16" s="11">
        <f t="shared" si="0"/>
        <v>20</v>
      </c>
      <c r="H16" s="11" t="s">
        <v>161</v>
      </c>
      <c r="I16" s="5">
        <v>0</v>
      </c>
    </row>
    <row r="17" spans="1:9">
      <c r="A17" s="10" t="s">
        <v>88</v>
      </c>
      <c r="B17" s="11">
        <v>5</v>
      </c>
      <c r="C17" s="11">
        <v>20</v>
      </c>
      <c r="D17" s="11">
        <v>0</v>
      </c>
      <c r="E17" s="11">
        <v>0</v>
      </c>
      <c r="F17" s="11">
        <v>0</v>
      </c>
      <c r="G17" s="11">
        <f t="shared" si="0"/>
        <v>25</v>
      </c>
      <c r="H17" s="11" t="s">
        <v>162</v>
      </c>
      <c r="I17" s="5">
        <v>0</v>
      </c>
    </row>
    <row r="18" spans="1:9">
      <c r="A18" s="10" t="s">
        <v>89</v>
      </c>
      <c r="B18" s="11">
        <v>0</v>
      </c>
      <c r="C18" s="11"/>
      <c r="D18" s="11">
        <v>0</v>
      </c>
      <c r="E18" s="11">
        <v>0</v>
      </c>
      <c r="F18" s="11">
        <v>0</v>
      </c>
      <c r="G18" s="11">
        <f t="shared" si="0"/>
        <v>0</v>
      </c>
      <c r="H18" s="11" t="s">
        <v>163</v>
      </c>
      <c r="I18" s="5">
        <v>0</v>
      </c>
    </row>
    <row r="19" spans="1:9">
      <c r="A19" s="10" t="s">
        <v>90</v>
      </c>
      <c r="B19" s="11">
        <v>106</v>
      </c>
      <c r="C19" s="11">
        <v>4</v>
      </c>
      <c r="D19" s="11">
        <v>0</v>
      </c>
      <c r="E19" s="11">
        <v>0</v>
      </c>
      <c r="F19" s="11">
        <v>0</v>
      </c>
      <c r="G19" s="11">
        <f t="shared" si="0"/>
        <v>110</v>
      </c>
      <c r="H19" s="11" t="s">
        <v>164</v>
      </c>
      <c r="I19" s="5">
        <v>0</v>
      </c>
    </row>
    <row r="20" spans="1:9">
      <c r="A20" s="10" t="s">
        <v>91</v>
      </c>
      <c r="B20" s="11">
        <v>3090</v>
      </c>
      <c r="C20" s="11">
        <v>235</v>
      </c>
      <c r="D20" s="11">
        <v>0</v>
      </c>
      <c r="E20" s="11">
        <v>0</v>
      </c>
      <c r="F20" s="11">
        <v>0</v>
      </c>
      <c r="G20" s="11">
        <f t="shared" si="0"/>
        <v>3325</v>
      </c>
      <c r="H20" s="11" t="s">
        <v>165</v>
      </c>
      <c r="I20" s="5">
        <v>0</v>
      </c>
    </row>
    <row r="21" spans="1:9">
      <c r="A21" s="10" t="s">
        <v>92</v>
      </c>
      <c r="B21" s="11">
        <v>180</v>
      </c>
      <c r="C21" s="11"/>
      <c r="D21" s="11">
        <v>0</v>
      </c>
      <c r="E21" s="11">
        <v>0</v>
      </c>
      <c r="F21" s="11">
        <v>0</v>
      </c>
      <c r="G21" s="11">
        <f t="shared" si="0"/>
        <v>180</v>
      </c>
      <c r="H21" s="11" t="s">
        <v>166</v>
      </c>
      <c r="I21" s="5">
        <v>4200</v>
      </c>
    </row>
    <row r="22" spans="1:9">
      <c r="A22" s="10" t="s">
        <v>93</v>
      </c>
      <c r="B22" s="11">
        <v>63.30400000000003</v>
      </c>
      <c r="C22" s="11"/>
      <c r="D22" s="11">
        <v>0</v>
      </c>
      <c r="E22" s="11">
        <v>0</v>
      </c>
      <c r="F22" s="11">
        <v>0</v>
      </c>
      <c r="G22" s="11">
        <f t="shared" si="0"/>
        <v>63.30400000000003</v>
      </c>
      <c r="H22" s="11" t="s">
        <v>167</v>
      </c>
      <c r="I22" s="5">
        <v>0</v>
      </c>
    </row>
    <row r="23" spans="1:9">
      <c r="A23" s="10" t="s">
        <v>94</v>
      </c>
      <c r="B23" s="11">
        <v>359</v>
      </c>
      <c r="C23" s="11"/>
      <c r="D23" s="11">
        <v>0</v>
      </c>
      <c r="E23" s="11">
        <v>0</v>
      </c>
      <c r="F23" s="11">
        <v>0</v>
      </c>
      <c r="G23" s="11">
        <f t="shared" si="0"/>
        <v>359</v>
      </c>
      <c r="H23" s="11" t="s">
        <v>168</v>
      </c>
      <c r="I23" s="5">
        <v>0</v>
      </c>
    </row>
    <row r="24" spans="1:9">
      <c r="A24" s="10" t="s">
        <v>95</v>
      </c>
      <c r="B24" s="11">
        <v>118</v>
      </c>
      <c r="C24" s="11"/>
      <c r="D24" s="11">
        <v>0</v>
      </c>
      <c r="E24" s="11">
        <v>0</v>
      </c>
      <c r="F24" s="11">
        <v>0</v>
      </c>
      <c r="G24" s="11">
        <f t="shared" si="0"/>
        <v>118</v>
      </c>
      <c r="H24" s="11" t="s">
        <v>169</v>
      </c>
      <c r="I24" s="5">
        <v>0</v>
      </c>
    </row>
    <row r="25" spans="1:9">
      <c r="A25" s="10" t="s">
        <v>96</v>
      </c>
      <c r="B25" s="11">
        <v>470</v>
      </c>
      <c r="C25" s="11"/>
      <c r="D25" s="11">
        <v>0</v>
      </c>
      <c r="E25" s="11">
        <v>0</v>
      </c>
      <c r="F25" s="11">
        <v>0</v>
      </c>
      <c r="G25" s="11">
        <f t="shared" si="0"/>
        <v>470</v>
      </c>
      <c r="H25" s="11" t="s">
        <v>170</v>
      </c>
      <c r="I25" s="5">
        <v>0</v>
      </c>
    </row>
    <row r="26" spans="1:9">
      <c r="A26" s="10" t="s">
        <v>97</v>
      </c>
      <c r="B26" s="11">
        <v>15.7</v>
      </c>
      <c r="C26" s="11"/>
      <c r="D26" s="11">
        <v>0</v>
      </c>
      <c r="E26" s="11">
        <v>0</v>
      </c>
      <c r="F26" s="11">
        <v>0</v>
      </c>
      <c r="G26" s="11">
        <f t="shared" si="0"/>
        <v>15.7</v>
      </c>
      <c r="H26" s="11" t="s">
        <v>171</v>
      </c>
      <c r="I26" s="5">
        <v>0</v>
      </c>
    </row>
    <row r="27" spans="1:9">
      <c r="A27" s="10" t="s">
        <v>231</v>
      </c>
      <c r="B27" s="11">
        <v>0</v>
      </c>
      <c r="C27" s="11"/>
      <c r="D27" s="11">
        <v>0</v>
      </c>
      <c r="E27" s="11">
        <v>0</v>
      </c>
      <c r="F27" s="11">
        <v>0</v>
      </c>
      <c r="G27" s="11">
        <f t="shared" si="0"/>
        <v>0</v>
      </c>
      <c r="H27" s="11" t="s">
        <v>172</v>
      </c>
      <c r="I27" s="5">
        <v>36</v>
      </c>
    </row>
    <row r="28" spans="1:9">
      <c r="A28" s="10" t="s">
        <v>98</v>
      </c>
      <c r="B28" s="11">
        <v>0</v>
      </c>
      <c r="C28" s="11"/>
      <c r="D28" s="11">
        <v>0</v>
      </c>
      <c r="E28" s="11">
        <v>0</v>
      </c>
      <c r="F28" s="11">
        <v>0</v>
      </c>
      <c r="G28" s="11">
        <f t="shared" si="0"/>
        <v>0</v>
      </c>
      <c r="H28" s="11" t="s">
        <v>173</v>
      </c>
      <c r="I28" s="5">
        <v>0</v>
      </c>
    </row>
    <row r="29" spans="1:9">
      <c r="A29" s="10" t="s">
        <v>99</v>
      </c>
      <c r="B29" s="11">
        <v>0</v>
      </c>
      <c r="C29" s="11"/>
      <c r="D29" s="11">
        <v>0</v>
      </c>
      <c r="E29" s="11">
        <v>0</v>
      </c>
      <c r="F29" s="11">
        <v>0</v>
      </c>
      <c r="G29" s="11">
        <f t="shared" si="0"/>
        <v>0</v>
      </c>
      <c r="H29" s="11" t="s">
        <v>174</v>
      </c>
      <c r="I29" s="5">
        <v>0</v>
      </c>
    </row>
    <row r="30" spans="1:9">
      <c r="A30" s="10" t="s">
        <v>100</v>
      </c>
      <c r="B30" s="11">
        <v>0</v>
      </c>
      <c r="C30" s="11"/>
      <c r="D30" s="11">
        <v>0</v>
      </c>
      <c r="E30" s="11">
        <v>0</v>
      </c>
      <c r="F30" s="11">
        <v>0</v>
      </c>
      <c r="G30" s="11">
        <f t="shared" si="0"/>
        <v>0</v>
      </c>
      <c r="H30" s="11" t="s">
        <v>175</v>
      </c>
      <c r="I30" s="5">
        <v>89</v>
      </c>
    </row>
    <row r="31" spans="1:9">
      <c r="A31" s="10" t="s">
        <v>101</v>
      </c>
      <c r="B31" s="11">
        <v>0</v>
      </c>
      <c r="C31" s="11"/>
      <c r="D31" s="11">
        <v>0</v>
      </c>
      <c r="E31" s="11">
        <v>0</v>
      </c>
      <c r="F31" s="11">
        <v>0</v>
      </c>
      <c r="G31" s="11">
        <f t="shared" si="0"/>
        <v>0</v>
      </c>
      <c r="H31" s="11" t="s">
        <v>53</v>
      </c>
      <c r="I31" s="5">
        <v>0</v>
      </c>
    </row>
    <row r="32" spans="1:9">
      <c r="A32" s="10" t="s">
        <v>102</v>
      </c>
      <c r="B32" s="11">
        <v>0</v>
      </c>
      <c r="C32" s="11"/>
      <c r="D32" s="11">
        <v>0</v>
      </c>
      <c r="E32" s="11">
        <v>0</v>
      </c>
      <c r="F32" s="11">
        <v>0</v>
      </c>
      <c r="G32" s="11">
        <f t="shared" si="0"/>
        <v>0</v>
      </c>
      <c r="H32" s="11" t="s">
        <v>176</v>
      </c>
      <c r="I32" s="5">
        <v>0</v>
      </c>
    </row>
    <row r="33" spans="1:9">
      <c r="A33" s="10" t="s">
        <v>103</v>
      </c>
      <c r="B33" s="11">
        <v>0</v>
      </c>
      <c r="C33" s="11"/>
      <c r="D33" s="11">
        <v>0</v>
      </c>
      <c r="E33" s="11">
        <v>0</v>
      </c>
      <c r="F33" s="11">
        <v>0</v>
      </c>
      <c r="G33" s="11">
        <f t="shared" si="0"/>
        <v>0</v>
      </c>
      <c r="H33" s="11" t="s">
        <v>177</v>
      </c>
      <c r="I33" s="5">
        <v>0</v>
      </c>
    </row>
    <row r="34" spans="1:9">
      <c r="A34" s="10" t="s">
        <v>104</v>
      </c>
      <c r="B34" s="11">
        <v>0</v>
      </c>
      <c r="C34" s="11"/>
      <c r="D34" s="11">
        <v>0</v>
      </c>
      <c r="E34" s="11">
        <v>0</v>
      </c>
      <c r="F34" s="11">
        <v>0</v>
      </c>
      <c r="G34" s="11">
        <f t="shared" si="0"/>
        <v>0</v>
      </c>
      <c r="H34" s="11" t="s">
        <v>178</v>
      </c>
      <c r="I34" s="5">
        <v>0</v>
      </c>
    </row>
    <row r="35" spans="1:9">
      <c r="A35" s="10" t="s">
        <v>105</v>
      </c>
      <c r="B35" s="11">
        <v>0</v>
      </c>
      <c r="C35" s="11"/>
      <c r="D35" s="11">
        <v>0</v>
      </c>
      <c r="E35" s="11">
        <v>0</v>
      </c>
      <c r="F35" s="11">
        <v>0</v>
      </c>
      <c r="G35" s="11">
        <f t="shared" si="0"/>
        <v>0</v>
      </c>
      <c r="H35" s="11" t="s">
        <v>179</v>
      </c>
      <c r="I35" s="5">
        <v>0</v>
      </c>
    </row>
    <row r="36" spans="1:9">
      <c r="A36" s="10" t="s">
        <v>106</v>
      </c>
      <c r="B36" s="11">
        <v>400</v>
      </c>
      <c r="C36" s="11"/>
      <c r="D36" s="11">
        <v>0</v>
      </c>
      <c r="E36" s="11">
        <v>0</v>
      </c>
      <c r="F36" s="11">
        <v>0</v>
      </c>
      <c r="G36" s="11">
        <f t="shared" si="0"/>
        <v>400</v>
      </c>
      <c r="H36" s="11" t="s">
        <v>180</v>
      </c>
      <c r="I36" s="5">
        <v>0</v>
      </c>
    </row>
    <row r="37" spans="1:9">
      <c r="A37" s="10" t="s">
        <v>107</v>
      </c>
      <c r="B37" s="11">
        <v>36.379999999999995</v>
      </c>
      <c r="C37" s="11"/>
      <c r="D37" s="11">
        <v>0</v>
      </c>
      <c r="E37" s="11">
        <v>0</v>
      </c>
      <c r="F37" s="11">
        <v>0</v>
      </c>
      <c r="G37" s="11">
        <f t="shared" ref="G37:G68" si="1">SUM(B37:F37)</f>
        <v>36.379999999999995</v>
      </c>
      <c r="H37" s="11" t="s">
        <v>181</v>
      </c>
      <c r="I37" s="5">
        <v>0</v>
      </c>
    </row>
    <row r="38" spans="1:9">
      <c r="A38" s="10" t="s">
        <v>108</v>
      </c>
      <c r="B38" s="11">
        <v>5.0999999999999996</v>
      </c>
      <c r="C38" s="11"/>
      <c r="D38" s="11">
        <v>0</v>
      </c>
      <c r="E38" s="11">
        <v>0</v>
      </c>
      <c r="F38" s="11">
        <v>0</v>
      </c>
      <c r="G38" s="11">
        <f t="shared" si="1"/>
        <v>5.0999999999999996</v>
      </c>
      <c r="H38" s="11" t="s">
        <v>182</v>
      </c>
      <c r="I38" s="5">
        <v>0</v>
      </c>
    </row>
    <row r="39" spans="1:9">
      <c r="A39" s="10" t="s">
        <v>109</v>
      </c>
      <c r="B39" s="11">
        <v>14.9</v>
      </c>
      <c r="C39" s="11"/>
      <c r="D39" s="11">
        <v>0</v>
      </c>
      <c r="E39" s="11">
        <v>0</v>
      </c>
      <c r="F39" s="11">
        <v>0</v>
      </c>
      <c r="G39" s="11">
        <f t="shared" si="1"/>
        <v>14.9</v>
      </c>
      <c r="H39" s="11" t="s">
        <v>183</v>
      </c>
      <c r="I39" s="5">
        <v>247</v>
      </c>
    </row>
    <row r="40" spans="1:9">
      <c r="A40" s="10" t="s">
        <v>232</v>
      </c>
      <c r="B40" s="11">
        <v>0</v>
      </c>
      <c r="C40" s="11"/>
      <c r="D40" s="11">
        <v>0</v>
      </c>
      <c r="E40" s="11">
        <v>0</v>
      </c>
      <c r="F40" s="11">
        <v>0</v>
      </c>
      <c r="G40" s="11">
        <f t="shared" si="1"/>
        <v>0</v>
      </c>
      <c r="H40" s="11" t="s">
        <v>184</v>
      </c>
      <c r="I40" s="5">
        <v>1009</v>
      </c>
    </row>
    <row r="41" spans="1:9">
      <c r="A41" s="10" t="s">
        <v>110</v>
      </c>
      <c r="B41" s="11">
        <v>10.6</v>
      </c>
      <c r="C41" s="11"/>
      <c r="D41" s="11">
        <v>0</v>
      </c>
      <c r="E41" s="11">
        <v>0</v>
      </c>
      <c r="F41" s="11">
        <v>0</v>
      </c>
      <c r="G41" s="11">
        <f t="shared" si="1"/>
        <v>10.6</v>
      </c>
      <c r="H41" s="11" t="s">
        <v>185</v>
      </c>
      <c r="I41" s="5">
        <v>1043</v>
      </c>
    </row>
    <row r="42" spans="1:9">
      <c r="A42" s="10" t="s">
        <v>111</v>
      </c>
      <c r="B42" s="11">
        <v>10</v>
      </c>
      <c r="C42" s="11"/>
      <c r="D42" s="11">
        <v>0</v>
      </c>
      <c r="E42" s="11">
        <v>0</v>
      </c>
      <c r="F42" s="11">
        <v>0</v>
      </c>
      <c r="G42" s="11">
        <f t="shared" si="1"/>
        <v>10</v>
      </c>
      <c r="H42" s="11" t="s">
        <v>186</v>
      </c>
      <c r="I42" s="5">
        <v>1885</v>
      </c>
    </row>
    <row r="43" spans="1:9">
      <c r="A43" s="10" t="s">
        <v>112</v>
      </c>
      <c r="B43" s="11">
        <v>12.5</v>
      </c>
      <c r="C43" s="11"/>
      <c r="D43" s="11">
        <v>0</v>
      </c>
      <c r="E43" s="11">
        <v>0</v>
      </c>
      <c r="F43" s="11">
        <v>0</v>
      </c>
      <c r="G43" s="11">
        <f t="shared" si="1"/>
        <v>12.5</v>
      </c>
      <c r="H43" s="11" t="s">
        <v>187</v>
      </c>
      <c r="I43" s="5">
        <v>60</v>
      </c>
    </row>
    <row r="44" spans="1:9">
      <c r="A44" s="10" t="s">
        <v>113</v>
      </c>
      <c r="B44" s="11">
        <v>4.9749999999999996</v>
      </c>
      <c r="C44" s="11"/>
      <c r="D44" s="11">
        <v>0</v>
      </c>
      <c r="E44" s="11">
        <v>0</v>
      </c>
      <c r="F44" s="11">
        <v>0</v>
      </c>
      <c r="G44" s="11">
        <f t="shared" si="1"/>
        <v>4.9749999999999996</v>
      </c>
      <c r="H44" s="11" t="s">
        <v>188</v>
      </c>
      <c r="I44" s="5">
        <v>680</v>
      </c>
    </row>
    <row r="45" spans="1:9">
      <c r="A45" s="10" t="s">
        <v>114</v>
      </c>
      <c r="B45" s="11">
        <v>55</v>
      </c>
      <c r="C45" s="11"/>
      <c r="D45" s="11">
        <v>0</v>
      </c>
      <c r="E45" s="11">
        <v>0</v>
      </c>
      <c r="F45" s="11">
        <v>0</v>
      </c>
      <c r="G45" s="11">
        <f t="shared" si="1"/>
        <v>55</v>
      </c>
      <c r="H45" s="11" t="s">
        <v>189</v>
      </c>
      <c r="I45" s="5">
        <v>1051</v>
      </c>
    </row>
    <row r="46" spans="1:9">
      <c r="A46" s="10" t="s">
        <v>115</v>
      </c>
      <c r="B46" s="11">
        <v>23.7</v>
      </c>
      <c r="C46" s="11"/>
      <c r="D46" s="11">
        <v>0</v>
      </c>
      <c r="E46" s="11">
        <v>0</v>
      </c>
      <c r="F46" s="11">
        <v>0</v>
      </c>
      <c r="G46" s="11">
        <f t="shared" si="1"/>
        <v>23.7</v>
      </c>
      <c r="H46" s="11" t="s">
        <v>190</v>
      </c>
      <c r="I46" s="5">
        <v>0</v>
      </c>
    </row>
    <row r="47" spans="1:9">
      <c r="A47" s="10" t="s">
        <v>116</v>
      </c>
      <c r="B47" s="11">
        <v>3</v>
      </c>
      <c r="C47" s="11"/>
      <c r="D47" s="11">
        <v>0</v>
      </c>
      <c r="E47" s="11">
        <v>0</v>
      </c>
      <c r="F47" s="11">
        <v>0</v>
      </c>
      <c r="G47" s="11">
        <f t="shared" si="1"/>
        <v>3</v>
      </c>
      <c r="H47" s="11" t="s">
        <v>191</v>
      </c>
      <c r="I47" s="5">
        <v>121</v>
      </c>
    </row>
    <row r="48" spans="1:9">
      <c r="A48" s="10" t="s">
        <v>117</v>
      </c>
      <c r="B48" s="11">
        <v>63</v>
      </c>
      <c r="C48" s="11"/>
      <c r="D48" s="11">
        <v>0</v>
      </c>
      <c r="E48" s="11">
        <v>0</v>
      </c>
      <c r="F48" s="11">
        <v>0</v>
      </c>
      <c r="G48" s="11">
        <f t="shared" si="1"/>
        <v>63</v>
      </c>
      <c r="H48" s="11" t="s">
        <v>192</v>
      </c>
      <c r="I48" s="5">
        <v>0</v>
      </c>
    </row>
    <row r="49" spans="1:9">
      <c r="A49" s="10" t="s">
        <v>118</v>
      </c>
      <c r="B49" s="11">
        <v>1.7899999999999998</v>
      </c>
      <c r="C49" s="11"/>
      <c r="D49" s="11">
        <v>0</v>
      </c>
      <c r="E49" s="11">
        <v>0</v>
      </c>
      <c r="F49" s="11">
        <v>0</v>
      </c>
      <c r="G49" s="11">
        <f t="shared" si="1"/>
        <v>1.7899999999999998</v>
      </c>
      <c r="H49" s="11" t="s">
        <v>193</v>
      </c>
      <c r="I49" s="5">
        <v>483</v>
      </c>
    </row>
    <row r="50" spans="1:9">
      <c r="A50" s="10" t="s">
        <v>119</v>
      </c>
      <c r="B50" s="11">
        <v>10.44</v>
      </c>
      <c r="C50" s="11"/>
      <c r="D50" s="11">
        <v>0</v>
      </c>
      <c r="E50" s="11">
        <v>0</v>
      </c>
      <c r="F50" s="11">
        <v>0</v>
      </c>
      <c r="G50" s="11">
        <f t="shared" si="1"/>
        <v>10.44</v>
      </c>
      <c r="H50" s="11" t="s">
        <v>194</v>
      </c>
      <c r="I50" s="5">
        <v>0</v>
      </c>
    </row>
    <row r="51" spans="1:9">
      <c r="A51" s="10" t="s">
        <v>120</v>
      </c>
      <c r="B51" s="11">
        <v>9.1999999999999993</v>
      </c>
      <c r="C51" s="11"/>
      <c r="D51" s="11">
        <v>0</v>
      </c>
      <c r="E51" s="11">
        <v>0</v>
      </c>
      <c r="F51" s="11">
        <v>0</v>
      </c>
      <c r="G51" s="11">
        <f t="shared" si="1"/>
        <v>9.1999999999999993</v>
      </c>
      <c r="H51" s="11" t="s">
        <v>195</v>
      </c>
      <c r="I51" s="5">
        <v>0</v>
      </c>
    </row>
    <row r="52" spans="1:9">
      <c r="A52" s="10" t="s">
        <v>233</v>
      </c>
      <c r="B52" s="11">
        <v>0</v>
      </c>
      <c r="C52" s="11"/>
      <c r="D52" s="11">
        <v>0</v>
      </c>
      <c r="E52" s="11">
        <v>0</v>
      </c>
      <c r="F52" s="11">
        <v>0</v>
      </c>
      <c r="G52" s="11">
        <f t="shared" si="1"/>
        <v>0</v>
      </c>
      <c r="H52" s="11" t="s">
        <v>196</v>
      </c>
      <c r="I52" s="5">
        <v>0</v>
      </c>
    </row>
    <row r="53" spans="1:9">
      <c r="A53" s="10" t="s">
        <v>121</v>
      </c>
      <c r="B53" s="11">
        <v>31.700000000000003</v>
      </c>
      <c r="C53" s="11"/>
      <c r="D53" s="11">
        <v>0</v>
      </c>
      <c r="E53" s="11">
        <v>0</v>
      </c>
      <c r="F53" s="11">
        <v>0</v>
      </c>
      <c r="G53" s="11">
        <f t="shared" si="1"/>
        <v>31.700000000000003</v>
      </c>
      <c r="H53" s="11" t="s">
        <v>197</v>
      </c>
      <c r="I53" s="5">
        <v>0</v>
      </c>
    </row>
    <row r="54" spans="1:9">
      <c r="A54" s="10" t="s">
        <v>122</v>
      </c>
      <c r="B54" s="11">
        <v>9.5</v>
      </c>
      <c r="C54" s="11"/>
      <c r="D54" s="11">
        <v>0</v>
      </c>
      <c r="E54" s="11">
        <v>0</v>
      </c>
      <c r="F54" s="11">
        <v>0</v>
      </c>
      <c r="G54" s="11">
        <f t="shared" si="1"/>
        <v>9.5</v>
      </c>
      <c r="H54" s="11" t="s">
        <v>198</v>
      </c>
      <c r="I54" s="5">
        <v>0</v>
      </c>
    </row>
    <row r="55" spans="1:9">
      <c r="A55" s="10" t="s">
        <v>123</v>
      </c>
      <c r="B55" s="11">
        <v>742</v>
      </c>
      <c r="C55" s="11"/>
      <c r="D55" s="11">
        <v>0</v>
      </c>
      <c r="E55" s="11">
        <v>0</v>
      </c>
      <c r="F55" s="11">
        <v>0</v>
      </c>
      <c r="G55" s="11">
        <f t="shared" si="1"/>
        <v>742</v>
      </c>
      <c r="H55" s="11" t="s">
        <v>239</v>
      </c>
      <c r="I55" s="5">
        <v>14</v>
      </c>
    </row>
    <row r="56" spans="1:9">
      <c r="A56" s="10" t="s">
        <v>124</v>
      </c>
      <c r="B56" s="11">
        <v>212</v>
      </c>
      <c r="C56" s="11"/>
      <c r="D56" s="11">
        <v>0</v>
      </c>
      <c r="E56" s="11">
        <v>0</v>
      </c>
      <c r="F56" s="11">
        <v>0</v>
      </c>
      <c r="G56" s="11">
        <f t="shared" si="1"/>
        <v>212</v>
      </c>
      <c r="H56" s="11" t="s">
        <v>199</v>
      </c>
      <c r="I56" s="5">
        <v>0</v>
      </c>
    </row>
    <row r="57" spans="1:9">
      <c r="A57" s="10" t="s">
        <v>125</v>
      </c>
      <c r="B57" s="11">
        <v>127.5</v>
      </c>
      <c r="C57" s="11"/>
      <c r="D57" s="11">
        <v>0</v>
      </c>
      <c r="E57" s="11">
        <v>0</v>
      </c>
      <c r="F57" s="11">
        <v>0</v>
      </c>
      <c r="G57" s="11">
        <f t="shared" si="1"/>
        <v>127.5</v>
      </c>
      <c r="H57" s="11" t="s">
        <v>200</v>
      </c>
      <c r="I57" s="5">
        <v>868</v>
      </c>
    </row>
    <row r="58" spans="1:9">
      <c r="A58" s="10" t="s">
        <v>126</v>
      </c>
      <c r="B58" s="11">
        <v>5.25</v>
      </c>
      <c r="C58" s="11"/>
      <c r="D58" s="11">
        <v>0</v>
      </c>
      <c r="E58" s="11">
        <v>0</v>
      </c>
      <c r="F58" s="11">
        <v>0</v>
      </c>
      <c r="G58" s="11">
        <f t="shared" si="1"/>
        <v>5.25</v>
      </c>
      <c r="H58" s="11" t="s">
        <v>201</v>
      </c>
      <c r="I58" s="5">
        <v>626</v>
      </c>
    </row>
    <row r="59" spans="1:9">
      <c r="A59" s="10" t="s">
        <v>234</v>
      </c>
      <c r="B59" s="11">
        <v>0</v>
      </c>
      <c r="C59" s="11"/>
      <c r="D59" s="11">
        <v>0</v>
      </c>
      <c r="E59" s="11">
        <v>0</v>
      </c>
      <c r="F59" s="11">
        <v>0</v>
      </c>
      <c r="G59" s="11">
        <f t="shared" si="1"/>
        <v>0</v>
      </c>
      <c r="H59" s="11" t="s">
        <v>202</v>
      </c>
      <c r="I59" s="5">
        <v>876</v>
      </c>
    </row>
    <row r="60" spans="1:9">
      <c r="A60" s="10" t="s">
        <v>127</v>
      </c>
      <c r="B60" s="11">
        <v>19.305</v>
      </c>
      <c r="C60" s="11"/>
      <c r="D60" s="11">
        <v>0</v>
      </c>
      <c r="E60" s="11">
        <v>0</v>
      </c>
      <c r="F60" s="11">
        <v>0</v>
      </c>
      <c r="G60" s="11">
        <f t="shared" si="1"/>
        <v>19.305</v>
      </c>
      <c r="H60" s="11" t="s">
        <v>203</v>
      </c>
      <c r="I60" s="6">
        <v>1155</v>
      </c>
    </row>
    <row r="61" spans="1:9">
      <c r="A61" s="10" t="s">
        <v>128</v>
      </c>
      <c r="B61" s="11">
        <v>31.5</v>
      </c>
      <c r="C61" s="11"/>
      <c r="D61" s="11">
        <v>0</v>
      </c>
      <c r="E61" s="11">
        <v>0</v>
      </c>
      <c r="F61" s="11">
        <v>0</v>
      </c>
      <c r="G61" s="11">
        <f t="shared" si="1"/>
        <v>31.5</v>
      </c>
      <c r="H61" s="11" t="s">
        <v>204</v>
      </c>
      <c r="I61" s="5">
        <v>68</v>
      </c>
    </row>
    <row r="62" spans="1:9">
      <c r="A62" s="10" t="s">
        <v>129</v>
      </c>
      <c r="B62" s="11">
        <v>7.2</v>
      </c>
      <c r="C62" s="11"/>
      <c r="D62" s="11">
        <v>0</v>
      </c>
      <c r="E62" s="11">
        <v>0</v>
      </c>
      <c r="F62" s="11">
        <v>0</v>
      </c>
      <c r="G62" s="11">
        <f t="shared" si="1"/>
        <v>7.2</v>
      </c>
      <c r="H62" s="11" t="s">
        <v>205</v>
      </c>
      <c r="I62" s="5">
        <v>22</v>
      </c>
    </row>
    <row r="63" spans="1:9">
      <c r="A63" s="10" t="s">
        <v>130</v>
      </c>
      <c r="B63" s="11">
        <v>9.5</v>
      </c>
      <c r="C63" s="11"/>
      <c r="D63" s="11">
        <v>0</v>
      </c>
      <c r="E63" s="11">
        <v>0</v>
      </c>
      <c r="F63" s="11">
        <v>0</v>
      </c>
      <c r="G63" s="11">
        <f t="shared" si="1"/>
        <v>9.5</v>
      </c>
      <c r="H63" s="11" t="s">
        <v>206</v>
      </c>
      <c r="I63" s="5">
        <v>36</v>
      </c>
    </row>
    <row r="64" spans="1:9">
      <c r="A64" s="10" t="s">
        <v>131</v>
      </c>
      <c r="B64" s="11">
        <v>17.5</v>
      </c>
      <c r="C64" s="11"/>
      <c r="D64" s="11">
        <v>0</v>
      </c>
      <c r="E64" s="11">
        <v>0</v>
      </c>
      <c r="F64" s="11">
        <v>0</v>
      </c>
      <c r="G64" s="11">
        <f t="shared" si="1"/>
        <v>17.5</v>
      </c>
      <c r="H64" s="11" t="s">
        <v>207</v>
      </c>
      <c r="I64" s="5">
        <v>0</v>
      </c>
    </row>
    <row r="65" spans="1:9">
      <c r="A65" s="10" t="s">
        <v>132</v>
      </c>
      <c r="B65" s="11">
        <v>0</v>
      </c>
      <c r="C65" s="11"/>
      <c r="D65" s="11">
        <v>0</v>
      </c>
      <c r="E65" s="11">
        <v>0</v>
      </c>
      <c r="F65" s="11">
        <v>0</v>
      </c>
      <c r="G65" s="11">
        <f t="shared" si="1"/>
        <v>0</v>
      </c>
      <c r="H65" s="11" t="s">
        <v>208</v>
      </c>
      <c r="I65" s="5">
        <v>0</v>
      </c>
    </row>
    <row r="66" spans="1:9">
      <c r="A66" s="10" t="s">
        <v>235</v>
      </c>
      <c r="B66" s="11">
        <v>1.35</v>
      </c>
      <c r="C66" s="11"/>
      <c r="D66" s="11">
        <v>0</v>
      </c>
      <c r="E66" s="11">
        <v>0</v>
      </c>
      <c r="F66" s="11">
        <v>0</v>
      </c>
      <c r="G66" s="11">
        <f t="shared" si="1"/>
        <v>1.35</v>
      </c>
      <c r="H66" s="11" t="s">
        <v>209</v>
      </c>
      <c r="I66" s="5">
        <v>0</v>
      </c>
    </row>
    <row r="67" spans="1:9">
      <c r="A67" s="10" t="s">
        <v>236</v>
      </c>
      <c r="B67" s="11">
        <v>21.95</v>
      </c>
      <c r="C67" s="11"/>
      <c r="D67" s="11">
        <v>0</v>
      </c>
      <c r="E67" s="11">
        <v>0</v>
      </c>
      <c r="F67" s="11">
        <v>0</v>
      </c>
      <c r="G67" s="11">
        <f t="shared" si="1"/>
        <v>21.95</v>
      </c>
      <c r="H67" s="11" t="s">
        <v>240</v>
      </c>
      <c r="I67" s="5">
        <v>0</v>
      </c>
    </row>
    <row r="68" spans="1:9">
      <c r="A68" s="10" t="s">
        <v>133</v>
      </c>
      <c r="B68" s="11">
        <v>3.4949999999999997</v>
      </c>
      <c r="C68" s="11"/>
      <c r="D68" s="11">
        <v>0</v>
      </c>
      <c r="E68" s="11">
        <v>0</v>
      </c>
      <c r="F68" s="11">
        <v>0</v>
      </c>
      <c r="G68" s="11">
        <f t="shared" si="1"/>
        <v>3.4949999999999997</v>
      </c>
      <c r="H68" s="11" t="s">
        <v>210</v>
      </c>
      <c r="I68" s="5">
        <v>0</v>
      </c>
    </row>
    <row r="69" spans="1:9">
      <c r="A69" s="10" t="s">
        <v>134</v>
      </c>
      <c r="B69" s="11">
        <v>0</v>
      </c>
      <c r="C69" s="11"/>
      <c r="D69" s="11">
        <v>0</v>
      </c>
      <c r="E69" s="11">
        <v>0</v>
      </c>
      <c r="F69" s="11">
        <v>0</v>
      </c>
      <c r="G69" s="11">
        <f t="shared" ref="G69:G100" si="2">SUM(B69:F69)</f>
        <v>0</v>
      </c>
      <c r="H69" s="11" t="s">
        <v>211</v>
      </c>
      <c r="I69" s="5">
        <v>14</v>
      </c>
    </row>
    <row r="70" spans="1:9">
      <c r="A70" s="10" t="s">
        <v>135</v>
      </c>
      <c r="B70" s="11">
        <v>10.664999999999999</v>
      </c>
      <c r="C70" s="11"/>
      <c r="D70" s="11">
        <v>0</v>
      </c>
      <c r="E70" s="11">
        <v>0</v>
      </c>
      <c r="F70" s="11">
        <v>0</v>
      </c>
      <c r="G70" s="11">
        <f t="shared" si="2"/>
        <v>10.664999999999999</v>
      </c>
      <c r="H70" s="11" t="s">
        <v>212</v>
      </c>
      <c r="I70" s="5">
        <v>0</v>
      </c>
    </row>
    <row r="71" spans="1:9">
      <c r="A71" s="10" t="s">
        <v>136</v>
      </c>
      <c r="B71" s="11">
        <v>0</v>
      </c>
      <c r="C71" s="11"/>
      <c r="D71" s="11">
        <v>0</v>
      </c>
      <c r="E71" s="11">
        <v>0</v>
      </c>
      <c r="F71" s="11">
        <v>0</v>
      </c>
      <c r="G71" s="11">
        <f t="shared" si="2"/>
        <v>0</v>
      </c>
      <c r="H71" s="11" t="s">
        <v>213</v>
      </c>
      <c r="I71" s="5">
        <v>0</v>
      </c>
    </row>
    <row r="72" spans="1:9">
      <c r="A72" s="10" t="s">
        <v>137</v>
      </c>
      <c r="B72" s="11">
        <v>6</v>
      </c>
      <c r="C72" s="11"/>
      <c r="D72" s="11">
        <v>0</v>
      </c>
      <c r="E72" s="11">
        <v>0</v>
      </c>
      <c r="F72" s="11">
        <v>0</v>
      </c>
      <c r="G72" s="11">
        <f t="shared" si="2"/>
        <v>6</v>
      </c>
      <c r="H72" s="11" t="s">
        <v>214</v>
      </c>
      <c r="I72" s="5">
        <v>0</v>
      </c>
    </row>
    <row r="73" spans="1:9">
      <c r="A73" s="10" t="s">
        <v>138</v>
      </c>
      <c r="B73" s="11">
        <v>0</v>
      </c>
      <c r="C73" s="11"/>
      <c r="D73" s="11">
        <v>0</v>
      </c>
      <c r="E73" s="11">
        <v>0</v>
      </c>
      <c r="F73" s="11">
        <v>0</v>
      </c>
      <c r="G73" s="11">
        <f t="shared" si="2"/>
        <v>0</v>
      </c>
      <c r="H73" s="11" t="s">
        <v>215</v>
      </c>
      <c r="I73" s="5">
        <v>0</v>
      </c>
    </row>
    <row r="74" spans="1:9">
      <c r="A74" s="10" t="s">
        <v>139</v>
      </c>
      <c r="B74" s="11">
        <v>4.33</v>
      </c>
      <c r="C74" s="11"/>
      <c r="D74" s="11">
        <v>0</v>
      </c>
      <c r="E74" s="11">
        <v>0</v>
      </c>
      <c r="F74" s="11">
        <v>0</v>
      </c>
      <c r="G74" s="11">
        <f t="shared" si="2"/>
        <v>4.33</v>
      </c>
      <c r="H74" s="11" t="s">
        <v>216</v>
      </c>
      <c r="I74" s="5">
        <v>0</v>
      </c>
    </row>
    <row r="75" spans="1:9">
      <c r="A75" s="12" t="s">
        <v>140</v>
      </c>
      <c r="B75" s="11">
        <v>34.6</v>
      </c>
      <c r="C75" s="11"/>
      <c r="D75" s="11">
        <v>0</v>
      </c>
      <c r="E75" s="11">
        <v>0</v>
      </c>
      <c r="F75" s="11">
        <v>0</v>
      </c>
      <c r="G75" s="11">
        <f t="shared" si="2"/>
        <v>34.6</v>
      </c>
      <c r="H75" s="11" t="s">
        <v>217</v>
      </c>
      <c r="I75" s="5">
        <v>0</v>
      </c>
    </row>
    <row r="76" spans="1:9">
      <c r="A76" s="10" t="s">
        <v>141</v>
      </c>
      <c r="B76" s="11">
        <v>2.3999999999999995</v>
      </c>
      <c r="C76" s="11"/>
      <c r="D76" s="11">
        <v>0</v>
      </c>
      <c r="E76" s="11">
        <v>0</v>
      </c>
      <c r="F76" s="11">
        <v>0</v>
      </c>
      <c r="G76" s="11">
        <f t="shared" si="2"/>
        <v>2.3999999999999995</v>
      </c>
      <c r="H76" s="11" t="s">
        <v>218</v>
      </c>
      <c r="I76" s="5">
        <v>0</v>
      </c>
    </row>
    <row r="77" spans="1:9">
      <c r="A77" s="10" t="s">
        <v>142</v>
      </c>
      <c r="B77" s="11">
        <v>18</v>
      </c>
      <c r="C77" s="11"/>
      <c r="D77" s="11">
        <v>0</v>
      </c>
      <c r="E77" s="11">
        <v>0</v>
      </c>
      <c r="F77" s="11">
        <v>0</v>
      </c>
      <c r="G77" s="11">
        <f t="shared" si="2"/>
        <v>18</v>
      </c>
      <c r="H77" s="11" t="s">
        <v>219</v>
      </c>
      <c r="I77" s="5">
        <v>0</v>
      </c>
    </row>
    <row r="78" spans="1:9">
      <c r="A78" s="10" t="s">
        <v>143</v>
      </c>
      <c r="B78" s="11">
        <v>0</v>
      </c>
      <c r="C78" s="11"/>
      <c r="D78" s="11">
        <v>0</v>
      </c>
      <c r="E78" s="11">
        <v>0</v>
      </c>
      <c r="F78" s="11">
        <v>14451</v>
      </c>
      <c r="G78" s="11">
        <f t="shared" si="2"/>
        <v>14451</v>
      </c>
      <c r="H78" s="11" t="s">
        <v>220</v>
      </c>
      <c r="I78" s="5">
        <v>0</v>
      </c>
    </row>
    <row r="79" spans="1:9">
      <c r="A79" s="10" t="s">
        <v>144</v>
      </c>
      <c r="B79" s="11">
        <v>700</v>
      </c>
      <c r="C79" s="11"/>
      <c r="D79" s="11">
        <v>0</v>
      </c>
      <c r="E79" s="11">
        <v>0</v>
      </c>
      <c r="F79" s="11">
        <v>31</v>
      </c>
      <c r="G79" s="11">
        <f t="shared" si="2"/>
        <v>731</v>
      </c>
      <c r="H79" s="11" t="s">
        <v>221</v>
      </c>
      <c r="I79" s="5">
        <v>0</v>
      </c>
    </row>
    <row r="80" spans="1:9">
      <c r="A80" s="10" t="s">
        <v>145</v>
      </c>
      <c r="B80" s="11">
        <v>28</v>
      </c>
      <c r="C80" s="11"/>
      <c r="D80" s="11">
        <v>0</v>
      </c>
      <c r="E80" s="11">
        <v>0</v>
      </c>
      <c r="F80" s="11">
        <v>39</v>
      </c>
      <c r="G80" s="11">
        <f t="shared" si="2"/>
        <v>67</v>
      </c>
      <c r="H80" s="11" t="s">
        <v>222</v>
      </c>
      <c r="I80" s="5">
        <v>0</v>
      </c>
    </row>
    <row r="81" spans="1:9">
      <c r="A81" s="10" t="s">
        <v>146</v>
      </c>
      <c r="B81" s="11">
        <v>0</v>
      </c>
      <c r="C81" s="11"/>
      <c r="D81" s="11">
        <v>754</v>
      </c>
      <c r="E81" s="11">
        <v>0</v>
      </c>
      <c r="F81" s="11">
        <v>0</v>
      </c>
      <c r="G81" s="11">
        <f t="shared" si="2"/>
        <v>754</v>
      </c>
      <c r="H81" s="11" t="s">
        <v>223</v>
      </c>
      <c r="I81" s="5">
        <v>0</v>
      </c>
    </row>
    <row r="82" spans="1:9">
      <c r="A82" s="10" t="s">
        <v>147</v>
      </c>
      <c r="B82" s="11">
        <v>484</v>
      </c>
      <c r="C82" s="11"/>
      <c r="D82" s="11">
        <v>0</v>
      </c>
      <c r="E82" s="11">
        <v>0</v>
      </c>
      <c r="F82" s="11">
        <v>5</v>
      </c>
      <c r="G82" s="11">
        <f t="shared" si="2"/>
        <v>489</v>
      </c>
      <c r="H82" s="11" t="s">
        <v>54</v>
      </c>
      <c r="I82" s="5">
        <v>0</v>
      </c>
    </row>
    <row r="83" spans="1:9">
      <c r="A83" s="10" t="s">
        <v>148</v>
      </c>
      <c r="B83" s="11">
        <v>1</v>
      </c>
      <c r="C83" s="11"/>
      <c r="D83" s="11">
        <v>0</v>
      </c>
      <c r="E83" s="11">
        <v>0</v>
      </c>
      <c r="F83" s="11">
        <v>0</v>
      </c>
      <c r="G83" s="11">
        <f t="shared" si="2"/>
        <v>1</v>
      </c>
      <c r="H83" s="11" t="s">
        <v>55</v>
      </c>
      <c r="I83" s="5">
        <v>0</v>
      </c>
    </row>
    <row r="84" spans="1:9">
      <c r="A84" s="10" t="s">
        <v>0</v>
      </c>
      <c r="B84" s="11">
        <v>20</v>
      </c>
      <c r="C84" s="11"/>
      <c r="D84" s="11">
        <v>0</v>
      </c>
      <c r="E84" s="11">
        <v>642.5</v>
      </c>
      <c r="F84" s="11">
        <v>46</v>
      </c>
      <c r="G84" s="16">
        <f t="shared" si="2"/>
        <v>708.5</v>
      </c>
      <c r="H84" s="11" t="s">
        <v>56</v>
      </c>
      <c r="I84" s="5">
        <v>0</v>
      </c>
    </row>
    <row r="85" spans="1:9">
      <c r="A85" s="10" t="s">
        <v>1</v>
      </c>
      <c r="B85" s="11">
        <v>60</v>
      </c>
      <c r="C85" s="11"/>
      <c r="D85" s="11">
        <v>0</v>
      </c>
      <c r="E85" s="11">
        <v>499.29999999999995</v>
      </c>
      <c r="F85" s="11">
        <v>9.5</v>
      </c>
      <c r="G85" s="16">
        <f t="shared" si="2"/>
        <v>568.79999999999995</v>
      </c>
      <c r="H85" s="11" t="s">
        <v>57</v>
      </c>
      <c r="I85" s="5">
        <v>0</v>
      </c>
    </row>
    <row r="86" spans="1:9">
      <c r="A86" s="10" t="s">
        <v>2</v>
      </c>
      <c r="B86" s="11">
        <v>20</v>
      </c>
      <c r="C86" s="11"/>
      <c r="D86" s="11">
        <v>0</v>
      </c>
      <c r="E86" s="11">
        <v>302.5</v>
      </c>
      <c r="F86" s="11">
        <v>37</v>
      </c>
      <c r="G86" s="16">
        <f t="shared" si="2"/>
        <v>359.5</v>
      </c>
      <c r="H86" s="11" t="s">
        <v>58</v>
      </c>
      <c r="I86" s="5">
        <v>0</v>
      </c>
    </row>
    <row r="87" spans="1:9">
      <c r="A87" s="10" t="s">
        <v>3</v>
      </c>
      <c r="B87" s="11">
        <v>60</v>
      </c>
      <c r="C87" s="11"/>
      <c r="D87" s="11">
        <v>0</v>
      </c>
      <c r="E87" s="11">
        <v>380</v>
      </c>
      <c r="F87" s="11">
        <v>30</v>
      </c>
      <c r="G87" s="16">
        <f t="shared" si="2"/>
        <v>470</v>
      </c>
      <c r="H87" s="11" t="s">
        <v>59</v>
      </c>
      <c r="I87" s="5">
        <v>0</v>
      </c>
    </row>
    <row r="88" spans="1:9">
      <c r="A88" s="10" t="s">
        <v>4</v>
      </c>
      <c r="B88" s="11">
        <v>24.3</v>
      </c>
      <c r="C88" s="11"/>
      <c r="D88" s="11">
        <v>21.3</v>
      </c>
      <c r="E88" s="11">
        <v>0</v>
      </c>
      <c r="F88" s="11">
        <v>0</v>
      </c>
      <c r="G88" s="16">
        <f t="shared" si="2"/>
        <v>45.6</v>
      </c>
      <c r="H88" s="11" t="s">
        <v>60</v>
      </c>
      <c r="I88" s="5">
        <v>0</v>
      </c>
    </row>
    <row r="89" spans="1:9">
      <c r="A89" s="10" t="s">
        <v>5</v>
      </c>
      <c r="B89" s="11">
        <v>0</v>
      </c>
      <c r="C89" s="11"/>
      <c r="D89" s="11">
        <v>89</v>
      </c>
      <c r="E89" s="11">
        <v>381.7</v>
      </c>
      <c r="F89" s="11">
        <v>24</v>
      </c>
      <c r="G89" s="16">
        <f t="shared" si="2"/>
        <v>494.7</v>
      </c>
      <c r="H89" s="11" t="s">
        <v>61</v>
      </c>
      <c r="I89" s="5">
        <v>0</v>
      </c>
    </row>
    <row r="90" spans="1:9">
      <c r="A90" s="10" t="s">
        <v>6</v>
      </c>
      <c r="B90" s="11">
        <v>20</v>
      </c>
      <c r="C90" s="11"/>
      <c r="D90" s="11">
        <v>0</v>
      </c>
      <c r="E90" s="11">
        <v>262.5</v>
      </c>
      <c r="F90" s="11">
        <v>10.5</v>
      </c>
      <c r="G90" s="16">
        <f t="shared" si="2"/>
        <v>293</v>
      </c>
      <c r="H90" s="11" t="s">
        <v>62</v>
      </c>
      <c r="I90" s="5">
        <v>0</v>
      </c>
    </row>
    <row r="91" spans="1:9">
      <c r="A91" s="10" t="s">
        <v>7</v>
      </c>
      <c r="B91" s="11">
        <v>0</v>
      </c>
      <c r="C91" s="11"/>
      <c r="D91" s="11">
        <v>0</v>
      </c>
      <c r="E91" s="11">
        <v>360</v>
      </c>
      <c r="F91" s="11">
        <v>13</v>
      </c>
      <c r="G91" s="16">
        <f t="shared" si="2"/>
        <v>373</v>
      </c>
      <c r="H91" s="11" t="s">
        <v>63</v>
      </c>
      <c r="I91" s="5">
        <v>0</v>
      </c>
    </row>
    <row r="92" spans="1:9">
      <c r="A92" s="10" t="s">
        <v>8</v>
      </c>
      <c r="B92" s="11">
        <v>0</v>
      </c>
      <c r="C92" s="11"/>
      <c r="D92" s="11">
        <v>0</v>
      </c>
      <c r="E92" s="11">
        <v>0</v>
      </c>
      <c r="F92" s="11">
        <v>7</v>
      </c>
      <c r="G92" s="16">
        <f t="shared" si="2"/>
        <v>7</v>
      </c>
      <c r="H92" s="11" t="s">
        <v>64</v>
      </c>
      <c r="I92" s="5">
        <v>0</v>
      </c>
    </row>
    <row r="93" spans="1:9">
      <c r="A93" s="10" t="s">
        <v>9</v>
      </c>
      <c r="B93" s="11">
        <v>0</v>
      </c>
      <c r="C93" s="11"/>
      <c r="D93" s="11">
        <v>4.8499999999999996</v>
      </c>
      <c r="E93" s="11">
        <v>0</v>
      </c>
      <c r="F93" s="11">
        <v>0</v>
      </c>
      <c r="G93" s="16">
        <f t="shared" si="2"/>
        <v>4.8499999999999996</v>
      </c>
      <c r="H93" s="11" t="s">
        <v>65</v>
      </c>
      <c r="I93" s="5">
        <v>0</v>
      </c>
    </row>
    <row r="94" spans="1:9">
      <c r="A94" s="10" t="s">
        <v>10</v>
      </c>
      <c r="B94" s="11">
        <v>0</v>
      </c>
      <c r="C94" s="11"/>
      <c r="D94" s="11">
        <v>22.8</v>
      </c>
      <c r="E94" s="11">
        <v>43</v>
      </c>
      <c r="F94" s="11">
        <v>23</v>
      </c>
      <c r="G94" s="16">
        <f t="shared" si="2"/>
        <v>88.8</v>
      </c>
      <c r="H94" s="11" t="s">
        <v>66</v>
      </c>
      <c r="I94" s="5">
        <v>0</v>
      </c>
    </row>
    <row r="95" spans="1:9">
      <c r="A95" s="10" t="s">
        <v>11</v>
      </c>
      <c r="B95" s="11">
        <v>0</v>
      </c>
      <c r="C95" s="11"/>
      <c r="D95" s="11">
        <v>46</v>
      </c>
      <c r="E95" s="11">
        <v>0</v>
      </c>
      <c r="F95" s="11">
        <v>0</v>
      </c>
      <c r="G95" s="16">
        <f t="shared" si="2"/>
        <v>46</v>
      </c>
      <c r="H95" s="11" t="s">
        <v>67</v>
      </c>
      <c r="I95" s="5">
        <v>0</v>
      </c>
    </row>
    <row r="96" spans="1:9">
      <c r="A96" s="10" t="s">
        <v>12</v>
      </c>
      <c r="B96" s="11">
        <v>0</v>
      </c>
      <c r="C96" s="11"/>
      <c r="D96" s="11">
        <v>0</v>
      </c>
      <c r="E96" s="11">
        <v>0</v>
      </c>
      <c r="F96" s="11">
        <v>0</v>
      </c>
      <c r="G96" s="16">
        <f t="shared" si="2"/>
        <v>0</v>
      </c>
      <c r="H96" s="11" t="s">
        <v>245</v>
      </c>
      <c r="I96" s="5">
        <v>3</v>
      </c>
    </row>
    <row r="97" spans="1:9">
      <c r="A97" s="10" t="s">
        <v>13</v>
      </c>
      <c r="B97" s="11">
        <v>25</v>
      </c>
      <c r="C97" s="11"/>
      <c r="D97" s="11">
        <v>0</v>
      </c>
      <c r="E97" s="11">
        <v>25</v>
      </c>
      <c r="F97" s="11">
        <v>27</v>
      </c>
      <c r="G97" s="16">
        <f t="shared" si="2"/>
        <v>77</v>
      </c>
      <c r="H97" s="11" t="s">
        <v>224</v>
      </c>
      <c r="I97" s="5">
        <v>0</v>
      </c>
    </row>
    <row r="98" spans="1:9">
      <c r="A98" s="10" t="s">
        <v>14</v>
      </c>
      <c r="B98" s="11">
        <v>0</v>
      </c>
      <c r="C98" s="11"/>
      <c r="D98" s="11">
        <v>21.3</v>
      </c>
      <c r="E98" s="11">
        <v>0</v>
      </c>
      <c r="F98" s="11">
        <v>14.633000000000001</v>
      </c>
      <c r="G98" s="16">
        <f t="shared" si="2"/>
        <v>35.933</v>
      </c>
      <c r="H98" s="11" t="s">
        <v>225</v>
      </c>
      <c r="I98" s="5">
        <v>0</v>
      </c>
    </row>
    <row r="99" spans="1:9">
      <c r="A99" s="10" t="s">
        <v>15</v>
      </c>
      <c r="B99" s="11">
        <v>0</v>
      </c>
      <c r="C99" s="11"/>
      <c r="D99" s="11">
        <v>0</v>
      </c>
      <c r="E99" s="11">
        <v>0</v>
      </c>
      <c r="F99" s="11">
        <v>5.29</v>
      </c>
      <c r="G99" s="16">
        <f t="shared" si="2"/>
        <v>5.29</v>
      </c>
      <c r="H99" s="11" t="s">
        <v>226</v>
      </c>
      <c r="I99" s="5">
        <v>0</v>
      </c>
    </row>
    <row r="100" spans="1:9">
      <c r="A100" s="10" t="s">
        <v>16</v>
      </c>
      <c r="B100" s="11">
        <v>0</v>
      </c>
      <c r="C100" s="11"/>
      <c r="D100" s="11">
        <v>0</v>
      </c>
      <c r="E100" s="11">
        <v>0</v>
      </c>
      <c r="F100" s="11">
        <v>140.47400000000005</v>
      </c>
      <c r="G100" s="16">
        <f t="shared" si="2"/>
        <v>140.47400000000005</v>
      </c>
      <c r="H100" s="11" t="s">
        <v>227</v>
      </c>
      <c r="I100" s="5">
        <v>0</v>
      </c>
    </row>
    <row r="101" spans="1:9">
      <c r="A101" s="10" t="s">
        <v>17</v>
      </c>
      <c r="B101" s="11">
        <v>44500</v>
      </c>
      <c r="C101" s="11"/>
      <c r="D101" s="11">
        <v>0</v>
      </c>
      <c r="E101" s="11">
        <v>0</v>
      </c>
      <c r="F101" s="11">
        <v>200</v>
      </c>
      <c r="G101" s="16">
        <f t="shared" ref="G101:G130" si="3">SUM(B101:F101)</f>
        <v>44700</v>
      </c>
      <c r="H101" s="11" t="s">
        <v>228</v>
      </c>
      <c r="I101" s="5">
        <v>0</v>
      </c>
    </row>
    <row r="102" spans="1:9">
      <c r="A102" s="10" t="s">
        <v>18</v>
      </c>
      <c r="B102" s="11">
        <v>20000</v>
      </c>
      <c r="C102" s="11"/>
      <c r="D102" s="11">
        <v>0</v>
      </c>
      <c r="E102" s="11">
        <v>0</v>
      </c>
      <c r="F102" s="11">
        <v>1200</v>
      </c>
      <c r="G102" s="16">
        <f t="shared" si="3"/>
        <v>21200</v>
      </c>
      <c r="H102" s="11" t="s">
        <v>229</v>
      </c>
      <c r="I102" s="5">
        <v>0</v>
      </c>
    </row>
    <row r="103" spans="1:9">
      <c r="A103" s="10" t="s">
        <v>19</v>
      </c>
      <c r="B103" s="11">
        <v>260</v>
      </c>
      <c r="C103" s="11"/>
      <c r="D103" s="11">
        <v>0</v>
      </c>
      <c r="E103" s="11">
        <v>0</v>
      </c>
      <c r="F103" s="11">
        <v>0</v>
      </c>
      <c r="G103" s="16">
        <f t="shared" si="3"/>
        <v>260</v>
      </c>
      <c r="H103" s="11" t="s">
        <v>241</v>
      </c>
      <c r="I103" s="5">
        <v>12</v>
      </c>
    </row>
    <row r="104" spans="1:9">
      <c r="A104" s="10" t="s">
        <v>20</v>
      </c>
      <c r="B104" s="11">
        <v>0</v>
      </c>
      <c r="C104" s="11"/>
      <c r="D104" s="11">
        <v>0</v>
      </c>
      <c r="E104" s="11">
        <v>50</v>
      </c>
      <c r="F104" s="11">
        <v>18.600000000000001</v>
      </c>
      <c r="G104" s="16">
        <f t="shared" si="3"/>
        <v>68.599999999999994</v>
      </c>
      <c r="H104" s="11" t="s">
        <v>244</v>
      </c>
      <c r="I104" s="5">
        <v>1091</v>
      </c>
    </row>
    <row r="105" spans="1:9">
      <c r="A105" s="10" t="s">
        <v>21</v>
      </c>
      <c r="B105" s="11">
        <v>51.900000000000006</v>
      </c>
      <c r="C105" s="11"/>
      <c r="D105" s="11">
        <v>0</v>
      </c>
      <c r="E105" s="11">
        <v>0</v>
      </c>
      <c r="F105" s="11">
        <v>0</v>
      </c>
      <c r="G105" s="16">
        <f t="shared" si="3"/>
        <v>51.900000000000006</v>
      </c>
      <c r="H105" s="11" t="s">
        <v>247</v>
      </c>
      <c r="I105" s="5">
        <v>1090</v>
      </c>
    </row>
    <row r="106" spans="1:9">
      <c r="A106" s="10" t="s">
        <v>22</v>
      </c>
      <c r="B106" s="11">
        <v>48.650000000000006</v>
      </c>
      <c r="C106" s="11"/>
      <c r="D106" s="11">
        <v>0</v>
      </c>
      <c r="E106" s="11">
        <v>0</v>
      </c>
      <c r="F106" s="11">
        <v>0</v>
      </c>
      <c r="G106" s="16">
        <f t="shared" si="3"/>
        <v>48.650000000000006</v>
      </c>
      <c r="H106" s="11">
        <v>0</v>
      </c>
      <c r="I106" s="5"/>
    </row>
    <row r="107" spans="1:9">
      <c r="A107" s="10" t="s">
        <v>23</v>
      </c>
      <c r="B107" s="11">
        <v>0</v>
      </c>
      <c r="C107" s="11"/>
      <c r="D107" s="11">
        <v>0</v>
      </c>
      <c r="E107" s="11">
        <v>10.9</v>
      </c>
      <c r="F107" s="11">
        <v>10.4</v>
      </c>
      <c r="G107" s="16">
        <f t="shared" si="3"/>
        <v>21.3</v>
      </c>
      <c r="H107" s="11">
        <v>0</v>
      </c>
      <c r="I107" s="5"/>
    </row>
    <row r="108" spans="1:9">
      <c r="A108" s="10" t="s">
        <v>251</v>
      </c>
      <c r="B108" s="11">
        <v>0</v>
      </c>
      <c r="C108" s="11"/>
      <c r="D108" s="11">
        <v>0</v>
      </c>
      <c r="E108" s="11">
        <v>0</v>
      </c>
      <c r="F108" s="11">
        <v>2000</v>
      </c>
      <c r="G108" s="16">
        <f t="shared" si="3"/>
        <v>2000</v>
      </c>
      <c r="H108" s="11">
        <v>0</v>
      </c>
      <c r="I108" s="5"/>
    </row>
    <row r="109" spans="1:9">
      <c r="A109" s="10" t="s">
        <v>24</v>
      </c>
      <c r="B109" s="11">
        <v>0</v>
      </c>
      <c r="C109" s="11"/>
      <c r="D109" s="11">
        <v>0</v>
      </c>
      <c r="E109" s="11">
        <v>0</v>
      </c>
      <c r="F109" s="11">
        <v>9225</v>
      </c>
      <c r="G109" s="16">
        <f t="shared" si="3"/>
        <v>9225</v>
      </c>
      <c r="H109" s="11">
        <v>0</v>
      </c>
      <c r="I109" s="5"/>
    </row>
    <row r="110" spans="1:9">
      <c r="A110" s="10" t="s">
        <v>25</v>
      </c>
      <c r="B110" s="11">
        <v>0</v>
      </c>
      <c r="C110" s="11"/>
      <c r="D110" s="11">
        <v>0</v>
      </c>
      <c r="E110" s="11">
        <v>0</v>
      </c>
      <c r="F110" s="11">
        <v>8786</v>
      </c>
      <c r="G110" s="16">
        <f t="shared" si="3"/>
        <v>8786</v>
      </c>
      <c r="H110" s="11">
        <v>0</v>
      </c>
      <c r="I110" s="5"/>
    </row>
    <row r="111" spans="1:9">
      <c r="A111" s="10" t="s">
        <v>26</v>
      </c>
      <c r="B111" s="11">
        <v>81.5</v>
      </c>
      <c r="C111" s="11"/>
      <c r="D111" s="11">
        <v>0</v>
      </c>
      <c r="E111" s="11">
        <v>476</v>
      </c>
      <c r="F111" s="11">
        <v>26</v>
      </c>
      <c r="G111" s="16">
        <f t="shared" si="3"/>
        <v>583.5</v>
      </c>
      <c r="H111" s="11">
        <v>0</v>
      </c>
      <c r="I111" s="5"/>
    </row>
    <row r="112" spans="1:9">
      <c r="A112" s="10" t="s">
        <v>27</v>
      </c>
      <c r="B112" s="11">
        <v>0</v>
      </c>
      <c r="C112" s="11"/>
      <c r="D112" s="11">
        <v>0</v>
      </c>
      <c r="E112" s="11">
        <v>0</v>
      </c>
      <c r="F112" s="11">
        <v>13.8</v>
      </c>
      <c r="G112" s="16">
        <f t="shared" si="3"/>
        <v>13.8</v>
      </c>
      <c r="H112" s="11">
        <v>0</v>
      </c>
      <c r="I112" s="5"/>
    </row>
    <row r="113" spans="1:9">
      <c r="A113" s="10" t="s">
        <v>249</v>
      </c>
      <c r="B113" s="11">
        <v>0</v>
      </c>
      <c r="C113" s="11"/>
      <c r="D113" s="11">
        <v>0</v>
      </c>
      <c r="E113" s="11">
        <v>0</v>
      </c>
      <c r="F113" s="11">
        <v>2000</v>
      </c>
      <c r="G113" s="16">
        <f t="shared" si="3"/>
        <v>2000</v>
      </c>
      <c r="H113" s="11">
        <v>0</v>
      </c>
      <c r="I113" s="5"/>
    </row>
    <row r="114" spans="1:9">
      <c r="A114" s="10" t="s">
        <v>28</v>
      </c>
      <c r="B114" s="11">
        <v>0</v>
      </c>
      <c r="C114" s="11"/>
      <c r="D114" s="11">
        <v>0</v>
      </c>
      <c r="E114" s="11">
        <v>140</v>
      </c>
      <c r="F114" s="11">
        <v>48.3</v>
      </c>
      <c r="G114" s="16">
        <f t="shared" si="3"/>
        <v>188.3</v>
      </c>
      <c r="H114" s="11">
        <v>0</v>
      </c>
      <c r="I114" s="5"/>
    </row>
    <row r="115" spans="1:9">
      <c r="A115" s="10" t="s">
        <v>29</v>
      </c>
      <c r="B115" s="11">
        <v>0</v>
      </c>
      <c r="C115" s="11"/>
      <c r="D115" s="11">
        <v>0</v>
      </c>
      <c r="E115" s="11">
        <v>240</v>
      </c>
      <c r="F115" s="11">
        <v>120</v>
      </c>
      <c r="G115" s="16">
        <f t="shared" si="3"/>
        <v>360</v>
      </c>
      <c r="H115" s="11">
        <v>0</v>
      </c>
      <c r="I115" s="5"/>
    </row>
    <row r="116" spans="1:9">
      <c r="A116" s="10" t="s">
        <v>30</v>
      </c>
      <c r="B116" s="11">
        <v>8.3000000000000007</v>
      </c>
      <c r="C116" s="11"/>
      <c r="D116" s="11">
        <v>0</v>
      </c>
      <c r="E116" s="11">
        <v>198.25</v>
      </c>
      <c r="F116" s="11">
        <v>53</v>
      </c>
      <c r="G116" s="16">
        <f t="shared" si="3"/>
        <v>259.55</v>
      </c>
      <c r="H116" s="11">
        <v>0</v>
      </c>
      <c r="I116" s="5"/>
    </row>
    <row r="117" spans="1:9">
      <c r="A117" s="10" t="s">
        <v>31</v>
      </c>
      <c r="B117" s="11">
        <v>16.600000000000001</v>
      </c>
      <c r="C117" s="11"/>
      <c r="D117" s="11">
        <v>0</v>
      </c>
      <c r="E117" s="11">
        <v>421.75</v>
      </c>
      <c r="F117" s="11">
        <v>18</v>
      </c>
      <c r="G117" s="16">
        <f t="shared" si="3"/>
        <v>456.35</v>
      </c>
      <c r="H117" s="11">
        <v>0</v>
      </c>
      <c r="I117" s="5"/>
    </row>
    <row r="118" spans="1:9">
      <c r="A118" s="10" t="s">
        <v>32</v>
      </c>
      <c r="B118" s="11">
        <v>30</v>
      </c>
      <c r="C118" s="11"/>
      <c r="D118" s="11">
        <v>0</v>
      </c>
      <c r="E118" s="11">
        <v>660</v>
      </c>
      <c r="F118" s="11">
        <v>19</v>
      </c>
      <c r="G118" s="16">
        <f t="shared" si="3"/>
        <v>709</v>
      </c>
      <c r="H118" s="11">
        <v>0</v>
      </c>
      <c r="I118" s="5"/>
    </row>
    <row r="119" spans="1:9">
      <c r="A119" s="10" t="s">
        <v>33</v>
      </c>
      <c r="B119" s="11">
        <v>30</v>
      </c>
      <c r="C119" s="11"/>
      <c r="D119" s="11">
        <v>0</v>
      </c>
      <c r="E119" s="11">
        <v>743.5</v>
      </c>
      <c r="F119" s="11">
        <v>21.8</v>
      </c>
      <c r="G119" s="16">
        <f t="shared" si="3"/>
        <v>795.3</v>
      </c>
      <c r="H119" s="11">
        <v>0</v>
      </c>
      <c r="I119" s="5"/>
    </row>
    <row r="120" spans="1:9">
      <c r="A120" s="10" t="s">
        <v>34</v>
      </c>
      <c r="B120" s="11">
        <v>73</v>
      </c>
      <c r="C120" s="11"/>
      <c r="D120" s="11">
        <v>0</v>
      </c>
      <c r="E120" s="11">
        <v>90</v>
      </c>
      <c r="F120" s="11">
        <v>14</v>
      </c>
      <c r="G120" s="16">
        <f t="shared" si="3"/>
        <v>177</v>
      </c>
      <c r="H120" s="11">
        <v>0</v>
      </c>
      <c r="I120" s="5"/>
    </row>
    <row r="121" spans="1:9">
      <c r="A121" s="10" t="s">
        <v>35</v>
      </c>
      <c r="B121" s="11">
        <v>0</v>
      </c>
      <c r="C121" s="11"/>
      <c r="D121" s="11">
        <v>0</v>
      </c>
      <c r="E121" s="11">
        <v>0</v>
      </c>
      <c r="F121" s="11">
        <v>827</v>
      </c>
      <c r="G121" s="16">
        <f t="shared" si="3"/>
        <v>827</v>
      </c>
      <c r="H121" s="11">
        <v>0</v>
      </c>
      <c r="I121" s="5"/>
    </row>
    <row r="122" spans="1:9">
      <c r="A122" s="10" t="s">
        <v>36</v>
      </c>
      <c r="B122" s="11">
        <v>0</v>
      </c>
      <c r="C122" s="11"/>
      <c r="D122" s="11">
        <v>0</v>
      </c>
      <c r="E122" s="11">
        <v>0</v>
      </c>
      <c r="F122" s="11">
        <v>0</v>
      </c>
      <c r="G122" s="16">
        <f t="shared" si="3"/>
        <v>0</v>
      </c>
      <c r="H122" s="11">
        <v>0</v>
      </c>
      <c r="I122" s="5"/>
    </row>
    <row r="123" spans="1:9">
      <c r="A123" s="10" t="s">
        <v>37</v>
      </c>
      <c r="B123" s="11">
        <v>0</v>
      </c>
      <c r="C123" s="11"/>
      <c r="D123" s="11">
        <v>0</v>
      </c>
      <c r="E123" s="11">
        <v>0</v>
      </c>
      <c r="F123" s="11">
        <v>0</v>
      </c>
      <c r="G123" s="16">
        <f t="shared" si="3"/>
        <v>0</v>
      </c>
      <c r="H123" s="11">
        <v>0</v>
      </c>
      <c r="I123" s="5"/>
    </row>
    <row r="124" spans="1:9">
      <c r="A124" s="10" t="s">
        <v>38</v>
      </c>
      <c r="B124" s="11">
        <v>0</v>
      </c>
      <c r="C124" s="11"/>
      <c r="D124" s="11">
        <v>0</v>
      </c>
      <c r="E124" s="11">
        <v>0</v>
      </c>
      <c r="F124" s="11">
        <v>1073</v>
      </c>
      <c r="G124" s="16">
        <f t="shared" si="3"/>
        <v>1073</v>
      </c>
      <c r="H124" s="11">
        <v>0</v>
      </c>
      <c r="I124" s="5"/>
    </row>
    <row r="125" spans="1:9">
      <c r="A125" s="10" t="s">
        <v>39</v>
      </c>
      <c r="B125" s="11">
        <v>0</v>
      </c>
      <c r="C125" s="11"/>
      <c r="D125" s="11">
        <v>0</v>
      </c>
      <c r="E125" s="11">
        <v>0</v>
      </c>
      <c r="F125" s="11">
        <v>0</v>
      </c>
      <c r="G125" s="16">
        <f t="shared" si="3"/>
        <v>0</v>
      </c>
      <c r="H125" s="11">
        <v>0</v>
      </c>
      <c r="I125" s="5"/>
    </row>
    <row r="126" spans="1:9">
      <c r="A126" s="10" t="s">
        <v>40</v>
      </c>
      <c r="B126" s="11">
        <v>11.8</v>
      </c>
      <c r="C126" s="11"/>
      <c r="D126" s="11">
        <v>0</v>
      </c>
      <c r="E126" s="11">
        <v>0</v>
      </c>
      <c r="F126" s="11">
        <v>0</v>
      </c>
      <c r="G126" s="16">
        <f t="shared" si="3"/>
        <v>11.8</v>
      </c>
      <c r="H126" s="11">
        <v>0</v>
      </c>
      <c r="I126" s="5"/>
    </row>
    <row r="127" spans="1:9">
      <c r="A127" s="10" t="s">
        <v>41</v>
      </c>
      <c r="B127" s="11">
        <v>11.25</v>
      </c>
      <c r="C127" s="11"/>
      <c r="D127" s="11">
        <v>0</v>
      </c>
      <c r="E127" s="11">
        <v>100</v>
      </c>
      <c r="F127" s="11">
        <v>1.6279999999999999</v>
      </c>
      <c r="G127" s="16">
        <f t="shared" si="3"/>
        <v>112.878</v>
      </c>
      <c r="H127" s="11">
        <v>0</v>
      </c>
      <c r="I127" s="5"/>
    </row>
    <row r="128" spans="1:9">
      <c r="A128" s="10" t="s">
        <v>42</v>
      </c>
      <c r="B128" s="11">
        <v>25</v>
      </c>
      <c r="C128" s="11"/>
      <c r="D128" s="11">
        <v>0</v>
      </c>
      <c r="E128" s="11">
        <v>100</v>
      </c>
      <c r="F128" s="17">
        <v>3.6300000000000003</v>
      </c>
      <c r="G128" s="16">
        <f t="shared" si="3"/>
        <v>128.63</v>
      </c>
      <c r="H128" s="11">
        <v>0</v>
      </c>
      <c r="I128" s="5"/>
    </row>
    <row r="129" spans="1:9">
      <c r="A129" s="10" t="s">
        <v>43</v>
      </c>
      <c r="B129" s="11">
        <v>0</v>
      </c>
      <c r="C129" s="11"/>
      <c r="D129" s="11">
        <v>0</v>
      </c>
      <c r="E129" s="11">
        <v>0</v>
      </c>
      <c r="F129" s="11">
        <v>0</v>
      </c>
      <c r="G129" s="11">
        <f t="shared" si="3"/>
        <v>0</v>
      </c>
      <c r="H129" s="11">
        <v>0</v>
      </c>
      <c r="I129" s="5"/>
    </row>
    <row r="130" spans="1:9">
      <c r="A130" s="10" t="s">
        <v>44</v>
      </c>
      <c r="B130" s="11">
        <v>0</v>
      </c>
      <c r="C130" s="11"/>
      <c r="D130" s="11">
        <v>7130</v>
      </c>
      <c r="E130" s="11">
        <v>0</v>
      </c>
      <c r="F130" s="11">
        <v>328</v>
      </c>
      <c r="G130" s="11">
        <f t="shared" si="3"/>
        <v>7458</v>
      </c>
      <c r="H130" s="11">
        <v>0</v>
      </c>
      <c r="I130" s="5"/>
    </row>
    <row r="131" spans="1:9">
      <c r="A131" s="10" t="s">
        <v>45</v>
      </c>
      <c r="B131" s="11">
        <v>0</v>
      </c>
      <c r="C131" s="11"/>
      <c r="D131" s="11">
        <v>2300</v>
      </c>
      <c r="E131" s="11">
        <v>0</v>
      </c>
      <c r="F131" s="11">
        <v>100</v>
      </c>
      <c r="G131" s="11">
        <f t="shared" ref="G131:G145" si="4">SUM(B131:F131)</f>
        <v>2400</v>
      </c>
      <c r="H131" s="11">
        <v>0</v>
      </c>
      <c r="I131" s="5"/>
    </row>
    <row r="132" spans="1:9">
      <c r="A132" s="10" t="s">
        <v>46</v>
      </c>
      <c r="B132" s="11">
        <v>0</v>
      </c>
      <c r="C132" s="11"/>
      <c r="D132" s="11">
        <v>2148</v>
      </c>
      <c r="E132" s="11">
        <v>0</v>
      </c>
      <c r="F132" s="11">
        <v>55</v>
      </c>
      <c r="G132" s="11">
        <f t="shared" si="4"/>
        <v>2203</v>
      </c>
      <c r="H132" s="11">
        <v>0</v>
      </c>
      <c r="I132" s="5"/>
    </row>
    <row r="133" spans="1:9">
      <c r="A133" s="10" t="s">
        <v>47</v>
      </c>
      <c r="B133" s="11">
        <v>0</v>
      </c>
      <c r="C133" s="11"/>
      <c r="D133" s="11">
        <v>4055</v>
      </c>
      <c r="E133" s="11">
        <v>0</v>
      </c>
      <c r="F133" s="11">
        <v>130</v>
      </c>
      <c r="G133" s="11">
        <f t="shared" si="4"/>
        <v>4185</v>
      </c>
      <c r="H133" s="11">
        <v>0</v>
      </c>
      <c r="I133" s="5"/>
    </row>
    <row r="134" spans="1:9">
      <c r="A134" s="10" t="s">
        <v>48</v>
      </c>
      <c r="B134" s="11">
        <v>2</v>
      </c>
      <c r="C134" s="11"/>
      <c r="D134" s="11">
        <v>0</v>
      </c>
      <c r="E134" s="11">
        <v>0</v>
      </c>
      <c r="F134" s="11">
        <v>0</v>
      </c>
      <c r="G134" s="11">
        <f t="shared" si="4"/>
        <v>2</v>
      </c>
      <c r="H134" s="11">
        <v>0</v>
      </c>
      <c r="I134" s="5"/>
    </row>
    <row r="135" spans="1:9">
      <c r="A135" s="10" t="s">
        <v>49</v>
      </c>
      <c r="B135" s="11">
        <v>0</v>
      </c>
      <c r="C135" s="11"/>
      <c r="D135" s="11">
        <v>0</v>
      </c>
      <c r="E135" s="11">
        <v>0</v>
      </c>
      <c r="F135" s="11">
        <v>0</v>
      </c>
      <c r="G135" s="11">
        <f t="shared" si="4"/>
        <v>0</v>
      </c>
      <c r="H135" s="11">
        <v>0</v>
      </c>
      <c r="I135" s="5"/>
    </row>
    <row r="136" spans="1:9">
      <c r="A136" s="10" t="s">
        <v>50</v>
      </c>
      <c r="B136" s="11">
        <v>0</v>
      </c>
      <c r="C136" s="11"/>
      <c r="D136" s="11">
        <v>0</v>
      </c>
      <c r="E136" s="11">
        <v>0</v>
      </c>
      <c r="F136" s="11">
        <v>0</v>
      </c>
      <c r="G136" s="11">
        <f t="shared" si="4"/>
        <v>0</v>
      </c>
      <c r="H136" s="11">
        <v>0</v>
      </c>
      <c r="I136" s="5"/>
    </row>
    <row r="137" spans="1:9">
      <c r="A137" s="10" t="s">
        <v>51</v>
      </c>
      <c r="B137" s="11">
        <v>0</v>
      </c>
      <c r="C137" s="11"/>
      <c r="D137" s="11">
        <v>0</v>
      </c>
      <c r="E137" s="11">
        <v>0</v>
      </c>
      <c r="F137" s="11">
        <v>442</v>
      </c>
      <c r="G137" s="11">
        <f t="shared" si="4"/>
        <v>442</v>
      </c>
      <c r="H137" s="11">
        <v>0</v>
      </c>
      <c r="I137" s="5"/>
    </row>
    <row r="138" spans="1:9">
      <c r="A138" s="10" t="s">
        <v>52</v>
      </c>
      <c r="B138" s="11">
        <v>0</v>
      </c>
      <c r="C138" s="11"/>
      <c r="D138" s="11">
        <v>0</v>
      </c>
      <c r="E138" s="11">
        <v>0</v>
      </c>
      <c r="F138" s="11">
        <v>258</v>
      </c>
      <c r="G138" s="11">
        <f t="shared" si="4"/>
        <v>258</v>
      </c>
      <c r="H138" s="11">
        <v>0</v>
      </c>
      <c r="I138" s="5"/>
    </row>
    <row r="139" spans="1:9">
      <c r="A139" s="10" t="s">
        <v>243</v>
      </c>
      <c r="B139" s="11">
        <v>82</v>
      </c>
      <c r="C139" s="11"/>
      <c r="D139" s="11">
        <v>0</v>
      </c>
      <c r="E139" s="11">
        <v>0</v>
      </c>
      <c r="F139" s="11">
        <v>0</v>
      </c>
      <c r="G139" s="11">
        <f t="shared" si="4"/>
        <v>82</v>
      </c>
      <c r="H139" s="11">
        <v>0</v>
      </c>
      <c r="I139" s="5"/>
    </row>
    <row r="140" spans="1:9">
      <c r="A140" s="10" t="s">
        <v>237</v>
      </c>
      <c r="B140" s="11">
        <v>15</v>
      </c>
      <c r="C140" s="11"/>
      <c r="D140" s="11">
        <v>0</v>
      </c>
      <c r="E140" s="11">
        <v>0</v>
      </c>
      <c r="F140" s="11">
        <v>0</v>
      </c>
      <c r="G140" s="11">
        <f t="shared" si="4"/>
        <v>15</v>
      </c>
      <c r="H140" s="11">
        <v>0</v>
      </c>
      <c r="I140" s="5"/>
    </row>
    <row r="141" spans="1:9">
      <c r="A141" s="10" t="s">
        <v>68</v>
      </c>
      <c r="B141" s="11">
        <v>9</v>
      </c>
      <c r="C141" s="11"/>
      <c r="D141" s="11">
        <v>0</v>
      </c>
      <c r="E141" s="11">
        <v>0</v>
      </c>
      <c r="F141" s="11">
        <v>0</v>
      </c>
      <c r="G141" s="11">
        <f t="shared" si="4"/>
        <v>9</v>
      </c>
      <c r="H141" s="11">
        <v>0</v>
      </c>
      <c r="I141" s="5"/>
    </row>
    <row r="142" spans="1:9">
      <c r="A142" s="10" t="s">
        <v>69</v>
      </c>
      <c r="B142" s="11">
        <v>1</v>
      </c>
      <c r="C142" s="11"/>
      <c r="D142" s="11">
        <v>0</v>
      </c>
      <c r="E142" s="11">
        <v>0</v>
      </c>
      <c r="F142" s="11">
        <v>0</v>
      </c>
      <c r="G142" s="11">
        <f t="shared" si="4"/>
        <v>1</v>
      </c>
      <c r="H142" s="11">
        <v>0</v>
      </c>
      <c r="I142" s="5"/>
    </row>
    <row r="143" spans="1:9">
      <c r="A143" s="10" t="s">
        <v>250</v>
      </c>
      <c r="B143" s="11">
        <v>0</v>
      </c>
      <c r="C143" s="11"/>
      <c r="D143" s="11">
        <v>36</v>
      </c>
      <c r="E143" s="11">
        <v>0</v>
      </c>
      <c r="F143" s="11">
        <v>6.13</v>
      </c>
      <c r="G143" s="11">
        <f t="shared" si="4"/>
        <v>42.13</v>
      </c>
      <c r="H143" s="11">
        <v>0</v>
      </c>
      <c r="I143" s="5"/>
    </row>
    <row r="144" spans="1:9">
      <c r="A144" s="10" t="s">
        <v>70</v>
      </c>
      <c r="B144" s="11">
        <v>2</v>
      </c>
      <c r="C144" s="11"/>
      <c r="D144" s="11">
        <v>0</v>
      </c>
      <c r="E144" s="11">
        <v>0</v>
      </c>
      <c r="F144" s="11">
        <v>0</v>
      </c>
      <c r="G144" s="11">
        <f t="shared" si="4"/>
        <v>2</v>
      </c>
      <c r="H144" s="11">
        <v>0</v>
      </c>
      <c r="I144" s="5"/>
    </row>
    <row r="145" spans="1:9">
      <c r="A145" s="10" t="s">
        <v>238</v>
      </c>
      <c r="B145" s="11">
        <v>7</v>
      </c>
      <c r="C145" s="11"/>
      <c r="D145" s="11">
        <v>0</v>
      </c>
      <c r="E145" s="11">
        <v>0</v>
      </c>
      <c r="F145" s="11">
        <v>0</v>
      </c>
      <c r="G145" s="11">
        <f t="shared" si="4"/>
        <v>7</v>
      </c>
      <c r="H145" s="11">
        <v>0</v>
      </c>
      <c r="I145" s="5"/>
    </row>
    <row r="146" spans="1:9">
      <c r="A146" s="10" t="s">
        <v>56</v>
      </c>
      <c r="B146" s="11">
        <v>16.5</v>
      </c>
      <c r="C146" s="11"/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5"/>
    </row>
    <row r="147" spans="1:9">
      <c r="A147" s="10" t="s">
        <v>61</v>
      </c>
      <c r="B147" s="11">
        <v>0</v>
      </c>
      <c r="C147" s="11"/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5"/>
    </row>
    <row r="148" spans="1:9">
      <c r="A148" s="10" t="s">
        <v>65</v>
      </c>
      <c r="B148" s="11">
        <v>0</v>
      </c>
      <c r="C148" s="11"/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5"/>
    </row>
    <row r="149" spans="1:9">
      <c r="A149" s="10" t="s">
        <v>66</v>
      </c>
      <c r="B149" s="11">
        <v>6.5</v>
      </c>
      <c r="C149" s="11"/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5"/>
    </row>
    <row r="150" spans="1:9">
      <c r="A150" s="10" t="s">
        <v>67</v>
      </c>
      <c r="B150" s="11">
        <v>0</v>
      </c>
      <c r="C150" s="13"/>
      <c r="D150" s="11">
        <v>0</v>
      </c>
      <c r="E150" s="11">
        <v>0</v>
      </c>
      <c r="F150" s="13">
        <v>0</v>
      </c>
      <c r="G150" s="13">
        <v>0</v>
      </c>
      <c r="H150" s="13">
        <v>0</v>
      </c>
      <c r="I150" s="7"/>
    </row>
    <row r="151" spans="1:9">
      <c r="A151" s="10" t="s">
        <v>242</v>
      </c>
      <c r="B151" s="11">
        <v>0</v>
      </c>
      <c r="C151" s="13"/>
      <c r="D151" s="11">
        <v>0</v>
      </c>
      <c r="E151" s="11">
        <v>0</v>
      </c>
      <c r="F151" s="13">
        <v>0</v>
      </c>
      <c r="G151" s="13">
        <v>0</v>
      </c>
      <c r="H151" s="13">
        <v>0</v>
      </c>
      <c r="I151" s="7"/>
    </row>
    <row r="152" spans="1:9" ht="19.5" thickBot="1">
      <c r="A152" s="14" t="s">
        <v>246</v>
      </c>
      <c r="B152" s="14">
        <v>7</v>
      </c>
      <c r="C152" s="15"/>
      <c r="D152" s="14">
        <v>0</v>
      </c>
      <c r="E152" s="14">
        <v>0</v>
      </c>
      <c r="F152" s="15">
        <v>0</v>
      </c>
      <c r="G152" s="15">
        <v>0</v>
      </c>
      <c r="H152" s="15">
        <v>0</v>
      </c>
      <c r="I152" s="8"/>
    </row>
  </sheetData>
  <sheetProtection autoFilter="0"/>
  <autoFilter ref="A4:H374" xr:uid="{69590074-F9E1-47CB-9D65-9D1D53B0514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ABOHASHIM FOR MEAT 2</cp:lastModifiedBy>
  <cp:lastPrinted>2026-07-02T09:05:36Z</cp:lastPrinted>
  <dcterms:created xsi:type="dcterms:W3CDTF">2026-06-01T06:55:41Z</dcterms:created>
  <dcterms:modified xsi:type="dcterms:W3CDTF">2026-09-05T13:09:17Z</dcterms:modified>
</cp:coreProperties>
</file>