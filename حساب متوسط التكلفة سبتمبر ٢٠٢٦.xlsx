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تساب متوسط سبتمبر" sheetId="1" state="visible" r:id="rId1"/>
    <sheet xmlns:r="http://schemas.openxmlformats.org/officeDocument/2006/relationships" name="مشتريات سبتمبر التفصيلية" sheetId="2" state="visible" r:id="rId2"/>
    <sheet xmlns:r="http://schemas.openxmlformats.org/officeDocument/2006/relationships" name="رصيد أول المدة (31-8)" sheetId="3" state="visible" r:id="rId3"/>
    <sheet xmlns:r="http://schemas.openxmlformats.org/officeDocument/2006/relationships" name="تفصيل الوصفات بأسعار سبتمبر" sheetId="4" state="visible" r:id="rId4"/>
    <sheet xmlns:r="http://schemas.openxmlformats.org/officeDocument/2006/relationships" name="سعر الكجم من الوصفات" sheetId="5" state="visible" r:id="rId5"/>
    <sheet xmlns:r="http://schemas.openxmlformats.org/officeDocument/2006/relationships" name="المنتج التام آخر سبتمبر" sheetId="6" state="visible" r:id="rId6"/>
    <sheet xmlns:r="http://schemas.openxmlformats.org/officeDocument/2006/relationships" name="الفراخ المفرومة (معلّق)" sheetId="7" state="visible" r:id="rId7"/>
    <sheet xmlns:r="http://schemas.openxmlformats.org/officeDocument/2006/relationships" name="المطابقة" sheetId="8" state="visible" r:id="rId8"/>
    <sheet xmlns:r="http://schemas.openxmlformats.org/officeDocument/2006/relationships" name="المنهجية والاستثناء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%"/>
    <numFmt numFmtId="166" formatCode="0.000"/>
    <numFmt numFmtId="167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center" wrapText="1"/>
    </xf>
    <xf numFmtId="166" fontId="0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4" customWidth="1" min="12" max="12"/>
    <col width="13" customWidth="1" min="13" max="13"/>
    <col width="44" customWidth="1" min="14" max="14"/>
  </cols>
  <sheetData>
    <row r="1">
      <c r="A1" s="1" t="inlineStr">
        <is>
          <t>ABOHASHEM FOR MEAT — متوسط التكلفة المرجّح للخامات آخر سبتمبر 2026 وتقييم جرد 30/9</t>
        </is>
      </c>
    </row>
    <row r="2">
      <c r="A2" s="2" t="inlineStr">
        <is>
          <t>المتوسط = (كمية جرد 31/8 × متوسط أغسطس + قيمة مشتريات سبتمبر) ÷ (كمية جرد 31/8 + كمية مشتريات سبتمبر). عمود «السعر المُدخل بالملف» هو ما وُضع فى «تسعير جرد اخر شهر ٩».</t>
        </is>
      </c>
    </row>
    <row r="4" ht="42" customHeight="1">
      <c r="A4" s="3" t="inlineStr">
        <is>
          <t>اسم الصنف</t>
        </is>
      </c>
      <c r="B4" s="3" t="inlineStr">
        <is>
          <t>كمية أول المدة (جرد 31/8)</t>
        </is>
      </c>
      <c r="C4" s="3" t="inlineStr">
        <is>
          <t>سعر أول المدة (متوسط أغسطس)</t>
        </is>
      </c>
      <c r="D4" s="3" t="inlineStr">
        <is>
          <t>قيمة أول المدة</t>
        </is>
      </c>
      <c r="E4" s="3" t="inlineStr">
        <is>
          <t>كمية مشتريات سبتمبر</t>
        </is>
      </c>
      <c r="F4" s="3" t="inlineStr">
        <is>
          <t>قيمة مشتريات سبتمبر</t>
        </is>
      </c>
      <c r="G4" s="3" t="inlineStr">
        <is>
          <t>إجمالى الكمية المتاحة</t>
        </is>
      </c>
      <c r="H4" s="3" t="inlineStr">
        <is>
          <t>إجمالى القيمة المتاحة</t>
        </is>
      </c>
      <c r="I4" s="3" t="inlineStr">
        <is>
          <t>متوسط السعر (WAC) 30/9</t>
        </is>
      </c>
      <c r="J4" s="3" t="inlineStr">
        <is>
          <t>السعر المُدخل بالملف</t>
        </is>
      </c>
      <c r="K4" s="3" t="inlineStr">
        <is>
          <t>كمية جرد 30/9</t>
        </is>
      </c>
      <c r="L4" s="3" t="inlineStr">
        <is>
          <t>قيمة مخزون 30/9</t>
        </is>
      </c>
      <c r="M4" s="3" t="inlineStr">
        <is>
          <t>التغير عن أغسطس %</t>
        </is>
      </c>
      <c r="N4" s="3" t="inlineStr">
        <is>
          <t>الحالة / ملاحظة</t>
        </is>
      </c>
    </row>
    <row r="5">
      <c r="A5" s="4" t="inlineStr">
        <is>
          <t>بصل</t>
        </is>
      </c>
      <c r="B5" s="5" t="n">
        <v>500</v>
      </c>
      <c r="C5" s="6" t="n">
        <v>13.7773</v>
      </c>
      <c r="D5" s="5">
        <f>IF(C5="","",B5*C5)</f>
        <v/>
      </c>
      <c r="E5" s="5">
        <f>SUMIF('مشتريات سبتمبر التفصيلية'!$I$4:$I$92,A5,'مشتريات سبتمبر التفصيلية'!$F$4:$F$92)</f>
        <v/>
      </c>
      <c r="F5" s="5">
        <f>SUMIF('مشتريات سبتمبر التفصيلية'!$I$4:$I$92,A5,'مشتريات سبتمبر التفصيلية'!$H$4:$H$92)</f>
        <v/>
      </c>
      <c r="G5" s="5">
        <f>IF(C5="",E5,B5+E5)</f>
        <v/>
      </c>
      <c r="H5" s="5">
        <f>N(D5)+F5</f>
        <v/>
      </c>
      <c r="I5" s="7">
        <f>IF(G5&gt;0,ROUND(H5/G5,4),IF(C5="","",C5))</f>
        <v/>
      </c>
      <c r="J5" s="8" t="n">
        <v>18.7559</v>
      </c>
      <c r="K5" s="5" t="n">
        <v>1969</v>
      </c>
      <c r="L5" s="5">
        <f>IF(J5="","",K5*J5)</f>
        <v/>
      </c>
      <c r="M5" s="9">
        <f>IF(OR(C5="",I5=""),"",I5/C5-1)</f>
        <v/>
      </c>
      <c r="N5" s="4" t="inlineStr">
        <is>
          <t>قياسى: (أول المدة + المشتريات)</t>
        </is>
      </c>
    </row>
    <row r="6">
      <c r="A6" s="4" t="inlineStr">
        <is>
          <t>ثوم</t>
        </is>
      </c>
      <c r="B6" s="5" t="n">
        <v>1249.55</v>
      </c>
      <c r="C6" s="6" t="n">
        <v>25.0724</v>
      </c>
      <c r="D6" s="5">
        <f>IF(C6="","",B6*C6)</f>
        <v/>
      </c>
      <c r="E6" s="5">
        <f>SUMIF('مشتريات سبتمبر التفصيلية'!$I$4:$I$92,A6,'مشتريات سبتمبر التفصيلية'!$F$4:$F$92)</f>
        <v/>
      </c>
      <c r="F6" s="5">
        <f>SUMIF('مشتريات سبتمبر التفصيلية'!$I$4:$I$92,A6,'مشتريات سبتمبر التفصيلية'!$H$4:$H$92)</f>
        <v/>
      </c>
      <c r="G6" s="5">
        <f>IF(C6="",E6,B6+E6)</f>
        <v/>
      </c>
      <c r="H6" s="5">
        <f>N(D6)+F6</f>
        <v/>
      </c>
      <c r="I6" s="7">
        <f>IF(G6&gt;0,ROUND(H6/G6,4),IF(C6="","",C6))</f>
        <v/>
      </c>
      <c r="J6" s="8" t="n">
        <v>25.0724</v>
      </c>
      <c r="K6" s="5" t="n">
        <v>953</v>
      </c>
      <c r="L6" s="5">
        <f>IF(J6="","",K6*J6)</f>
        <v/>
      </c>
      <c r="M6" s="9">
        <f>IF(OR(C6="",I6=""),"",I6/C6-1)</f>
        <v/>
      </c>
      <c r="N6" s="4" t="inlineStr">
        <is>
          <t>لا مشتريات فى سبتمبر ⇒ سعر أغسطس ثابت</t>
        </is>
      </c>
    </row>
    <row r="7">
      <c r="A7" s="4" t="inlineStr">
        <is>
          <t>فلفل بارد</t>
        </is>
      </c>
      <c r="B7" s="5" t="n">
        <v>320</v>
      </c>
      <c r="C7" s="6" t="n">
        <v>9.117100000000001</v>
      </c>
      <c r="D7" s="5">
        <f>IF(C7="","",B7*C7)</f>
        <v/>
      </c>
      <c r="E7" s="5">
        <f>SUMIF('مشتريات سبتمبر التفصيلية'!$I$4:$I$92,A7,'مشتريات سبتمبر التفصيلية'!$F$4:$F$92)</f>
        <v/>
      </c>
      <c r="F7" s="5">
        <f>SUMIF('مشتريات سبتمبر التفصيلية'!$I$4:$I$92,A7,'مشتريات سبتمبر التفصيلية'!$H$4:$H$92)</f>
        <v/>
      </c>
      <c r="G7" s="5">
        <f>IF(C7="",E7,B7+E7)</f>
        <v/>
      </c>
      <c r="H7" s="5">
        <f>N(D7)+F7</f>
        <v/>
      </c>
      <c r="I7" s="7">
        <f>IF(G7&gt;0,ROUND(H7/G7,4),IF(C7="","",C7))</f>
        <v/>
      </c>
      <c r="J7" s="8" t="n">
        <v>10.4234</v>
      </c>
      <c r="K7" s="5" t="n">
        <v>445</v>
      </c>
      <c r="L7" s="5">
        <f>IF(J7="","",K7*J7)</f>
        <v/>
      </c>
      <c r="M7" s="9">
        <f>IF(OR(C7="",I7=""),"",I7/C7-1)</f>
        <v/>
      </c>
      <c r="N7" s="4" t="inlineStr">
        <is>
          <t>قياسى: (أول المدة + المشتريات)</t>
        </is>
      </c>
    </row>
    <row r="8">
      <c r="A8" s="10" t="inlineStr">
        <is>
          <t>مفروم فراخ شعبي</t>
        </is>
      </c>
      <c r="B8" s="5" t="n">
        <v>2120</v>
      </c>
      <c r="C8" s="6" t="n">
        <v>28.386</v>
      </c>
      <c r="D8" s="5">
        <f>IF(C8="","",B8*C8)</f>
        <v/>
      </c>
      <c r="E8" s="5">
        <f>SUMIF('مشتريات سبتمبر التفصيلية'!$I$4:$I$92,A8,'مشتريات سبتمبر التفصيلية'!$F$4:$F$92)</f>
        <v/>
      </c>
      <c r="F8" s="5">
        <f>SUMIF('مشتريات سبتمبر التفصيلية'!$I$4:$I$92,A8,'مشتريات سبتمبر التفصيلية'!$H$4:$H$92)</f>
        <v/>
      </c>
      <c r="G8" s="5">
        <f>IF(C8="",E8,B8+E8)</f>
        <v/>
      </c>
      <c r="H8" s="5">
        <f>N(D8)+F8</f>
        <v/>
      </c>
      <c r="I8" s="7">
        <f>IF(G8&gt;0,ROUND(H8/G8,4),IF(C8="","",C8))</f>
        <v/>
      </c>
      <c r="J8" s="11" t="n">
        <v>30</v>
      </c>
      <c r="K8" s="5" t="n">
        <v>860</v>
      </c>
      <c r="L8" s="5">
        <f>IF(J8="","",K8*J8)</f>
        <v/>
      </c>
      <c r="M8" s="9">
        <f>IF(OR(C8="",I8=""),"",I8/C8-1)</f>
        <v/>
      </c>
      <c r="N8" s="10" t="inlineStr">
        <is>
          <t>⚠ لم يُغيَّر السعر — بيانات شراء متعارضة; فاتورة 1111115217 (09/09): «مفروم فراخ C» 1,500 كجم بسعر 57 بينما نطاق الرتبة C 30–35، وفى نفس الفاتورة «مفروم فراخ A» بسعر 30 بينما نطاق A 55–60 — السعران يبدوان معكوسين</t>
        </is>
      </c>
    </row>
    <row r="9">
      <c r="A9" s="4" t="inlineStr">
        <is>
          <t>صميد</t>
        </is>
      </c>
      <c r="B9" s="5" t="n">
        <v>1241</v>
      </c>
      <c r="C9" s="6" t="n">
        <v>16.1708</v>
      </c>
      <c r="D9" s="5">
        <f>IF(C9="","",B9*C9)</f>
        <v/>
      </c>
      <c r="E9" s="5">
        <f>SUMIF('مشتريات سبتمبر التفصيلية'!$I$4:$I$92,A9,'مشتريات سبتمبر التفصيلية'!$F$4:$F$92)</f>
        <v/>
      </c>
      <c r="F9" s="5">
        <f>SUMIF('مشتريات سبتمبر التفصيلية'!$I$4:$I$92,A9,'مشتريات سبتمبر التفصيلية'!$H$4:$H$92)</f>
        <v/>
      </c>
      <c r="G9" s="5">
        <f>IF(C9="",E9,B9+E9)</f>
        <v/>
      </c>
      <c r="H9" s="5">
        <f>N(D9)+F9</f>
        <v/>
      </c>
      <c r="I9" s="7">
        <f>IF(G9&gt;0,ROUND(H9/G9,4),IF(C9="","",C9))</f>
        <v/>
      </c>
      <c r="J9" s="8" t="n">
        <v>16.6485</v>
      </c>
      <c r="K9" s="5" t="n">
        <v>1650</v>
      </c>
      <c r="L9" s="5">
        <f>IF(J9="","",K9*J9)</f>
        <v/>
      </c>
      <c r="M9" s="9">
        <f>IF(OR(C9="",I9=""),"",I9/C9-1)</f>
        <v/>
      </c>
      <c r="N9" s="4" t="inlineStr">
        <is>
          <t>قياسى: (أول المدة + المشتريات)</t>
        </is>
      </c>
    </row>
    <row r="10">
      <c r="A10" s="4" t="inlineStr">
        <is>
          <t>صويا لحمه</t>
        </is>
      </c>
      <c r="B10" s="5" t="n">
        <v>777</v>
      </c>
      <c r="C10" s="6" t="n">
        <v>36.8234</v>
      </c>
      <c r="D10" s="5">
        <f>IF(C10="","",B10*C10)</f>
        <v/>
      </c>
      <c r="E10" s="5">
        <f>SUMIF('مشتريات سبتمبر التفصيلية'!$I$4:$I$92,A10,'مشتريات سبتمبر التفصيلية'!$F$4:$F$92)</f>
        <v/>
      </c>
      <c r="F10" s="5">
        <f>SUMIF('مشتريات سبتمبر التفصيلية'!$I$4:$I$92,A10,'مشتريات سبتمبر التفصيلية'!$H$4:$H$92)</f>
        <v/>
      </c>
      <c r="G10" s="5">
        <f>IF(C10="",E10,B10+E10)</f>
        <v/>
      </c>
      <c r="H10" s="5">
        <f>N(D10)+F10</f>
        <v/>
      </c>
      <c r="I10" s="7">
        <f>IF(G10&gt;0,ROUND(H10/G10,4),IF(C10="","",C10))</f>
        <v/>
      </c>
      <c r="J10" s="8" t="n">
        <v>38.2273</v>
      </c>
      <c r="K10" s="5" t="n">
        <v>270</v>
      </c>
      <c r="L10" s="5">
        <f>IF(J10="","",K10*J10)</f>
        <v/>
      </c>
      <c r="M10" s="9">
        <f>IF(OR(C10="",I10=""),"",I10/C10-1)</f>
        <v/>
      </c>
      <c r="N10" s="4" t="inlineStr">
        <is>
          <t>قياسى: (أول المدة + المشتريات)</t>
        </is>
      </c>
    </row>
    <row r="11">
      <c r="A11" s="4" t="inlineStr">
        <is>
          <t>صويا اوزيليت</t>
        </is>
      </c>
      <c r="B11" s="5" t="n">
        <v>151.5</v>
      </c>
      <c r="C11" s="6" t="n">
        <v>168.445</v>
      </c>
      <c r="D11" s="5">
        <f>IF(C11="","",B11*C11)</f>
        <v/>
      </c>
      <c r="E11" s="5">
        <f>SUMIF('مشتريات سبتمبر التفصيلية'!$I$4:$I$92,A11,'مشتريات سبتمبر التفصيلية'!$F$4:$F$92)</f>
        <v/>
      </c>
      <c r="F11" s="5">
        <f>SUMIF('مشتريات سبتمبر التفصيلية'!$I$4:$I$92,A11,'مشتريات سبتمبر التفصيلية'!$H$4:$H$92)</f>
        <v/>
      </c>
      <c r="G11" s="5">
        <f>IF(C11="",E11,B11+E11)</f>
        <v/>
      </c>
      <c r="H11" s="5">
        <f>N(D11)+F11</f>
        <v/>
      </c>
      <c r="I11" s="7">
        <f>IF(G11&gt;0,ROUND(H11/G11,4),IF(C11="","",C11))</f>
        <v/>
      </c>
      <c r="J11" s="8" t="n">
        <v>166.2683</v>
      </c>
      <c r="K11" s="5" t="n">
        <v>264</v>
      </c>
      <c r="L11" s="5">
        <f>IF(J11="","",K11*J11)</f>
        <v/>
      </c>
      <c r="M11" s="9">
        <f>IF(OR(C11="",I11=""),"",I11/C11-1)</f>
        <v/>
      </c>
      <c r="N11" s="4" t="inlineStr">
        <is>
          <t>قياسى: (أول المدة + المشتريات)</t>
        </is>
      </c>
    </row>
    <row r="12">
      <c r="A12" s="10" t="inlineStr">
        <is>
          <t>مفروم فراخ فاخر</t>
        </is>
      </c>
      <c r="B12" s="5" t="n">
        <v>415</v>
      </c>
      <c r="C12" s="6" t="n">
        <v>55.082</v>
      </c>
      <c r="D12" s="5">
        <f>IF(C12="","",B12*C12)</f>
        <v/>
      </c>
      <c r="E12" s="5">
        <f>SUMIF('مشتريات سبتمبر التفصيلية'!$I$4:$I$92,A12,'مشتريات سبتمبر التفصيلية'!$F$4:$F$92)</f>
        <v/>
      </c>
      <c r="F12" s="5">
        <f>SUMIF('مشتريات سبتمبر التفصيلية'!$I$4:$I$92,A12,'مشتريات سبتمبر التفصيلية'!$H$4:$H$92)</f>
        <v/>
      </c>
      <c r="G12" s="5">
        <f>IF(C12="",E12,B12+E12)</f>
        <v/>
      </c>
      <c r="H12" s="5">
        <f>N(D12)+F12</f>
        <v/>
      </c>
      <c r="I12" s="7">
        <f>IF(G12&gt;0,ROUND(H12/G12,4),IF(C12="","",C12))</f>
        <v/>
      </c>
      <c r="J12" s="11" t="n">
        <v>60</v>
      </c>
      <c r="K12" s="5" t="n">
        <v>370</v>
      </c>
      <c r="L12" s="5">
        <f>IF(J12="","",K12*J12)</f>
        <v/>
      </c>
      <c r="M12" s="9">
        <f>IF(OR(C12="",I12=""),"",I12/C12-1)</f>
        <v/>
      </c>
      <c r="N12" s="10" t="inlineStr">
        <is>
          <t>⚠ لم يُغيَّر السعر — بيانات شراء متعارضة; فاتورة 1111115217 (09/09): «مفروم فراخ A» 450 كجم بسعر 30 بينما نطاق الرتبة A 55–60، وفى نفس الفاتورة «مفروم فراخ C» بسعر 57 — السعران يبدوان معكوسين</t>
        </is>
      </c>
    </row>
    <row r="13">
      <c r="A13" s="4" t="inlineStr">
        <is>
          <t>دهن بلدي</t>
        </is>
      </c>
      <c r="B13" s="5" t="n">
        <v>1754.85</v>
      </c>
      <c r="C13" s="6" t="n">
        <v>53.8106</v>
      </c>
      <c r="D13" s="5">
        <f>IF(C13="","",B13*C13)</f>
        <v/>
      </c>
      <c r="E13" s="5">
        <f>SUMIF('مشتريات سبتمبر التفصيلية'!$I$4:$I$92,A13,'مشتريات سبتمبر التفصيلية'!$F$4:$F$92)</f>
        <v/>
      </c>
      <c r="F13" s="5">
        <f>SUMIF('مشتريات سبتمبر التفصيلية'!$I$4:$I$92,A13,'مشتريات سبتمبر التفصيلية'!$H$4:$H$92)</f>
        <v/>
      </c>
      <c r="G13" s="5">
        <f>IF(C13="",E13,B13+E13)</f>
        <v/>
      </c>
      <c r="H13" s="5">
        <f>N(D13)+F13</f>
        <v/>
      </c>
      <c r="I13" s="7">
        <f>IF(G13&gt;0,ROUND(H13/G13,4),IF(C13="","",C13))</f>
        <v/>
      </c>
      <c r="J13" s="8" t="n">
        <v>62.4178</v>
      </c>
      <c r="K13" s="5" t="n">
        <v>391.5</v>
      </c>
      <c r="L13" s="5">
        <f>IF(J13="","",K13*J13)</f>
        <v/>
      </c>
      <c r="M13" s="9">
        <f>IF(OR(C13="",I13=""),"",I13/C13-1)</f>
        <v/>
      </c>
      <c r="N13" s="4" t="inlineStr">
        <is>
          <t>قياسى: (أول المدة + المشتريات)</t>
        </is>
      </c>
    </row>
    <row r="14">
      <c r="A14" s="4" t="inlineStr">
        <is>
          <t>لحم كتف</t>
        </is>
      </c>
      <c r="B14" s="5" t="n">
        <v>40</v>
      </c>
      <c r="C14" s="6" t="n">
        <v>253.0246</v>
      </c>
      <c r="D14" s="5">
        <f>IF(C14="","",B14*C14)</f>
        <v/>
      </c>
      <c r="E14" s="5">
        <f>SUMIF('مشتريات سبتمبر التفصيلية'!$I$4:$I$92,A14,'مشتريات سبتمبر التفصيلية'!$F$4:$F$92)</f>
        <v/>
      </c>
      <c r="F14" s="5">
        <f>SUMIF('مشتريات سبتمبر التفصيلية'!$I$4:$I$92,A14,'مشتريات سبتمبر التفصيلية'!$H$4:$H$92)</f>
        <v/>
      </c>
      <c r="G14" s="5">
        <f>IF(C14="",E14,B14+E14)</f>
        <v/>
      </c>
      <c r="H14" s="5">
        <f>N(D14)+F14</f>
        <v/>
      </c>
      <c r="I14" s="7">
        <f>I174</f>
        <v/>
      </c>
      <c r="J14" s="8" t="n">
        <v>260.2402</v>
      </c>
      <c r="K14" s="5" t="n">
        <v>40</v>
      </c>
      <c r="L14" s="5">
        <f>IF(J14="","",K14*J14)</f>
        <v/>
      </c>
      <c r="M14" s="9">
        <f>IF(OR(C14="",I14=""),"",I14/C14-1)</f>
        <v/>
      </c>
      <c r="N14" s="4" t="inlineStr">
        <is>
          <t>متوسط مجمّع اللحوم الهندى</t>
        </is>
      </c>
    </row>
    <row r="15">
      <c r="A15" s="4" t="inlineStr">
        <is>
          <t>لحم رقبه</t>
        </is>
      </c>
      <c r="B15" s="5" t="n">
        <v>60</v>
      </c>
      <c r="C15" s="6" t="n">
        <v>253.0246</v>
      </c>
      <c r="D15" s="5">
        <f>IF(C15="","",B15*C15)</f>
        <v/>
      </c>
      <c r="E15" s="5">
        <f>SUMIF('مشتريات سبتمبر التفصيلية'!$I$4:$I$92,A15,'مشتريات سبتمبر التفصيلية'!$F$4:$F$92)</f>
        <v/>
      </c>
      <c r="F15" s="5">
        <f>SUMIF('مشتريات سبتمبر التفصيلية'!$I$4:$I$92,A15,'مشتريات سبتمبر التفصيلية'!$H$4:$H$92)</f>
        <v/>
      </c>
      <c r="G15" s="5">
        <f>IF(C15="",E15,B15+E15)</f>
        <v/>
      </c>
      <c r="H15" s="5">
        <f>N(D15)+F15</f>
        <v/>
      </c>
      <c r="I15" s="7">
        <f>I174</f>
        <v/>
      </c>
      <c r="J15" s="8" t="n">
        <v>260.2402</v>
      </c>
      <c r="K15" s="5" t="n">
        <v>20</v>
      </c>
      <c r="L15" s="5">
        <f>IF(J15="","",K15*J15)</f>
        <v/>
      </c>
      <c r="M15" s="9">
        <f>IF(OR(C15="",I15=""),"",I15/C15-1)</f>
        <v/>
      </c>
      <c r="N15" s="4" t="inlineStr">
        <is>
          <t>متوسط مجمّع اللحوم الهندى</t>
        </is>
      </c>
    </row>
    <row r="16">
      <c r="A16" s="4" t="inlineStr">
        <is>
          <t>لحم سن</t>
        </is>
      </c>
      <c r="B16" s="5" t="n">
        <v>20</v>
      </c>
      <c r="C16" s="6" t="n">
        <v>253.0246</v>
      </c>
      <c r="D16" s="5">
        <f>IF(C16="","",B16*C16)</f>
        <v/>
      </c>
      <c r="E16" s="5">
        <f>SUMIF('مشتريات سبتمبر التفصيلية'!$I$4:$I$92,A16,'مشتريات سبتمبر التفصيلية'!$F$4:$F$92)</f>
        <v/>
      </c>
      <c r="F16" s="5">
        <f>SUMIF('مشتريات سبتمبر التفصيلية'!$I$4:$I$92,A16,'مشتريات سبتمبر التفصيلية'!$H$4:$H$92)</f>
        <v/>
      </c>
      <c r="G16" s="5">
        <f>IF(C16="",E16,B16+E16)</f>
        <v/>
      </c>
      <c r="H16" s="5">
        <f>N(D16)+F16</f>
        <v/>
      </c>
      <c r="I16" s="7">
        <f>I174</f>
        <v/>
      </c>
      <c r="J16" s="8" t="n">
        <v>260.2402</v>
      </c>
      <c r="K16" s="5" t="n">
        <v>20</v>
      </c>
      <c r="L16" s="5">
        <f>IF(J16="","",K16*J16)</f>
        <v/>
      </c>
      <c r="M16" s="9">
        <f>IF(OR(C16="",I16=""),"",I16/C16-1)</f>
        <v/>
      </c>
      <c r="N16" s="4" t="inlineStr">
        <is>
          <t>متوسط مجمّع اللحوم الهندى</t>
        </is>
      </c>
    </row>
    <row r="17">
      <c r="A17" s="4" t="inlineStr">
        <is>
          <t>لحمه ارباع</t>
        </is>
      </c>
      <c r="B17" s="5" t="n">
        <v>25</v>
      </c>
      <c r="C17" s="6" t="n">
        <v>253.0246</v>
      </c>
      <c r="D17" s="5">
        <f>IF(C17="","",B17*C17)</f>
        <v/>
      </c>
      <c r="E17" s="5">
        <f>SUMIF('مشتريات سبتمبر التفصيلية'!$I$4:$I$92,A17,'مشتريات سبتمبر التفصيلية'!$F$4:$F$92)</f>
        <v/>
      </c>
      <c r="F17" s="5">
        <f>SUMIF('مشتريات سبتمبر التفصيلية'!$I$4:$I$92,A17,'مشتريات سبتمبر التفصيلية'!$H$4:$H$92)</f>
        <v/>
      </c>
      <c r="G17" s="5">
        <f>IF(C17="",E17,B17+E17)</f>
        <v/>
      </c>
      <c r="H17" s="5">
        <f>N(D17)+F17</f>
        <v/>
      </c>
      <c r="I17" s="7">
        <f>I174</f>
        <v/>
      </c>
      <c r="J17" s="8" t="n">
        <v>260.2402</v>
      </c>
      <c r="K17" s="5" t="n">
        <v>40</v>
      </c>
      <c r="L17" s="5">
        <f>IF(J17="","",K17*J17)</f>
        <v/>
      </c>
      <c r="M17" s="9">
        <f>IF(OR(C17="",I17=""),"",I17/C17-1)</f>
        <v/>
      </c>
      <c r="N17" s="4" t="inlineStr">
        <is>
          <t>متوسط مجمّع اللحوم الهندى</t>
        </is>
      </c>
    </row>
    <row r="18">
      <c r="A18" s="4" t="inlineStr">
        <is>
          <t>سمانة هندي</t>
        </is>
      </c>
      <c r="B18" s="5" t="n">
        <v>0</v>
      </c>
      <c r="C18" s="6" t="n"/>
      <c r="D18" s="5">
        <f>IF(C18="","",B18*C18)</f>
        <v/>
      </c>
      <c r="E18" s="5">
        <f>SUMIF('مشتريات سبتمبر التفصيلية'!$I$4:$I$92,A18,'مشتريات سبتمبر التفصيلية'!$F$4:$F$92)</f>
        <v/>
      </c>
      <c r="F18" s="5">
        <f>SUMIF('مشتريات سبتمبر التفصيلية'!$I$4:$I$92,A18,'مشتريات سبتمبر التفصيلية'!$H$4:$H$92)</f>
        <v/>
      </c>
      <c r="G18" s="5">
        <f>IF(C18="",E18,B18+E18)</f>
        <v/>
      </c>
      <c r="H18" s="5">
        <f>N(D18)+F18</f>
        <v/>
      </c>
      <c r="I18" s="7">
        <f>IF(G18&gt;0,ROUND(H18/G18,4),IF(C18="","",C18))</f>
        <v/>
      </c>
      <c r="J18" s="8" t="n"/>
      <c r="K18" s="5" t="n">
        <v>0</v>
      </c>
      <c r="L18" s="5">
        <f>IF(J18="","",K18*J18)</f>
        <v/>
      </c>
      <c r="M18" s="9">
        <f>IF(OR(C18="",I18=""),"",I18/C18-1)</f>
        <v/>
      </c>
      <c r="N18" s="4" t="inlineStr">
        <is>
          <t>بلا سعر — لا سعر أغسطس ولا مشتريات سبتمبر</t>
        </is>
      </c>
    </row>
    <row r="19">
      <c r="A19" s="4" t="inlineStr">
        <is>
          <t>فلانك</t>
        </is>
      </c>
      <c r="B19" s="5" t="n">
        <v>110</v>
      </c>
      <c r="C19" s="6" t="n">
        <v>198.3869</v>
      </c>
      <c r="D19" s="5">
        <f>IF(C19="","",B19*C19)</f>
        <v/>
      </c>
      <c r="E19" s="5">
        <f>SUMIF('مشتريات سبتمبر التفصيلية'!$I$4:$I$92,A19,'مشتريات سبتمبر التفصيلية'!$F$4:$F$92)</f>
        <v/>
      </c>
      <c r="F19" s="5">
        <f>SUMIF('مشتريات سبتمبر التفصيلية'!$I$4:$I$92,A19,'مشتريات سبتمبر التفصيلية'!$H$4:$H$92)</f>
        <v/>
      </c>
      <c r="G19" s="5">
        <f>IF(C19="",E19,B19+E19)</f>
        <v/>
      </c>
      <c r="H19" s="5">
        <f>N(D19)+F19</f>
        <v/>
      </c>
      <c r="I19" s="7">
        <f>IF(G19&gt;0,ROUND(H19/G19,4),IF(C19="","",C19))</f>
        <v/>
      </c>
      <c r="J19" s="8" t="n">
        <v>209.7882</v>
      </c>
      <c r="K19" s="5" t="n">
        <v>160</v>
      </c>
      <c r="L19" s="5">
        <f>IF(J19="","",K19*J19)</f>
        <v/>
      </c>
      <c r="M19" s="9">
        <f>IF(OR(C19="",I19=""),"",I19/C19-1)</f>
        <v/>
      </c>
      <c r="N19" s="4" t="inlineStr">
        <is>
          <t>قياسى: (أول المدة + المشتريات)</t>
        </is>
      </c>
    </row>
    <row r="20">
      <c r="A20" s="4" t="inlineStr">
        <is>
          <t>برغل</t>
        </is>
      </c>
      <c r="B20" s="5" t="n">
        <v>3325</v>
      </c>
      <c r="C20" s="6" t="n">
        <v>21.2509</v>
      </c>
      <c r="D20" s="5">
        <f>IF(C20="","",B20*C20)</f>
        <v/>
      </c>
      <c r="E20" s="5">
        <f>SUMIF('مشتريات سبتمبر التفصيلية'!$I$4:$I$92,A20,'مشتريات سبتمبر التفصيلية'!$F$4:$F$92)</f>
        <v/>
      </c>
      <c r="F20" s="5">
        <f>SUMIF('مشتريات سبتمبر التفصيلية'!$I$4:$I$92,A20,'مشتريات سبتمبر التفصيلية'!$H$4:$H$92)</f>
        <v/>
      </c>
      <c r="G20" s="5">
        <f>IF(C20="",E20,B20+E20)</f>
        <v/>
      </c>
      <c r="H20" s="5">
        <f>N(D20)+F20</f>
        <v/>
      </c>
      <c r="I20" s="7">
        <f>IF(G20&gt;0,ROUND(H20/G20,4),IF(C20="","",C20))</f>
        <v/>
      </c>
      <c r="J20" s="8" t="n">
        <v>21.3445</v>
      </c>
      <c r="K20" s="5" t="n">
        <v>2545</v>
      </c>
      <c r="L20" s="5">
        <f>IF(J20="","",K20*J20)</f>
        <v/>
      </c>
      <c r="M20" s="9">
        <f>IF(OR(C20="",I20=""),"",I20/C20-1)</f>
        <v/>
      </c>
      <c r="N20" s="4" t="inlineStr">
        <is>
          <t>قياسى: (أول المدة + المشتريات)</t>
        </is>
      </c>
    </row>
    <row r="21">
      <c r="A21" s="4" t="inlineStr">
        <is>
          <t>صويا فراخ</t>
        </is>
      </c>
      <c r="B21" s="5" t="n">
        <v>180</v>
      </c>
      <c r="C21" s="6" t="n">
        <v>46.8182</v>
      </c>
      <c r="D21" s="5">
        <f>IF(C21="","",B21*C21)</f>
        <v/>
      </c>
      <c r="E21" s="5">
        <f>SUMIF('مشتريات سبتمبر التفصيلية'!$I$4:$I$92,A21,'مشتريات سبتمبر التفصيلية'!$F$4:$F$92)</f>
        <v/>
      </c>
      <c r="F21" s="5">
        <f>SUMIF('مشتريات سبتمبر التفصيلية'!$I$4:$I$92,A21,'مشتريات سبتمبر التفصيلية'!$H$4:$H$92)</f>
        <v/>
      </c>
      <c r="G21" s="5">
        <f>IF(C21="",E21,B21+E21)</f>
        <v/>
      </c>
      <c r="H21" s="5">
        <f>N(D21)+F21</f>
        <v/>
      </c>
      <c r="I21" s="7">
        <f>IF(G21&gt;0,ROUND(H21/G21,4),IF(C21="","",C21))</f>
        <v/>
      </c>
      <c r="J21" s="8" t="n">
        <v>46.8182</v>
      </c>
      <c r="K21" s="5" t="n">
        <v>90</v>
      </c>
      <c r="L21" s="5">
        <f>IF(J21="","",K21*J21)</f>
        <v/>
      </c>
      <c r="M21" s="9">
        <f>IF(OR(C21="",I21=""),"",I21/C21-1)</f>
        <v/>
      </c>
      <c r="N21" s="4" t="inlineStr">
        <is>
          <t>لا مشتريات فى سبتمبر ⇒ سعر أغسطس ثابت</t>
        </is>
      </c>
    </row>
    <row r="22">
      <c r="A22" s="4" t="inlineStr">
        <is>
          <t>كبده</t>
        </is>
      </c>
      <c r="B22" s="5" t="n">
        <v>63.30400000000003</v>
      </c>
      <c r="C22" s="6" t="n">
        <v>164.7217</v>
      </c>
      <c r="D22" s="5">
        <f>IF(C22="","",B22*C22)</f>
        <v/>
      </c>
      <c r="E22" s="5">
        <f>SUMIF('مشتريات سبتمبر التفصيلية'!$I$4:$I$92,A22,'مشتريات سبتمبر التفصيلية'!$F$4:$F$92)</f>
        <v/>
      </c>
      <c r="F22" s="5">
        <f>SUMIF('مشتريات سبتمبر التفصيلية'!$I$4:$I$92,A22,'مشتريات سبتمبر التفصيلية'!$H$4:$H$92)</f>
        <v/>
      </c>
      <c r="G22" s="5">
        <f>IF(C22="",E22,B22+E22)</f>
        <v/>
      </c>
      <c r="H22" s="5">
        <f>N(D22)+F22</f>
        <v/>
      </c>
      <c r="I22" s="7">
        <f>IF(G22&gt;0,ROUND(H22/G22,4),IF(C22="","",C22))</f>
        <v/>
      </c>
      <c r="J22" s="8" t="n">
        <v>168.6305</v>
      </c>
      <c r="K22" s="5" t="n">
        <v>59.104</v>
      </c>
      <c r="L22" s="5">
        <f>IF(J22="","",K22*J22)</f>
        <v/>
      </c>
      <c r="M22" s="9">
        <f>IF(OR(C22="",I22=""),"",I22/C22-1)</f>
        <v/>
      </c>
      <c r="N22" s="4" t="inlineStr">
        <is>
          <t>قياسى: (أول المدة + المشتريات)</t>
        </is>
      </c>
    </row>
    <row r="23">
      <c r="A23" s="4" t="inlineStr">
        <is>
          <t>جلد</t>
        </is>
      </c>
      <c r="B23" s="5" t="n">
        <v>359</v>
      </c>
      <c r="C23" s="6" t="n">
        <v>28.8872</v>
      </c>
      <c r="D23" s="5">
        <f>IF(C23="","",B23*C23)</f>
        <v/>
      </c>
      <c r="E23" s="5">
        <f>SUMIF('مشتريات سبتمبر التفصيلية'!$I$4:$I$92,A23,'مشتريات سبتمبر التفصيلية'!$F$4:$F$92)</f>
        <v/>
      </c>
      <c r="F23" s="5">
        <f>SUMIF('مشتريات سبتمبر التفصيلية'!$I$4:$I$92,A23,'مشتريات سبتمبر التفصيلية'!$H$4:$H$92)</f>
        <v/>
      </c>
      <c r="G23" s="5">
        <f>IF(C23="",E23,B23+E23)</f>
        <v/>
      </c>
      <c r="H23" s="5">
        <f>N(D23)+F23</f>
        <v/>
      </c>
      <c r="I23" s="7">
        <f>IF(G23&gt;0,ROUND(H23/G23,4),IF(C23="","",C23))</f>
        <v/>
      </c>
      <c r="J23" s="8" t="n">
        <v>28.231</v>
      </c>
      <c r="K23" s="5" t="n">
        <v>603</v>
      </c>
      <c r="L23" s="5">
        <f>IF(J23="","",K23*J23)</f>
        <v/>
      </c>
      <c r="M23" s="9">
        <f>IF(OR(C23="",I23=""),"",I23/C23-1)</f>
        <v/>
      </c>
      <c r="N23" s="4" t="inlineStr">
        <is>
          <t>قياسى: (أول المدة + المشتريات)</t>
        </is>
      </c>
    </row>
    <row r="24">
      <c r="A24" s="4" t="inlineStr">
        <is>
          <t>هانك</t>
        </is>
      </c>
      <c r="B24" s="5" t="n">
        <v>118</v>
      </c>
      <c r="C24" s="6" t="n">
        <v>248.9842</v>
      </c>
      <c r="D24" s="5">
        <f>IF(C24="","",B24*C24)</f>
        <v/>
      </c>
      <c r="E24" s="5">
        <f>SUMIF('مشتريات سبتمبر التفصيلية'!$I$4:$I$92,A24,'مشتريات سبتمبر التفصيلية'!$F$4:$F$92)</f>
        <v/>
      </c>
      <c r="F24" s="5">
        <f>SUMIF('مشتريات سبتمبر التفصيلية'!$I$4:$I$92,A24,'مشتريات سبتمبر التفصيلية'!$H$4:$H$92)</f>
        <v/>
      </c>
      <c r="G24" s="5">
        <f>IF(C24="",E24,B24+E24)</f>
        <v/>
      </c>
      <c r="H24" s="5">
        <f>N(D24)+F24</f>
        <v/>
      </c>
      <c r="I24" s="7">
        <f>IF(G24&gt;0,ROUND(H24/G24,4),IF(C24="","",C24))</f>
        <v/>
      </c>
      <c r="J24" s="8" t="n">
        <v>249.8793</v>
      </c>
      <c r="K24" s="5" t="n">
        <v>214</v>
      </c>
      <c r="L24" s="5">
        <f>IF(J24="","",K24*J24)</f>
        <v/>
      </c>
      <c r="M24" s="9">
        <f>IF(OR(C24="",I24=""),"",I24/C24-1)</f>
        <v/>
      </c>
      <c r="N24" s="4" t="inlineStr">
        <is>
          <t>قياسى: (أول المدة + المشتريات)</t>
        </is>
      </c>
    </row>
    <row r="25">
      <c r="A25" s="4" t="inlineStr">
        <is>
          <t>دوبريه</t>
        </is>
      </c>
      <c r="B25" s="5" t="n">
        <v>470</v>
      </c>
      <c r="C25" s="6" t="n">
        <v>95.2993</v>
      </c>
      <c r="D25" s="5">
        <f>IF(C25="","",B25*C25)</f>
        <v/>
      </c>
      <c r="E25" s="5">
        <f>SUMIF('مشتريات سبتمبر التفصيلية'!$I$4:$I$92,A25,'مشتريات سبتمبر التفصيلية'!$F$4:$F$92)</f>
        <v/>
      </c>
      <c r="F25" s="5">
        <f>SUMIF('مشتريات سبتمبر التفصيلية'!$I$4:$I$92,A25,'مشتريات سبتمبر التفصيلية'!$H$4:$H$92)</f>
        <v/>
      </c>
      <c r="G25" s="5">
        <f>IF(C25="",E25,B25+E25)</f>
        <v/>
      </c>
      <c r="H25" s="5">
        <f>N(D25)+F25</f>
        <v/>
      </c>
      <c r="I25" s="7">
        <f>IF(G25&gt;0,ROUND(H25/G25,4),IF(C25="","",C25))</f>
        <v/>
      </c>
      <c r="J25" s="8" t="n">
        <v>93.03740000000001</v>
      </c>
      <c r="K25" s="5" t="n">
        <v>85</v>
      </c>
      <c r="L25" s="5">
        <f>IF(J25="","",K25*J25)</f>
        <v/>
      </c>
      <c r="M25" s="9">
        <f>IF(OR(C25="",I25=""),"",I25/C25-1)</f>
        <v/>
      </c>
      <c r="N25" s="4" t="inlineStr">
        <is>
          <t>قياسى: (أول المدة + المشتريات)</t>
        </is>
      </c>
    </row>
    <row r="26">
      <c r="A26" s="4" t="inlineStr">
        <is>
          <t>فلفل رومي حامي</t>
        </is>
      </c>
      <c r="B26" s="5" t="n">
        <v>15.7</v>
      </c>
      <c r="C26" s="6" t="n">
        <v>14.6228</v>
      </c>
      <c r="D26" s="5">
        <f>IF(C26="","",B26*C26)</f>
        <v/>
      </c>
      <c r="E26" s="5">
        <f>SUMIF('مشتريات سبتمبر التفصيلية'!$I$4:$I$92,A26,'مشتريات سبتمبر التفصيلية'!$F$4:$F$92)</f>
        <v/>
      </c>
      <c r="F26" s="5">
        <f>SUMIF('مشتريات سبتمبر التفصيلية'!$I$4:$I$92,A26,'مشتريات سبتمبر التفصيلية'!$H$4:$H$92)</f>
        <v/>
      </c>
      <c r="G26" s="5">
        <f>IF(C26="",E26,B26+E26)</f>
        <v/>
      </c>
      <c r="H26" s="5">
        <f>N(D26)+F26</f>
        <v/>
      </c>
      <c r="I26" s="7">
        <f>IF(G26&gt;0,ROUND(H26/G26,4),IF(C26="","",C26))</f>
        <v/>
      </c>
      <c r="J26" s="8" t="n">
        <v>11.1014</v>
      </c>
      <c r="K26" s="5" t="n">
        <v>156</v>
      </c>
      <c r="L26" s="5">
        <f>IF(J26="","",K26*J26)</f>
        <v/>
      </c>
      <c r="M26" s="9">
        <f>IF(OR(C26="",I26=""),"",I26/C26-1)</f>
        <v/>
      </c>
      <c r="N26" s="4" t="inlineStr">
        <is>
          <t>قياسى: (أول المدة + المشتريات)</t>
        </is>
      </c>
    </row>
    <row r="27">
      <c r="A27" s="4" t="inlineStr">
        <is>
          <t>فيليه</t>
        </is>
      </c>
      <c r="B27" s="5" t="n">
        <v>0</v>
      </c>
      <c r="C27" s="6" t="n">
        <v>195</v>
      </c>
      <c r="D27" s="5">
        <f>IF(C27="","",B27*C27)</f>
        <v/>
      </c>
      <c r="E27" s="5">
        <f>SUMIF('مشتريات سبتمبر التفصيلية'!$I$4:$I$92,A27,'مشتريات سبتمبر التفصيلية'!$F$4:$F$92)</f>
        <v/>
      </c>
      <c r="F27" s="5">
        <f>SUMIF('مشتريات سبتمبر التفصيلية'!$I$4:$I$92,A27,'مشتريات سبتمبر التفصيلية'!$H$4:$H$92)</f>
        <v/>
      </c>
      <c r="G27" s="5">
        <f>IF(C27="",E27,B27+E27)</f>
        <v/>
      </c>
      <c r="H27" s="5">
        <f>N(D27)+F27</f>
        <v/>
      </c>
      <c r="I27" s="7">
        <f>IF(G27&gt;0,ROUND(H27/G27,4),IF(C27="","",C27))</f>
        <v/>
      </c>
      <c r="J27" s="8" t="n">
        <v>195</v>
      </c>
      <c r="K27" s="5" t="n">
        <v>0</v>
      </c>
      <c r="L27" s="5">
        <f>IF(J27="","",K27*J27)</f>
        <v/>
      </c>
      <c r="M27" s="9">
        <f>IF(OR(C27="",I27=""),"",I27/C27-1)</f>
        <v/>
      </c>
      <c r="N27" s="4" t="inlineStr">
        <is>
          <t>لا مشتريات فى سبتمبر ⇒ سعر أغسطس ثابت</t>
        </is>
      </c>
    </row>
    <row r="28">
      <c r="A28" s="4" t="inlineStr">
        <is>
          <t>بقسماط اصفر</t>
        </is>
      </c>
      <c r="B28" s="5" t="n">
        <v>0</v>
      </c>
      <c r="C28" s="6" t="n">
        <v>38.5</v>
      </c>
      <c r="D28" s="5">
        <f>IF(C28="","",B28*C28)</f>
        <v/>
      </c>
      <c r="E28" s="5">
        <f>SUMIF('مشتريات سبتمبر التفصيلية'!$I$4:$I$92,A28,'مشتريات سبتمبر التفصيلية'!$F$4:$F$92)</f>
        <v/>
      </c>
      <c r="F28" s="5">
        <f>SUMIF('مشتريات سبتمبر التفصيلية'!$I$4:$I$92,A28,'مشتريات سبتمبر التفصيلية'!$H$4:$H$92)</f>
        <v/>
      </c>
      <c r="G28" s="5">
        <f>IF(C28="",E28,B28+E28)</f>
        <v/>
      </c>
      <c r="H28" s="5">
        <f>N(D28)+F28</f>
        <v/>
      </c>
      <c r="I28" s="7">
        <f>IF(G28&gt;0,ROUND(H28/G28,4),IF(C28="","",C28))</f>
        <v/>
      </c>
      <c r="J28" s="8" t="n">
        <v>39.5</v>
      </c>
      <c r="K28" s="5" t="n">
        <v>0</v>
      </c>
      <c r="L28" s="5">
        <f>IF(J28="","",K28*J28)</f>
        <v/>
      </c>
      <c r="M28" s="9">
        <f>IF(OR(C28="",I28=""),"",I28/C28-1)</f>
        <v/>
      </c>
      <c r="N28" s="4" t="inlineStr">
        <is>
          <t>قياسى: (أول المدة + المشتريات)</t>
        </is>
      </c>
    </row>
    <row r="29">
      <c r="A29" s="4" t="inlineStr">
        <is>
          <t>بقسماط ابيض</t>
        </is>
      </c>
      <c r="B29" s="5" t="n">
        <v>0</v>
      </c>
      <c r="C29" s="6" t="n"/>
      <c r="D29" s="5">
        <f>IF(C29="","",B29*C29)</f>
        <v/>
      </c>
      <c r="E29" s="5">
        <f>SUMIF('مشتريات سبتمبر التفصيلية'!$I$4:$I$92,A29,'مشتريات سبتمبر التفصيلية'!$F$4:$F$92)</f>
        <v/>
      </c>
      <c r="F29" s="5">
        <f>SUMIF('مشتريات سبتمبر التفصيلية'!$I$4:$I$92,A29,'مشتريات سبتمبر التفصيلية'!$H$4:$H$92)</f>
        <v/>
      </c>
      <c r="G29" s="5">
        <f>IF(C29="",E29,B29+E29)</f>
        <v/>
      </c>
      <c r="H29" s="5">
        <f>N(D29)+F29</f>
        <v/>
      </c>
      <c r="I29" s="7">
        <f>IF(G29&gt;0,ROUND(H29/G29,4),IF(C29="","",C29))</f>
        <v/>
      </c>
      <c r="J29" s="8" t="n"/>
      <c r="K29" s="5" t="n">
        <v>0</v>
      </c>
      <c r="L29" s="5">
        <f>IF(J29="","",K29*J29)</f>
        <v/>
      </c>
      <c r="M29" s="9">
        <f>IF(OR(C29="",I29=""),"",I29/C29-1)</f>
        <v/>
      </c>
      <c r="N29" s="4" t="inlineStr">
        <is>
          <t>بلا سعر — لا سعر أغسطس ولا مشتريات سبتمبر</t>
        </is>
      </c>
    </row>
    <row r="30">
      <c r="A30" s="4" t="inlineStr">
        <is>
          <t>بطاطس</t>
        </is>
      </c>
      <c r="B30" s="5" t="n">
        <v>0</v>
      </c>
      <c r="C30" s="6" t="n"/>
      <c r="D30" s="5">
        <f>IF(C30="","",B30*C30)</f>
        <v/>
      </c>
      <c r="E30" s="5">
        <f>SUMIF('مشتريات سبتمبر التفصيلية'!$I$4:$I$92,A30,'مشتريات سبتمبر التفصيلية'!$F$4:$F$92)</f>
        <v/>
      </c>
      <c r="F30" s="5">
        <f>SUMIF('مشتريات سبتمبر التفصيلية'!$I$4:$I$92,A30,'مشتريات سبتمبر التفصيلية'!$H$4:$H$92)</f>
        <v/>
      </c>
      <c r="G30" s="5">
        <f>IF(C30="",E30,B30+E30)</f>
        <v/>
      </c>
      <c r="H30" s="5">
        <f>N(D30)+F30</f>
        <v/>
      </c>
      <c r="I30" s="7">
        <f>IF(G30&gt;0,ROUND(H30/G30,4),IF(C30="","",C30))</f>
        <v/>
      </c>
      <c r="J30" s="8" t="n"/>
      <c r="K30" s="5" t="n">
        <v>0</v>
      </c>
      <c r="L30" s="5">
        <f>IF(J30="","",K30*J30)</f>
        <v/>
      </c>
      <c r="M30" s="9">
        <f>IF(OR(C30="",I30=""),"",I30/C30-1)</f>
        <v/>
      </c>
      <c r="N30" s="4" t="inlineStr">
        <is>
          <t>بلا سعر — لا سعر أغسطس ولا مشتريات سبتمبر</t>
        </is>
      </c>
    </row>
    <row r="31">
      <c r="A31" s="4" t="inlineStr">
        <is>
          <t>دوبرية بسطرمة (لحمة)</t>
        </is>
      </c>
      <c r="B31" s="5" t="n">
        <v>0</v>
      </c>
      <c r="C31" s="6" t="n">
        <v>185</v>
      </c>
      <c r="D31" s="5">
        <f>IF(C31="","",B31*C31)</f>
        <v/>
      </c>
      <c r="E31" s="5">
        <f>SUMIF('مشتريات سبتمبر التفصيلية'!$I$4:$I$92,A31,'مشتريات سبتمبر التفصيلية'!$F$4:$F$92)</f>
        <v/>
      </c>
      <c r="F31" s="5">
        <f>SUMIF('مشتريات سبتمبر التفصيلية'!$I$4:$I$92,A31,'مشتريات سبتمبر التفصيلية'!$H$4:$H$92)</f>
        <v/>
      </c>
      <c r="G31" s="5">
        <f>IF(C31="",E31,B31+E31)</f>
        <v/>
      </c>
      <c r="H31" s="5">
        <f>N(D31)+F31</f>
        <v/>
      </c>
      <c r="I31" s="7">
        <f>IF(G31&gt;0,ROUND(H31/G31,4),IF(C31="","",C31))</f>
        <v/>
      </c>
      <c r="J31" s="8" t="n">
        <v>185</v>
      </c>
      <c r="K31" s="5" t="n">
        <v>0</v>
      </c>
      <c r="L31" s="5">
        <f>IF(J31="","",K31*J31)</f>
        <v/>
      </c>
      <c r="M31" s="9">
        <f>IF(OR(C31="",I31=""),"",I31/C31-1)</f>
        <v/>
      </c>
      <c r="N31" s="4" t="inlineStr">
        <is>
          <t>لا مشتريات فى سبتمبر ⇒ سعر أغسطس ثابت</t>
        </is>
      </c>
    </row>
    <row r="32">
      <c r="A32" s="4" t="inlineStr">
        <is>
          <t>قلب برازيلي</t>
        </is>
      </c>
      <c r="B32" s="5" t="n">
        <v>0</v>
      </c>
      <c r="C32" s="6" t="n">
        <v>245</v>
      </c>
      <c r="D32" s="5">
        <f>IF(C32="","",B32*C32)</f>
        <v/>
      </c>
      <c r="E32" s="5">
        <f>SUMIF('مشتريات سبتمبر التفصيلية'!$I$4:$I$92,A32,'مشتريات سبتمبر التفصيلية'!$F$4:$F$92)</f>
        <v/>
      </c>
      <c r="F32" s="5">
        <f>SUMIF('مشتريات سبتمبر التفصيلية'!$I$4:$I$92,A32,'مشتريات سبتمبر التفصيلية'!$H$4:$H$92)</f>
        <v/>
      </c>
      <c r="G32" s="5">
        <f>IF(C32="",E32,B32+E32)</f>
        <v/>
      </c>
      <c r="H32" s="5">
        <f>N(D32)+F32</f>
        <v/>
      </c>
      <c r="I32" s="7">
        <f>IF(G32&gt;0,ROUND(H32/G32,4),IF(C32="","",C32))</f>
        <v/>
      </c>
      <c r="J32" s="8" t="n">
        <v>245</v>
      </c>
      <c r="K32" s="5" t="n">
        <v>0</v>
      </c>
      <c r="L32" s="5">
        <f>IF(J32="","",K32*J32)</f>
        <v/>
      </c>
      <c r="M32" s="9">
        <f>IF(OR(C32="",I32=""),"",I32/C32-1)</f>
        <v/>
      </c>
      <c r="N32" s="4" t="inlineStr">
        <is>
          <t>لا مشتريات فى سبتمبر ⇒ سعر أغسطس ثابت</t>
        </is>
      </c>
    </row>
    <row r="33">
      <c r="A33" s="4" t="inlineStr">
        <is>
          <t>بوش</t>
        </is>
      </c>
      <c r="B33" s="5" t="n">
        <v>0</v>
      </c>
      <c r="C33" s="6" t="n">
        <v>110</v>
      </c>
      <c r="D33" s="5">
        <f>IF(C33="","",B33*C33)</f>
        <v/>
      </c>
      <c r="E33" s="5">
        <f>SUMIF('مشتريات سبتمبر التفصيلية'!$I$4:$I$92,A33,'مشتريات سبتمبر التفصيلية'!$F$4:$F$92)</f>
        <v/>
      </c>
      <c r="F33" s="5">
        <f>SUMIF('مشتريات سبتمبر التفصيلية'!$I$4:$I$92,A33,'مشتريات سبتمبر التفصيلية'!$H$4:$H$92)</f>
        <v/>
      </c>
      <c r="G33" s="5">
        <f>IF(C33="",E33,B33+E33)</f>
        <v/>
      </c>
      <c r="H33" s="5">
        <f>N(D33)+F33</f>
        <v/>
      </c>
      <c r="I33" s="7">
        <f>IF(G33&gt;0,ROUND(H33/G33,4),IF(C33="","",C33))</f>
        <v/>
      </c>
      <c r="J33" s="8" t="n">
        <v>110</v>
      </c>
      <c r="K33" s="5" t="n">
        <v>0</v>
      </c>
      <c r="L33" s="5">
        <f>IF(J33="","",K33*J33)</f>
        <v/>
      </c>
      <c r="M33" s="9">
        <f>IF(OR(C33="",I33=""),"",I33/C33-1)</f>
        <v/>
      </c>
      <c r="N33" s="4" t="inlineStr">
        <is>
          <t>لا مشتريات فى سبتمبر ⇒ سعر أغسطس ثابت</t>
        </is>
      </c>
    </row>
    <row r="34">
      <c r="A34" s="4" t="inlineStr">
        <is>
          <t>شعريه</t>
        </is>
      </c>
      <c r="B34" s="5" t="n">
        <v>0</v>
      </c>
      <c r="C34" s="6" t="n"/>
      <c r="D34" s="5">
        <f>IF(C34="","",B34*C34)</f>
        <v/>
      </c>
      <c r="E34" s="5">
        <f>SUMIF('مشتريات سبتمبر التفصيلية'!$I$4:$I$92,A34,'مشتريات سبتمبر التفصيلية'!$F$4:$F$92)</f>
        <v/>
      </c>
      <c r="F34" s="5">
        <f>SUMIF('مشتريات سبتمبر التفصيلية'!$I$4:$I$92,A34,'مشتريات سبتمبر التفصيلية'!$H$4:$H$92)</f>
        <v/>
      </c>
      <c r="G34" s="5">
        <f>IF(C34="",E34,B34+E34)</f>
        <v/>
      </c>
      <c r="H34" s="5">
        <f>N(D34)+F34</f>
        <v/>
      </c>
      <c r="I34" s="7">
        <f>IF(G34&gt;0,ROUND(H34/G34,4),IF(C34="","",C34))</f>
        <v/>
      </c>
      <c r="J34" s="8" t="n"/>
      <c r="K34" s="5" t="n">
        <v>0</v>
      </c>
      <c r="L34" s="5">
        <f>IF(J34="","",K34*J34)</f>
        <v/>
      </c>
      <c r="M34" s="9">
        <f>IF(OR(C34="",I34=""),"",I34/C34-1)</f>
        <v/>
      </c>
      <c r="N34" s="4" t="inlineStr">
        <is>
          <t>بلا سعر — لا سعر أغسطس ولا مشتريات سبتمبر</t>
        </is>
      </c>
    </row>
    <row r="35">
      <c r="A35" s="4" t="inlineStr">
        <is>
          <t>دقيق</t>
        </is>
      </c>
      <c r="B35" s="5" t="n">
        <v>0</v>
      </c>
      <c r="C35" s="6" t="n">
        <v>17.5</v>
      </c>
      <c r="D35" s="5">
        <f>IF(C35="","",B35*C35)</f>
        <v/>
      </c>
      <c r="E35" s="5">
        <f>SUMIF('مشتريات سبتمبر التفصيلية'!$I$4:$I$92,A35,'مشتريات سبتمبر التفصيلية'!$F$4:$F$92)</f>
        <v/>
      </c>
      <c r="F35" s="5">
        <f>SUMIF('مشتريات سبتمبر التفصيلية'!$I$4:$I$92,A35,'مشتريات سبتمبر التفصيلية'!$H$4:$H$92)</f>
        <v/>
      </c>
      <c r="G35" s="5">
        <f>IF(C35="",E35,B35+E35)</f>
        <v/>
      </c>
      <c r="H35" s="5">
        <f>N(D35)+F35</f>
        <v/>
      </c>
      <c r="I35" s="7">
        <f>IF(G35&gt;0,ROUND(H35/G35,4),IF(C35="","",C35))</f>
        <v/>
      </c>
      <c r="J35" s="8" t="n">
        <v>20</v>
      </c>
      <c r="K35" s="5" t="n">
        <v>0</v>
      </c>
      <c r="L35" s="5">
        <f>IF(J35="","",K35*J35)</f>
        <v/>
      </c>
      <c r="M35" s="9">
        <f>IF(OR(C35="",I35=""),"",I35/C35-1)</f>
        <v/>
      </c>
      <c r="N35" s="4" t="inlineStr">
        <is>
          <t>قياسى: (أول المدة + المشتريات)</t>
        </is>
      </c>
    </row>
    <row r="36">
      <c r="A36" s="4" t="inlineStr">
        <is>
          <t>نشا</t>
        </is>
      </c>
      <c r="B36" s="5" t="n">
        <v>400</v>
      </c>
      <c r="C36" s="6" t="n">
        <v>26.974</v>
      </c>
      <c r="D36" s="5">
        <f>IF(C36="","",B36*C36)</f>
        <v/>
      </c>
      <c r="E36" s="5">
        <f>SUMIF('مشتريات سبتمبر التفصيلية'!$I$4:$I$92,A36,'مشتريات سبتمبر التفصيلية'!$F$4:$F$92)</f>
        <v/>
      </c>
      <c r="F36" s="5">
        <f>SUMIF('مشتريات سبتمبر التفصيلية'!$I$4:$I$92,A36,'مشتريات سبتمبر التفصيلية'!$H$4:$H$92)</f>
        <v/>
      </c>
      <c r="G36" s="5">
        <f>IF(C36="",E36,B36+E36)</f>
        <v/>
      </c>
      <c r="H36" s="5">
        <f>N(D36)+F36</f>
        <v/>
      </c>
      <c r="I36" s="7">
        <f>IF(G36&gt;0,ROUND(H36/G36,4),IF(C36="","",C36))</f>
        <v/>
      </c>
      <c r="J36" s="8" t="n">
        <v>28.3958</v>
      </c>
      <c r="K36" s="5" t="n">
        <v>53.5</v>
      </c>
      <c r="L36" s="5">
        <f>IF(J36="","",K36*J36)</f>
        <v/>
      </c>
      <c r="M36" s="9">
        <f>IF(OR(C36="",I36=""),"",I36/C36-1)</f>
        <v/>
      </c>
      <c r="N36" s="4" t="inlineStr">
        <is>
          <t>قياسى: (أول المدة + المشتريات)</t>
        </is>
      </c>
    </row>
    <row r="37">
      <c r="A37" s="4" t="inlineStr">
        <is>
          <t>فلفل اسود</t>
        </is>
      </c>
      <c r="B37" s="5" t="n">
        <v>36.38</v>
      </c>
      <c r="C37" s="6" t="n">
        <v>336.2615</v>
      </c>
      <c r="D37" s="5">
        <f>IF(C37="","",B37*C37)</f>
        <v/>
      </c>
      <c r="E37" s="5">
        <f>SUMIF('مشتريات سبتمبر التفصيلية'!$I$4:$I$92,A37,'مشتريات سبتمبر التفصيلية'!$F$4:$F$92)</f>
        <v/>
      </c>
      <c r="F37" s="5">
        <f>SUMIF('مشتريات سبتمبر التفصيلية'!$I$4:$I$92,A37,'مشتريات سبتمبر التفصيلية'!$H$4:$H$92)</f>
        <v/>
      </c>
      <c r="G37" s="5">
        <f>IF(C37="",E37,B37+E37)</f>
        <v/>
      </c>
      <c r="H37" s="5">
        <f>N(D37)+F37</f>
        <v/>
      </c>
      <c r="I37" s="7">
        <f>IF(G37&gt;0,ROUND(H37/G37,4),IF(C37="","",C37))</f>
        <v/>
      </c>
      <c r="J37" s="8" t="n">
        <v>337.9511</v>
      </c>
      <c r="K37" s="5" t="n">
        <v>12.5</v>
      </c>
      <c r="L37" s="5">
        <f>IF(J37="","",K37*J37)</f>
        <v/>
      </c>
      <c r="M37" s="9">
        <f>IF(OR(C37="",I37=""),"",I37/C37-1)</f>
        <v/>
      </c>
      <c r="N37" s="4" t="inlineStr">
        <is>
          <t>قياسى: (أول المدة + المشتريات)</t>
        </is>
      </c>
    </row>
    <row r="38">
      <c r="A38" s="4" t="inlineStr">
        <is>
          <t>قرنفل</t>
        </is>
      </c>
      <c r="B38" s="5" t="n">
        <v>5.1</v>
      </c>
      <c r="C38" s="6" t="n">
        <v>510.4691</v>
      </c>
      <c r="D38" s="5">
        <f>IF(C38="","",B38*C38)</f>
        <v/>
      </c>
      <c r="E38" s="5">
        <f>SUMIF('مشتريات سبتمبر التفصيلية'!$I$4:$I$92,A38,'مشتريات سبتمبر التفصيلية'!$F$4:$F$92)</f>
        <v/>
      </c>
      <c r="F38" s="5">
        <f>SUMIF('مشتريات سبتمبر التفصيلية'!$I$4:$I$92,A38,'مشتريات سبتمبر التفصيلية'!$H$4:$H$92)</f>
        <v/>
      </c>
      <c r="G38" s="5">
        <f>IF(C38="",E38,B38+E38)</f>
        <v/>
      </c>
      <c r="H38" s="5">
        <f>N(D38)+F38</f>
        <v/>
      </c>
      <c r="I38" s="7">
        <f>IF(G38&gt;0,ROUND(H38/G38,4),IF(C38="","",C38))</f>
        <v/>
      </c>
      <c r="J38" s="8" t="n">
        <v>510.1584</v>
      </c>
      <c r="K38" s="5" t="n">
        <v>8.1</v>
      </c>
      <c r="L38" s="5">
        <f>IF(J38="","",K38*J38)</f>
        <v/>
      </c>
      <c r="M38" s="9">
        <f>IF(OR(C38="",I38=""),"",I38/C38-1)</f>
        <v/>
      </c>
      <c r="N38" s="4" t="inlineStr">
        <is>
          <t>قياسى: (أول المدة + المشتريات)</t>
        </is>
      </c>
    </row>
    <row r="39">
      <c r="A39" s="4" t="inlineStr">
        <is>
          <t>كمون</t>
        </is>
      </c>
      <c r="B39" s="5" t="n">
        <v>14.9</v>
      </c>
      <c r="C39" s="6" t="n">
        <v>251.5284</v>
      </c>
      <c r="D39" s="5">
        <f>IF(C39="","",B39*C39)</f>
        <v/>
      </c>
      <c r="E39" s="5">
        <f>SUMIF('مشتريات سبتمبر التفصيلية'!$I$4:$I$92,A39,'مشتريات سبتمبر التفصيلية'!$F$4:$F$92)</f>
        <v/>
      </c>
      <c r="F39" s="5">
        <f>SUMIF('مشتريات سبتمبر التفصيلية'!$I$4:$I$92,A39,'مشتريات سبتمبر التفصيلية'!$H$4:$H$92)</f>
        <v/>
      </c>
      <c r="G39" s="5">
        <f>IF(C39="",E39,B39+E39)</f>
        <v/>
      </c>
      <c r="H39" s="5">
        <f>N(D39)+F39</f>
        <v/>
      </c>
      <c r="I39" s="7">
        <f>IF(G39&gt;0,ROUND(H39/G39,4),IF(C39="","",C39))</f>
        <v/>
      </c>
      <c r="J39" s="8" t="n">
        <v>251.5284</v>
      </c>
      <c r="K39" s="5" t="n">
        <v>11.15</v>
      </c>
      <c r="L39" s="5">
        <f>IF(J39="","",K39*J39)</f>
        <v/>
      </c>
      <c r="M39" s="9">
        <f>IF(OR(C39="",I39=""),"",I39/C39-1)</f>
        <v/>
      </c>
      <c r="N39" s="4" t="inlineStr">
        <is>
          <t>لا مشتريات فى سبتمبر ⇒ سعر أغسطس ثابت</t>
        </is>
      </c>
    </row>
    <row r="40">
      <c r="A40" s="4" t="inlineStr">
        <is>
          <t>كرفس</t>
        </is>
      </c>
      <c r="B40" s="5" t="n">
        <v>0</v>
      </c>
      <c r="C40" s="6" t="n">
        <v>140</v>
      </c>
      <c r="D40" s="5">
        <f>IF(C40="","",B40*C40)</f>
        <v/>
      </c>
      <c r="E40" s="5">
        <f>SUMIF('مشتريات سبتمبر التفصيلية'!$I$4:$I$92,A40,'مشتريات سبتمبر التفصيلية'!$F$4:$F$92)</f>
        <v/>
      </c>
      <c r="F40" s="5">
        <f>SUMIF('مشتريات سبتمبر التفصيلية'!$I$4:$I$92,A40,'مشتريات سبتمبر التفصيلية'!$H$4:$H$92)</f>
        <v/>
      </c>
      <c r="G40" s="5">
        <f>IF(C40="",E40,B40+E40)</f>
        <v/>
      </c>
      <c r="H40" s="5">
        <f>N(D40)+F40</f>
        <v/>
      </c>
      <c r="I40" s="7">
        <f>IF(G40&gt;0,ROUND(H40/G40,4),IF(C40="","",C40))</f>
        <v/>
      </c>
      <c r="J40" s="8" t="n">
        <v>140</v>
      </c>
      <c r="K40" s="5" t="n">
        <v>0</v>
      </c>
      <c r="L40" s="5">
        <f>IF(J40="","",K40*J40)</f>
        <v/>
      </c>
      <c r="M40" s="9">
        <f>IF(OR(C40="",I40=""),"",I40/C40-1)</f>
        <v/>
      </c>
      <c r="N40" s="4" t="inlineStr">
        <is>
          <t>لا مشتريات فى سبتمبر ⇒ سعر أغسطس ثابت</t>
        </is>
      </c>
    </row>
    <row r="41">
      <c r="A41" s="4" t="inlineStr">
        <is>
          <t>كبابه</t>
        </is>
      </c>
      <c r="B41" s="5" t="n">
        <v>10.6</v>
      </c>
      <c r="C41" s="6" t="n">
        <v>529.0463999999999</v>
      </c>
      <c r="D41" s="5">
        <f>IF(C41="","",B41*C41)</f>
        <v/>
      </c>
      <c r="E41" s="5">
        <f>SUMIF('مشتريات سبتمبر التفصيلية'!$I$4:$I$92,A41,'مشتريات سبتمبر التفصيلية'!$F$4:$F$92)</f>
        <v/>
      </c>
      <c r="F41" s="5">
        <f>SUMIF('مشتريات سبتمبر التفصيلية'!$I$4:$I$92,A41,'مشتريات سبتمبر التفصيلية'!$H$4:$H$92)</f>
        <v/>
      </c>
      <c r="G41" s="5">
        <f>IF(C41="",E41,B41+E41)</f>
        <v/>
      </c>
      <c r="H41" s="5">
        <f>N(D41)+F41</f>
        <v/>
      </c>
      <c r="I41" s="7">
        <f>IF(G41&gt;0,ROUND(H41/G41,4),IF(C41="","",C41))</f>
        <v/>
      </c>
      <c r="J41" s="8" t="n">
        <v>529.0463999999999</v>
      </c>
      <c r="K41" s="5" t="n">
        <v>9.699999999999999</v>
      </c>
      <c r="L41" s="5">
        <f>IF(J41="","",K41*J41)</f>
        <v/>
      </c>
      <c r="M41" s="9">
        <f>IF(OR(C41="",I41=""),"",I41/C41-1)</f>
        <v/>
      </c>
      <c r="N41" s="4" t="inlineStr">
        <is>
          <t>لا مشتريات فى سبتمبر ⇒ سعر أغسطس ثابت</t>
        </is>
      </c>
    </row>
    <row r="42">
      <c r="A42" s="4" t="inlineStr">
        <is>
          <t>بقدونس</t>
        </is>
      </c>
      <c r="B42" s="5" t="n">
        <v>10</v>
      </c>
      <c r="C42" s="6" t="n">
        <v>110</v>
      </c>
      <c r="D42" s="5">
        <f>IF(C42="","",B42*C42)</f>
        <v/>
      </c>
      <c r="E42" s="5">
        <f>SUMIF('مشتريات سبتمبر التفصيلية'!$I$4:$I$92,A42,'مشتريات سبتمبر التفصيلية'!$F$4:$F$92)</f>
        <v/>
      </c>
      <c r="F42" s="5">
        <f>SUMIF('مشتريات سبتمبر التفصيلية'!$I$4:$I$92,A42,'مشتريات سبتمبر التفصيلية'!$H$4:$H$92)</f>
        <v/>
      </c>
      <c r="G42" s="5">
        <f>IF(C42="",E42,B42+E42)</f>
        <v/>
      </c>
      <c r="H42" s="5">
        <f>N(D42)+F42</f>
        <v/>
      </c>
      <c r="I42" s="7">
        <f>IF(G42&gt;0,ROUND(H42/G42,4),IF(C42="","",C42))</f>
        <v/>
      </c>
      <c r="J42" s="8" t="n">
        <v>110</v>
      </c>
      <c r="K42" s="5" t="n">
        <v>0</v>
      </c>
      <c r="L42" s="5">
        <f>IF(J42="","",K42*J42)</f>
        <v/>
      </c>
      <c r="M42" s="9">
        <f>IF(OR(C42="",I42=""),"",I42/C42-1)</f>
        <v/>
      </c>
      <c r="N42" s="4" t="inlineStr">
        <is>
          <t>لا مشتريات فى سبتمبر ⇒ سعر أغسطس ثابت</t>
        </is>
      </c>
    </row>
    <row r="43">
      <c r="A43" s="4" t="inlineStr">
        <is>
          <t>لورا</t>
        </is>
      </c>
      <c r="B43" s="5" t="n">
        <v>12.5</v>
      </c>
      <c r="C43" s="6" t="n">
        <v>140.0911</v>
      </c>
      <c r="D43" s="5">
        <f>IF(C43="","",B43*C43)</f>
        <v/>
      </c>
      <c r="E43" s="5">
        <f>SUMIF('مشتريات سبتمبر التفصيلية'!$I$4:$I$92,A43,'مشتريات سبتمبر التفصيلية'!$F$4:$F$92)</f>
        <v/>
      </c>
      <c r="F43" s="5">
        <f>SUMIF('مشتريات سبتمبر التفصيلية'!$I$4:$I$92,A43,'مشتريات سبتمبر التفصيلية'!$H$4:$H$92)</f>
        <v/>
      </c>
      <c r="G43" s="5">
        <f>IF(C43="",E43,B43+E43)</f>
        <v/>
      </c>
      <c r="H43" s="5">
        <f>N(D43)+F43</f>
        <v/>
      </c>
      <c r="I43" s="7">
        <f>IF(G43&gt;0,ROUND(H43/G43,4),IF(C43="","",C43))</f>
        <v/>
      </c>
      <c r="J43" s="8" t="n">
        <v>140.0506</v>
      </c>
      <c r="K43" s="5" t="n">
        <v>8.6</v>
      </c>
      <c r="L43" s="5">
        <f>IF(J43="","",K43*J43)</f>
        <v/>
      </c>
      <c r="M43" s="9">
        <f>IF(OR(C43="",I43=""),"",I43/C43-1)</f>
        <v/>
      </c>
      <c r="N43" s="4" t="inlineStr">
        <is>
          <t>قياسى: (أول المدة + المشتريات)</t>
        </is>
      </c>
    </row>
    <row r="44">
      <c r="A44" s="4" t="inlineStr">
        <is>
          <t>خلنجان</t>
        </is>
      </c>
      <c r="B44" s="5" t="n">
        <v>4.975</v>
      </c>
      <c r="C44" s="6" t="n">
        <v>125.4015</v>
      </c>
      <c r="D44" s="5">
        <f>IF(C44="","",B44*C44)</f>
        <v/>
      </c>
      <c r="E44" s="5">
        <f>SUMIF('مشتريات سبتمبر التفصيلية'!$I$4:$I$92,A44,'مشتريات سبتمبر التفصيلية'!$F$4:$F$92)</f>
        <v/>
      </c>
      <c r="F44" s="5">
        <f>SUMIF('مشتريات سبتمبر التفصيلية'!$I$4:$I$92,A44,'مشتريات سبتمبر التفصيلية'!$H$4:$H$92)</f>
        <v/>
      </c>
      <c r="G44" s="5">
        <f>IF(C44="",E44,B44+E44)</f>
        <v/>
      </c>
      <c r="H44" s="5">
        <f>N(D44)+F44</f>
        <v/>
      </c>
      <c r="I44" s="7">
        <f>IF(G44&gt;0,ROUND(H44/G44,4),IF(C44="","",C44))</f>
        <v/>
      </c>
      <c r="J44" s="8" t="n">
        <v>125.4015</v>
      </c>
      <c r="K44" s="5" t="n">
        <v>3.2</v>
      </c>
      <c r="L44" s="5">
        <f>IF(J44="","",K44*J44)</f>
        <v/>
      </c>
      <c r="M44" s="9">
        <f>IF(OR(C44="",I44=""),"",I44/C44-1)</f>
        <v/>
      </c>
      <c r="N44" s="4" t="inlineStr">
        <is>
          <t>لا مشتريات فى سبتمبر ⇒ سعر أغسطس ثابت</t>
        </is>
      </c>
    </row>
    <row r="45">
      <c r="A45" s="4" t="inlineStr">
        <is>
          <t>كزبره</t>
        </is>
      </c>
      <c r="B45" s="5" t="n">
        <v>55</v>
      </c>
      <c r="C45" s="6" t="n">
        <v>74.8815</v>
      </c>
      <c r="D45" s="5">
        <f>IF(C45="","",B45*C45)</f>
        <v/>
      </c>
      <c r="E45" s="5">
        <f>SUMIF('مشتريات سبتمبر التفصيلية'!$I$4:$I$92,A45,'مشتريات سبتمبر التفصيلية'!$F$4:$F$92)</f>
        <v/>
      </c>
      <c r="F45" s="5">
        <f>SUMIF('مشتريات سبتمبر التفصيلية'!$I$4:$I$92,A45,'مشتريات سبتمبر التفصيلية'!$H$4:$H$92)</f>
        <v/>
      </c>
      <c r="G45" s="5">
        <f>IF(C45="",E45,B45+E45)</f>
        <v/>
      </c>
      <c r="H45" s="5">
        <f>N(D45)+F45</f>
        <v/>
      </c>
      <c r="I45" s="7">
        <f>IF(G45&gt;0,ROUND(H45/G45,4),IF(C45="","",C45))</f>
        <v/>
      </c>
      <c r="J45" s="8" t="n">
        <v>80.7191</v>
      </c>
      <c r="K45" s="5" t="n">
        <v>54.7</v>
      </c>
      <c r="L45" s="5">
        <f>IF(J45="","",K45*J45)</f>
        <v/>
      </c>
      <c r="M45" s="9">
        <f>IF(OR(C45="",I45=""),"",I45/C45-1)</f>
        <v/>
      </c>
      <c r="N45" s="4" t="inlineStr">
        <is>
          <t>قياسى: (أول المدة + المشتريات)</t>
        </is>
      </c>
    </row>
    <row r="46">
      <c r="A46" s="4" t="inlineStr">
        <is>
          <t>قرفه</t>
        </is>
      </c>
      <c r="B46" s="5" t="n">
        <v>23.7</v>
      </c>
      <c r="C46" s="6" t="n">
        <v>130.1035</v>
      </c>
      <c r="D46" s="5">
        <f>IF(C46="","",B46*C46)</f>
        <v/>
      </c>
      <c r="E46" s="5">
        <f>SUMIF('مشتريات سبتمبر التفصيلية'!$I$4:$I$92,A46,'مشتريات سبتمبر التفصيلية'!$F$4:$F$92)</f>
        <v/>
      </c>
      <c r="F46" s="5">
        <f>SUMIF('مشتريات سبتمبر التفصيلية'!$I$4:$I$92,A46,'مشتريات سبتمبر التفصيلية'!$H$4:$H$92)</f>
        <v/>
      </c>
      <c r="G46" s="5">
        <f>IF(C46="",E46,B46+E46)</f>
        <v/>
      </c>
      <c r="H46" s="5">
        <f>N(D46)+F46</f>
        <v/>
      </c>
      <c r="I46" s="7">
        <f>IF(G46&gt;0,ROUND(H46/G46,4),IF(C46="","",C46))</f>
        <v/>
      </c>
      <c r="J46" s="8" t="n">
        <v>130.0333</v>
      </c>
      <c r="K46" s="5" t="n">
        <v>36</v>
      </c>
      <c r="L46" s="5">
        <f>IF(J46="","",K46*J46)</f>
        <v/>
      </c>
      <c r="M46" s="9">
        <f>IF(OR(C46="",I46=""),"",I46/C46-1)</f>
        <v/>
      </c>
      <c r="N46" s="4" t="inlineStr">
        <is>
          <t>قياسى: (أول المدة + المشتريات)</t>
        </is>
      </c>
    </row>
    <row r="47">
      <c r="A47" s="4" t="inlineStr">
        <is>
          <t>زعتر</t>
        </is>
      </c>
      <c r="B47" s="5" t="n">
        <v>3</v>
      </c>
      <c r="C47" s="6" t="n">
        <v>120</v>
      </c>
      <c r="D47" s="5">
        <f>IF(C47="","",B47*C47)</f>
        <v/>
      </c>
      <c r="E47" s="5">
        <f>SUMIF('مشتريات سبتمبر التفصيلية'!$I$4:$I$92,A47,'مشتريات سبتمبر التفصيلية'!$F$4:$F$92)</f>
        <v/>
      </c>
      <c r="F47" s="5">
        <f>SUMIF('مشتريات سبتمبر التفصيلية'!$I$4:$I$92,A47,'مشتريات سبتمبر التفصيلية'!$H$4:$H$92)</f>
        <v/>
      </c>
      <c r="G47" s="5">
        <f>IF(C47="",E47,B47+E47)</f>
        <v/>
      </c>
      <c r="H47" s="5">
        <f>N(D47)+F47</f>
        <v/>
      </c>
      <c r="I47" s="7">
        <f>IF(G47&gt;0,ROUND(H47/G47,4),IF(C47="","",C47))</f>
        <v/>
      </c>
      <c r="J47" s="8" t="n">
        <v>120</v>
      </c>
      <c r="K47" s="5" t="n">
        <v>2</v>
      </c>
      <c r="L47" s="5">
        <f>IF(J47="","",K47*J47)</f>
        <v/>
      </c>
      <c r="M47" s="9">
        <f>IF(OR(C47="",I47=""),"",I47/C47-1)</f>
        <v/>
      </c>
      <c r="N47" s="4" t="inlineStr">
        <is>
          <t>لا مشتريات فى سبتمبر ⇒ سعر أغسطس ثابت</t>
        </is>
      </c>
    </row>
    <row r="48">
      <c r="A48" s="4" t="inlineStr">
        <is>
          <t>شطه</t>
        </is>
      </c>
      <c r="B48" s="5" t="n">
        <v>63</v>
      </c>
      <c r="C48" s="6" t="n">
        <v>75.042</v>
      </c>
      <c r="D48" s="5">
        <f>IF(C48="","",B48*C48)</f>
        <v/>
      </c>
      <c r="E48" s="5">
        <f>SUMIF('مشتريات سبتمبر التفصيلية'!$I$4:$I$92,A48,'مشتريات سبتمبر التفصيلية'!$F$4:$F$92)</f>
        <v/>
      </c>
      <c r="F48" s="5">
        <f>SUMIF('مشتريات سبتمبر التفصيلية'!$I$4:$I$92,A48,'مشتريات سبتمبر التفصيلية'!$H$4:$H$92)</f>
        <v/>
      </c>
      <c r="G48" s="5">
        <f>IF(C48="",E48,B48+E48)</f>
        <v/>
      </c>
      <c r="H48" s="5">
        <f>N(D48)+F48</f>
        <v/>
      </c>
      <c r="I48" s="7">
        <f>IF(G48&gt;0,ROUND(H48/G48,4),IF(C48="","",C48))</f>
        <v/>
      </c>
      <c r="J48" s="8" t="n">
        <v>75.0234</v>
      </c>
      <c r="K48" s="5" t="n">
        <v>60</v>
      </c>
      <c r="L48" s="5">
        <f>IF(J48="","",K48*J48)</f>
        <v/>
      </c>
      <c r="M48" s="9">
        <f>IF(OR(C48="",I48=""),"",I48/C48-1)</f>
        <v/>
      </c>
      <c r="N48" s="4" t="inlineStr">
        <is>
          <t>قياسى: (أول المدة + المشتريات)</t>
        </is>
      </c>
    </row>
    <row r="49">
      <c r="A49" s="4" t="inlineStr">
        <is>
          <t>جوزه الطيب</t>
        </is>
      </c>
      <c r="B49" s="5" t="n">
        <v>1.79</v>
      </c>
      <c r="C49" s="6" t="n">
        <v>802.9028</v>
      </c>
      <c r="D49" s="5">
        <f>IF(C49="","",B49*C49)</f>
        <v/>
      </c>
      <c r="E49" s="5">
        <f>SUMIF('مشتريات سبتمبر التفصيلية'!$I$4:$I$92,A49,'مشتريات سبتمبر التفصيلية'!$F$4:$F$92)</f>
        <v/>
      </c>
      <c r="F49" s="5">
        <f>SUMIF('مشتريات سبتمبر التفصيلية'!$I$4:$I$92,A49,'مشتريات سبتمبر التفصيلية'!$H$4:$H$92)</f>
        <v/>
      </c>
      <c r="G49" s="5">
        <f>IF(C49="",E49,B49+E49)</f>
        <v/>
      </c>
      <c r="H49" s="5">
        <f>N(D49)+F49</f>
        <v/>
      </c>
      <c r="I49" s="7">
        <f>IF(G49&gt;0,ROUND(H49/G49,4),IF(C49="","",C49))</f>
        <v/>
      </c>
      <c r="J49" s="8" t="n">
        <v>802.9028</v>
      </c>
      <c r="K49" s="5" t="n">
        <v>1.4</v>
      </c>
      <c r="L49" s="5">
        <f>IF(J49="","",K49*J49)</f>
        <v/>
      </c>
      <c r="M49" s="9">
        <f>IF(OR(C49="",I49=""),"",I49/C49-1)</f>
        <v/>
      </c>
      <c r="N49" s="4" t="inlineStr">
        <is>
          <t>لا مشتريات فى سبتمبر ⇒ سعر أغسطس ثابت</t>
        </is>
      </c>
    </row>
    <row r="50">
      <c r="A50" s="4" t="inlineStr">
        <is>
          <t>ينسون</t>
        </is>
      </c>
      <c r="B50" s="5" t="n">
        <v>10.44</v>
      </c>
      <c r="C50" s="6" t="n">
        <v>120.5075</v>
      </c>
      <c r="D50" s="5">
        <f>IF(C50="","",B50*C50)</f>
        <v/>
      </c>
      <c r="E50" s="5">
        <f>SUMIF('مشتريات سبتمبر التفصيلية'!$I$4:$I$92,A50,'مشتريات سبتمبر التفصيلية'!$F$4:$F$92)</f>
        <v/>
      </c>
      <c r="F50" s="5">
        <f>SUMIF('مشتريات سبتمبر التفصيلية'!$I$4:$I$92,A50,'مشتريات سبتمبر التفصيلية'!$H$4:$H$92)</f>
        <v/>
      </c>
      <c r="G50" s="5">
        <f>IF(C50="",E50,B50+E50)</f>
        <v/>
      </c>
      <c r="H50" s="5">
        <f>N(D50)+F50</f>
        <v/>
      </c>
      <c r="I50" s="7">
        <f>IF(G50&gt;0,ROUND(H50/G50,4),IF(C50="","",C50))</f>
        <v/>
      </c>
      <c r="J50" s="8" t="n">
        <v>120.2592</v>
      </c>
      <c r="K50" s="5" t="n">
        <v>11.1</v>
      </c>
      <c r="L50" s="5">
        <f>IF(J50="","",K50*J50)</f>
        <v/>
      </c>
      <c r="M50" s="9">
        <f>IF(OR(C50="",I50=""),"",I50/C50-1)</f>
        <v/>
      </c>
      <c r="N50" s="4" t="inlineStr">
        <is>
          <t>قياسى: (أول المدة + المشتريات)</t>
        </is>
      </c>
    </row>
    <row r="51">
      <c r="A51" s="4" t="inlineStr">
        <is>
          <t>حبهان</t>
        </is>
      </c>
      <c r="B51" s="5" t="n">
        <v>9.199999999999999</v>
      </c>
      <c r="C51" s="6" t="n">
        <v>1231.0948</v>
      </c>
      <c r="D51" s="5">
        <f>IF(C51="","",B51*C51)</f>
        <v/>
      </c>
      <c r="E51" s="5">
        <f>SUMIF('مشتريات سبتمبر التفصيلية'!$I$4:$I$92,A51,'مشتريات سبتمبر التفصيلية'!$F$4:$F$92)</f>
        <v/>
      </c>
      <c r="F51" s="5">
        <f>SUMIF('مشتريات سبتمبر التفصيلية'!$I$4:$I$92,A51,'مشتريات سبتمبر التفصيلية'!$H$4:$H$92)</f>
        <v/>
      </c>
      <c r="G51" s="5">
        <f>IF(C51="",E51,B51+E51)</f>
        <v/>
      </c>
      <c r="H51" s="5">
        <f>N(D51)+F51</f>
        <v/>
      </c>
      <c r="I51" s="7">
        <f>IF(G51&gt;0,ROUND(H51/G51,4),IF(C51="","",C51))</f>
        <v/>
      </c>
      <c r="J51" s="8" t="n">
        <v>1214.8996</v>
      </c>
      <c r="K51" s="5" t="n">
        <v>8.199999999999999</v>
      </c>
      <c r="L51" s="5">
        <f>IF(J51="","",K51*J51)</f>
        <v/>
      </c>
      <c r="M51" s="9">
        <f>IF(OR(C51="",I51=""),"",I51/C51-1)</f>
        <v/>
      </c>
      <c r="N51" s="4" t="inlineStr">
        <is>
          <t>قياسى: (أول المدة + المشتريات)</t>
        </is>
      </c>
    </row>
    <row r="52">
      <c r="A52" s="4" t="inlineStr">
        <is>
          <t>روزماري</t>
        </is>
      </c>
      <c r="B52" s="5" t="n">
        <v>0</v>
      </c>
      <c r="C52" s="6" t="n">
        <v>150</v>
      </c>
      <c r="D52" s="5">
        <f>IF(C52="","",B52*C52)</f>
        <v/>
      </c>
      <c r="E52" s="5">
        <f>SUMIF('مشتريات سبتمبر التفصيلية'!$I$4:$I$92,A52,'مشتريات سبتمبر التفصيلية'!$F$4:$F$92)</f>
        <v/>
      </c>
      <c r="F52" s="5">
        <f>SUMIF('مشتريات سبتمبر التفصيلية'!$I$4:$I$92,A52,'مشتريات سبتمبر التفصيلية'!$H$4:$H$92)</f>
        <v/>
      </c>
      <c r="G52" s="5">
        <f>IF(C52="",E52,B52+E52)</f>
        <v/>
      </c>
      <c r="H52" s="5">
        <f>N(D52)+F52</f>
        <v/>
      </c>
      <c r="I52" s="7">
        <f>IF(G52&gt;0,ROUND(H52/G52,4),IF(C52="","",C52))</f>
        <v/>
      </c>
      <c r="J52" s="8" t="n">
        <v>150</v>
      </c>
      <c r="K52" s="5" t="n">
        <v>0</v>
      </c>
      <c r="L52" s="5">
        <f>IF(J52="","",K52*J52)</f>
        <v/>
      </c>
      <c r="M52" s="9">
        <f>IF(OR(C52="",I52=""),"",I52/C52-1)</f>
        <v/>
      </c>
      <c r="N52" s="4" t="inlineStr">
        <is>
          <t>لا مشتريات فى سبتمبر ⇒ سعر أغسطس ثابت</t>
        </is>
      </c>
    </row>
    <row r="53">
      <c r="A53" s="4" t="inlineStr">
        <is>
          <t>بابريكا</t>
        </is>
      </c>
      <c r="B53" s="5" t="n">
        <v>31.7</v>
      </c>
      <c r="C53" s="6" t="n">
        <v>140.0343</v>
      </c>
      <c r="D53" s="5">
        <f>IF(C53="","",B53*C53)</f>
        <v/>
      </c>
      <c r="E53" s="5">
        <f>SUMIF('مشتريات سبتمبر التفصيلية'!$I$4:$I$92,A53,'مشتريات سبتمبر التفصيلية'!$F$4:$F$92)</f>
        <v/>
      </c>
      <c r="F53" s="5">
        <f>SUMIF('مشتريات سبتمبر التفصيلية'!$I$4:$I$92,A53,'مشتريات سبتمبر التفصيلية'!$H$4:$H$92)</f>
        <v/>
      </c>
      <c r="G53" s="5">
        <f>IF(C53="",E53,B53+E53)</f>
        <v/>
      </c>
      <c r="H53" s="5">
        <f>N(D53)+F53</f>
        <v/>
      </c>
      <c r="I53" s="7">
        <f>IF(G53&gt;0,ROUND(H53/G53,4),IF(C53="","",C53))</f>
        <v/>
      </c>
      <c r="J53" s="8" t="n">
        <v>140.0343</v>
      </c>
      <c r="K53" s="5" t="n">
        <v>30.15</v>
      </c>
      <c r="L53" s="5">
        <f>IF(J53="","",K53*J53)</f>
        <v/>
      </c>
      <c r="M53" s="9">
        <f>IF(OR(C53="",I53=""),"",I53/C53-1)</f>
        <v/>
      </c>
      <c r="N53" s="4" t="inlineStr">
        <is>
          <t>لا مشتريات فى سبتمبر ⇒ سعر أغسطس ثابت</t>
        </is>
      </c>
    </row>
    <row r="54">
      <c r="A54" s="4" t="inlineStr">
        <is>
          <t>جنزبيل</t>
        </is>
      </c>
      <c r="B54" s="5" t="n">
        <v>9.5</v>
      </c>
      <c r="C54" s="6" t="n">
        <v>211.3081</v>
      </c>
      <c r="D54" s="5">
        <f>IF(C54="","",B54*C54)</f>
        <v/>
      </c>
      <c r="E54" s="5">
        <f>SUMIF('مشتريات سبتمبر التفصيلية'!$I$4:$I$92,A54,'مشتريات سبتمبر التفصيلية'!$F$4:$F$92)</f>
        <v/>
      </c>
      <c r="F54" s="5">
        <f>SUMIF('مشتريات سبتمبر التفصيلية'!$I$4:$I$92,A54,'مشتريات سبتمبر التفصيلية'!$H$4:$H$92)</f>
        <v/>
      </c>
      <c r="G54" s="5">
        <f>IF(C54="",E54,B54+E54)</f>
        <v/>
      </c>
      <c r="H54" s="5">
        <f>N(D54)+F54</f>
        <v/>
      </c>
      <c r="I54" s="7">
        <f>IF(G54&gt;0,ROUND(H54/G54,4),IF(C54="","",C54))</f>
        <v/>
      </c>
      <c r="J54" s="8" t="n">
        <v>214.3053</v>
      </c>
      <c r="K54" s="5" t="n">
        <v>7.5</v>
      </c>
      <c r="L54" s="5">
        <f>IF(J54="","",K54*J54)</f>
        <v/>
      </c>
      <c r="M54" s="9">
        <f>IF(OR(C54="",I54=""),"",I54/C54-1)</f>
        <v/>
      </c>
      <c r="N54" s="4" t="inlineStr">
        <is>
          <t>قياسى: (أول المدة + المشتريات)</t>
        </is>
      </c>
    </row>
    <row r="55">
      <c r="A55" s="4" t="inlineStr">
        <is>
          <t>الملح</t>
        </is>
      </c>
      <c r="B55" s="5" t="n">
        <v>742</v>
      </c>
      <c r="C55" s="6" t="n">
        <v>2.0629</v>
      </c>
      <c r="D55" s="5">
        <f>IF(C55="","",B55*C55)</f>
        <v/>
      </c>
      <c r="E55" s="5">
        <f>SUMIF('مشتريات سبتمبر التفصيلية'!$I$4:$I$92,A55,'مشتريات سبتمبر التفصيلية'!$F$4:$F$92)</f>
        <v/>
      </c>
      <c r="F55" s="5">
        <f>SUMIF('مشتريات سبتمبر التفصيلية'!$I$4:$I$92,A55,'مشتريات سبتمبر التفصيلية'!$H$4:$H$92)</f>
        <v/>
      </c>
      <c r="G55" s="5">
        <f>IF(C55="",E55,B55+E55)</f>
        <v/>
      </c>
      <c r="H55" s="5">
        <f>N(D55)+F55</f>
        <v/>
      </c>
      <c r="I55" s="7">
        <f>IF(G55&gt;0,ROUND(H55/G55,4),IF(C55="","",C55))</f>
        <v/>
      </c>
      <c r="J55" s="8" t="n">
        <v>2.2627</v>
      </c>
      <c r="K55" s="5" t="n">
        <v>1889</v>
      </c>
      <c r="L55" s="5">
        <f>IF(J55="","",K55*J55)</f>
        <v/>
      </c>
      <c r="M55" s="9">
        <f>IF(OR(C55="",I55=""),"",I55/C55-1)</f>
        <v/>
      </c>
      <c r="N55" s="4" t="inlineStr">
        <is>
          <t>قياسى: (أول المدة + المشتريات)</t>
        </is>
      </c>
    </row>
    <row r="56">
      <c r="A56" s="4" t="inlineStr">
        <is>
          <t>فوسفات</t>
        </is>
      </c>
      <c r="B56" s="5" t="n">
        <v>212</v>
      </c>
      <c r="C56" s="6" t="n">
        <v>151.7276</v>
      </c>
      <c r="D56" s="5">
        <f>IF(C56="","",B56*C56)</f>
        <v/>
      </c>
      <c r="E56" s="5">
        <f>SUMIF('مشتريات سبتمبر التفصيلية'!$I$4:$I$92,A56,'مشتريات سبتمبر التفصيلية'!$F$4:$F$92)</f>
        <v/>
      </c>
      <c r="F56" s="5">
        <f>SUMIF('مشتريات سبتمبر التفصيلية'!$I$4:$I$92,A56,'مشتريات سبتمبر التفصيلية'!$H$4:$H$92)</f>
        <v/>
      </c>
      <c r="G56" s="5">
        <f>IF(C56="",E56,B56+E56)</f>
        <v/>
      </c>
      <c r="H56" s="5">
        <f>N(D56)+F56</f>
        <v/>
      </c>
      <c r="I56" s="7">
        <f>IF(G56&gt;0,ROUND(H56/G56,4),IF(C56="","",C56))</f>
        <v/>
      </c>
      <c r="J56" s="8" t="n">
        <v>150.7928</v>
      </c>
      <c r="K56" s="5" t="n">
        <v>254</v>
      </c>
      <c r="L56" s="5">
        <f>IF(J56="","",K56*J56)</f>
        <v/>
      </c>
      <c r="M56" s="9">
        <f>IF(OR(C56="",I56=""),"",I56/C56-1)</f>
        <v/>
      </c>
      <c r="N56" s="4" t="inlineStr">
        <is>
          <t>قياسى: (أول المدة + المشتريات)</t>
        </is>
      </c>
    </row>
    <row r="57">
      <c r="A57" s="4" t="inlineStr">
        <is>
          <t>جلتومات</t>
        </is>
      </c>
      <c r="B57" s="5" t="n">
        <v>127.5</v>
      </c>
      <c r="C57" s="6" t="n">
        <v>90.0864</v>
      </c>
      <c r="D57" s="5">
        <f>IF(C57="","",B57*C57)</f>
        <v/>
      </c>
      <c r="E57" s="5">
        <f>SUMIF('مشتريات سبتمبر التفصيلية'!$I$4:$I$92,A57,'مشتريات سبتمبر التفصيلية'!$F$4:$F$92)</f>
        <v/>
      </c>
      <c r="F57" s="5">
        <f>SUMIF('مشتريات سبتمبر التفصيلية'!$I$4:$I$92,A57,'مشتريات سبتمبر التفصيلية'!$H$4:$H$92)</f>
        <v/>
      </c>
      <c r="G57" s="5">
        <f>IF(C57="",E57,B57+E57)</f>
        <v/>
      </c>
      <c r="H57" s="5">
        <f>N(D57)+F57</f>
        <v/>
      </c>
      <c r="I57" s="7">
        <f>IF(G57&gt;0,ROUND(H57/G57,4),IF(C57="","",C57))</f>
        <v/>
      </c>
      <c r="J57" s="8" t="n">
        <v>86.42489999999999</v>
      </c>
      <c r="K57" s="5" t="n">
        <v>208</v>
      </c>
      <c r="L57" s="5">
        <f>IF(J57="","",K57*J57)</f>
        <v/>
      </c>
      <c r="M57" s="9">
        <f>IF(OR(C57="",I57=""),"",I57/C57-1)</f>
        <v/>
      </c>
      <c r="N57" s="4" t="inlineStr">
        <is>
          <t>قياسى: (أول المدة + المشتريات)</t>
        </is>
      </c>
    </row>
    <row r="58">
      <c r="A58" s="4" t="inlineStr">
        <is>
          <t>طعم سجق بودر</t>
        </is>
      </c>
      <c r="B58" s="5" t="n">
        <v>5.25</v>
      </c>
      <c r="C58" s="6" t="n">
        <v>285</v>
      </c>
      <c r="D58" s="5">
        <f>IF(C58="","",B58*C58)</f>
        <v/>
      </c>
      <c r="E58" s="5">
        <f>SUMIF('مشتريات سبتمبر التفصيلية'!$I$4:$I$92,A58,'مشتريات سبتمبر التفصيلية'!$F$4:$F$92)</f>
        <v/>
      </c>
      <c r="F58" s="5">
        <f>SUMIF('مشتريات سبتمبر التفصيلية'!$I$4:$I$92,A58,'مشتريات سبتمبر التفصيلية'!$H$4:$H$92)</f>
        <v/>
      </c>
      <c r="G58" s="5">
        <f>IF(C58="",E58,B58+E58)</f>
        <v/>
      </c>
      <c r="H58" s="5">
        <f>N(D58)+F58</f>
        <v/>
      </c>
      <c r="I58" s="7">
        <f>IF(G58&gt;0,ROUND(H58/G58,4),IF(C58="","",C58))</f>
        <v/>
      </c>
      <c r="J58" s="8" t="n">
        <v>285</v>
      </c>
      <c r="K58" s="5" t="n">
        <v>4.6</v>
      </c>
      <c r="L58" s="5">
        <f>IF(J58="","",K58*J58)</f>
        <v/>
      </c>
      <c r="M58" s="9">
        <f>IF(OR(C58="",I58=""),"",I58/C58-1)</f>
        <v/>
      </c>
      <c r="N58" s="4" t="inlineStr">
        <is>
          <t>لا مشتريات فى سبتمبر ⇒ سعر أغسطس ثابت</t>
        </is>
      </c>
    </row>
    <row r="59">
      <c r="A59" s="4" t="inlineStr">
        <is>
          <t>بصل بودر</t>
        </is>
      </c>
      <c r="B59" s="5" t="n">
        <v>0</v>
      </c>
      <c r="C59" s="6" t="n">
        <v>125</v>
      </c>
      <c r="D59" s="5">
        <f>IF(C59="","",B59*C59)</f>
        <v/>
      </c>
      <c r="E59" s="5">
        <f>SUMIF('مشتريات سبتمبر التفصيلية'!$I$4:$I$92,A59,'مشتريات سبتمبر التفصيلية'!$F$4:$F$92)</f>
        <v/>
      </c>
      <c r="F59" s="5">
        <f>SUMIF('مشتريات سبتمبر التفصيلية'!$I$4:$I$92,A59,'مشتريات سبتمبر التفصيلية'!$H$4:$H$92)</f>
        <v/>
      </c>
      <c r="G59" s="5">
        <f>IF(C59="",E59,B59+E59)</f>
        <v/>
      </c>
      <c r="H59" s="5">
        <f>N(D59)+F59</f>
        <v/>
      </c>
      <c r="I59" s="7">
        <f>IF(G59&gt;0,ROUND(H59/G59,4),IF(C59="","",C59))</f>
        <v/>
      </c>
      <c r="J59" s="8" t="n">
        <v>125</v>
      </c>
      <c r="K59" s="5" t="n">
        <v>0</v>
      </c>
      <c r="L59" s="5">
        <f>IF(J59="","",K59*J59)</f>
        <v/>
      </c>
      <c r="M59" s="9">
        <f>IF(OR(C59="",I59=""),"",I59/C59-1)</f>
        <v/>
      </c>
      <c r="N59" s="4" t="inlineStr">
        <is>
          <t>لا مشتريات فى سبتمبر ⇒ سعر أغسطس ثابت</t>
        </is>
      </c>
    </row>
    <row r="60">
      <c r="A60" s="4" t="inlineStr">
        <is>
          <t>طعم ليه</t>
        </is>
      </c>
      <c r="B60" s="5" t="n">
        <v>19.305</v>
      </c>
      <c r="C60" s="6" t="n">
        <v>293.7369</v>
      </c>
      <c r="D60" s="5">
        <f>IF(C60="","",B60*C60)</f>
        <v/>
      </c>
      <c r="E60" s="5">
        <f>SUMIF('مشتريات سبتمبر التفصيلية'!$I$4:$I$92,A60,'مشتريات سبتمبر التفصيلية'!$F$4:$F$92)</f>
        <v/>
      </c>
      <c r="F60" s="5">
        <f>SUMIF('مشتريات سبتمبر التفصيلية'!$I$4:$I$92,A60,'مشتريات سبتمبر التفصيلية'!$H$4:$H$92)</f>
        <v/>
      </c>
      <c r="G60" s="5">
        <f>IF(C60="",E60,B60+E60)</f>
        <v/>
      </c>
      <c r="H60" s="5">
        <f>N(D60)+F60</f>
        <v/>
      </c>
      <c r="I60" s="7">
        <f>IF(G60&gt;0,ROUND(H60/G60,4),IF(C60="","",C60))</f>
        <v/>
      </c>
      <c r="J60" s="8" t="n">
        <v>294.6482</v>
      </c>
      <c r="K60" s="5" t="n">
        <v>9.300000000000001</v>
      </c>
      <c r="L60" s="5">
        <f>IF(J60="","",K60*J60)</f>
        <v/>
      </c>
      <c r="M60" s="9">
        <f>IF(OR(C60="",I60=""),"",I60/C60-1)</f>
        <v/>
      </c>
      <c r="N60" s="4" t="inlineStr">
        <is>
          <t>قياسى: (أول المدة + المشتريات)</t>
        </is>
      </c>
    </row>
    <row r="61">
      <c r="A61" s="4" t="inlineStr">
        <is>
          <t>طعم كفته</t>
        </is>
      </c>
      <c r="B61" s="5" t="n">
        <v>31.5</v>
      </c>
      <c r="C61" s="6" t="n">
        <v>182.5277</v>
      </c>
      <c r="D61" s="5">
        <f>IF(C61="","",B61*C61)</f>
        <v/>
      </c>
      <c r="E61" s="5">
        <f>SUMIF('مشتريات سبتمبر التفصيلية'!$I$4:$I$92,A61,'مشتريات سبتمبر التفصيلية'!$F$4:$F$92)</f>
        <v/>
      </c>
      <c r="F61" s="5">
        <f>SUMIF('مشتريات سبتمبر التفصيلية'!$I$4:$I$92,A61,'مشتريات سبتمبر التفصيلية'!$H$4:$H$92)</f>
        <v/>
      </c>
      <c r="G61" s="5">
        <f>IF(C61="",E61,B61+E61)</f>
        <v/>
      </c>
      <c r="H61" s="5">
        <f>N(D61)+F61</f>
        <v/>
      </c>
      <c r="I61" s="7">
        <f>IF(G61&gt;0,ROUND(H61/G61,4),IF(C61="","",C61))</f>
        <v/>
      </c>
      <c r="J61" s="8" t="n">
        <v>187.1119</v>
      </c>
      <c r="K61" s="5" t="n">
        <v>53.6</v>
      </c>
      <c r="L61" s="5">
        <f>IF(J61="","",K61*J61)</f>
        <v/>
      </c>
      <c r="M61" s="9">
        <f>IF(OR(C61="",I61=""),"",I61/C61-1)</f>
        <v/>
      </c>
      <c r="N61" s="4" t="inlineStr">
        <is>
          <t>قياسى: (أول المدة + المشتريات)</t>
        </is>
      </c>
    </row>
    <row r="62">
      <c r="A62" s="4" t="inlineStr">
        <is>
          <t>طعم برجر</t>
        </is>
      </c>
      <c r="B62" s="5" t="n">
        <v>7.2</v>
      </c>
      <c r="C62" s="6" t="n">
        <v>297.554</v>
      </c>
      <c r="D62" s="5">
        <f>IF(C62="","",B62*C62)</f>
        <v/>
      </c>
      <c r="E62" s="5">
        <f>SUMIF('مشتريات سبتمبر التفصيلية'!$I$4:$I$92,A62,'مشتريات سبتمبر التفصيلية'!$F$4:$F$92)</f>
        <v/>
      </c>
      <c r="F62" s="5">
        <f>SUMIF('مشتريات سبتمبر التفصيلية'!$I$4:$I$92,A62,'مشتريات سبتمبر التفصيلية'!$H$4:$H$92)</f>
        <v/>
      </c>
      <c r="G62" s="5">
        <f>IF(C62="",E62,B62+E62)</f>
        <v/>
      </c>
      <c r="H62" s="5">
        <f>N(D62)+F62</f>
        <v/>
      </c>
      <c r="I62" s="7">
        <f>IF(G62&gt;0,ROUND(H62/G62,4),IF(C62="","",C62))</f>
        <v/>
      </c>
      <c r="J62" s="8" t="n">
        <v>297.554</v>
      </c>
      <c r="K62" s="5" t="n">
        <v>5.75</v>
      </c>
      <c r="L62" s="5">
        <f>IF(J62="","",K62*J62)</f>
        <v/>
      </c>
      <c r="M62" s="9">
        <f>IF(OR(C62="",I62=""),"",I62/C62-1)</f>
        <v/>
      </c>
      <c r="N62" s="4" t="inlineStr">
        <is>
          <t>لا مشتريات فى سبتمبر ⇒ سعر أغسطس ثابت</t>
        </is>
      </c>
    </row>
    <row r="63">
      <c r="A63" s="4" t="inlineStr">
        <is>
          <t>طعم بيف</t>
        </is>
      </c>
      <c r="B63" s="5" t="n">
        <v>9.5</v>
      </c>
      <c r="C63" s="6" t="n">
        <v>307.8482</v>
      </c>
      <c r="D63" s="5">
        <f>IF(C63="","",B63*C63)</f>
        <v/>
      </c>
      <c r="E63" s="5">
        <f>SUMIF('مشتريات سبتمبر التفصيلية'!$I$4:$I$92,A63,'مشتريات سبتمبر التفصيلية'!$F$4:$F$92)</f>
        <v/>
      </c>
      <c r="F63" s="5">
        <f>SUMIF('مشتريات سبتمبر التفصيلية'!$I$4:$I$92,A63,'مشتريات سبتمبر التفصيلية'!$H$4:$H$92)</f>
        <v/>
      </c>
      <c r="G63" s="5">
        <f>IF(C63="",E63,B63+E63)</f>
        <v/>
      </c>
      <c r="H63" s="5">
        <f>N(D63)+F63</f>
        <v/>
      </c>
      <c r="I63" s="7">
        <f>IF(G63&gt;0,ROUND(H63/G63,4),IF(C63="","",C63))</f>
        <v/>
      </c>
      <c r="J63" s="8" t="n">
        <v>309.8133</v>
      </c>
      <c r="K63" s="5" t="n">
        <v>31.5</v>
      </c>
      <c r="L63" s="5">
        <f>IF(J63="","",K63*J63)</f>
        <v/>
      </c>
      <c r="M63" s="9">
        <f>IF(OR(C63="",I63=""),"",I63/C63-1)</f>
        <v/>
      </c>
      <c r="N63" s="4" t="inlineStr">
        <is>
          <t>قياسى: (أول المدة + المشتريات)</t>
        </is>
      </c>
    </row>
    <row r="64">
      <c r="A64" s="4" t="inlineStr">
        <is>
          <t>طعم شواي</t>
        </is>
      </c>
      <c r="B64" s="5" t="n">
        <v>17.5</v>
      </c>
      <c r="C64" s="6" t="n">
        <v>295</v>
      </c>
      <c r="D64" s="5">
        <f>IF(C64="","",B64*C64)</f>
        <v/>
      </c>
      <c r="E64" s="5">
        <f>SUMIF('مشتريات سبتمبر التفصيلية'!$I$4:$I$92,A64,'مشتريات سبتمبر التفصيلية'!$F$4:$F$92)</f>
        <v/>
      </c>
      <c r="F64" s="5">
        <f>SUMIF('مشتريات سبتمبر التفصيلية'!$I$4:$I$92,A64,'مشتريات سبتمبر التفصيلية'!$H$4:$H$92)</f>
        <v/>
      </c>
      <c r="G64" s="5">
        <f>IF(C64="",E64,B64+E64)</f>
        <v/>
      </c>
      <c r="H64" s="5">
        <f>N(D64)+F64</f>
        <v/>
      </c>
      <c r="I64" s="7">
        <f>IF(G64&gt;0,ROUND(H64/G64,4),IF(C64="","",C64))</f>
        <v/>
      </c>
      <c r="J64" s="8" t="n">
        <v>295</v>
      </c>
      <c r="K64" s="5" t="n">
        <v>8.699999999999999</v>
      </c>
      <c r="L64" s="5">
        <f>IF(J64="","",K64*J64)</f>
        <v/>
      </c>
      <c r="M64" s="9">
        <f>IF(OR(C64="",I64=""),"",I64/C64-1)</f>
        <v/>
      </c>
      <c r="N64" s="4" t="inlineStr">
        <is>
          <t>قياسى: (أول المدة + المشتريات)</t>
        </is>
      </c>
    </row>
    <row r="65">
      <c r="A65" s="4" t="inlineStr">
        <is>
          <t>طعم دخان</t>
        </is>
      </c>
      <c r="B65" s="5" t="n">
        <v>0</v>
      </c>
      <c r="C65" s="6" t="n"/>
      <c r="D65" s="5">
        <f>IF(C65="","",B65*C65)</f>
        <v/>
      </c>
      <c r="E65" s="5">
        <f>SUMIF('مشتريات سبتمبر التفصيلية'!$I$4:$I$92,A65,'مشتريات سبتمبر التفصيلية'!$F$4:$F$92)</f>
        <v/>
      </c>
      <c r="F65" s="5">
        <f>SUMIF('مشتريات سبتمبر التفصيلية'!$I$4:$I$92,A65,'مشتريات سبتمبر التفصيلية'!$H$4:$H$92)</f>
        <v/>
      </c>
      <c r="G65" s="5">
        <f>IF(C65="",E65,B65+E65)</f>
        <v/>
      </c>
      <c r="H65" s="5">
        <f>N(D65)+F65</f>
        <v/>
      </c>
      <c r="I65" s="7">
        <f>IF(G65&gt;0,ROUND(H65/G65,4),IF(C65="","",C65))</f>
        <v/>
      </c>
      <c r="J65" s="8" t="n"/>
      <c r="K65" s="5" t="n">
        <v>0</v>
      </c>
      <c r="L65" s="5">
        <f>IF(J65="","",K65*J65)</f>
        <v/>
      </c>
      <c r="M65" s="9">
        <f>IF(OR(C65="",I65=""),"",I65/C65-1)</f>
        <v/>
      </c>
      <c r="N65" s="4" t="inlineStr">
        <is>
          <t>بلا سعر — لا سعر أغسطس ولا مشتريات سبتمبر</t>
        </is>
      </c>
    </row>
    <row r="66">
      <c r="A66" s="4" t="inlineStr">
        <is>
          <t>كربوناتو</t>
        </is>
      </c>
      <c r="B66" s="5" t="n">
        <v>1.35</v>
      </c>
      <c r="C66" s="6" t="n">
        <v>35</v>
      </c>
      <c r="D66" s="5">
        <f>IF(C66="","",B66*C66)</f>
        <v/>
      </c>
      <c r="E66" s="5">
        <f>SUMIF('مشتريات سبتمبر التفصيلية'!$I$4:$I$92,A66,'مشتريات سبتمبر التفصيلية'!$F$4:$F$92)</f>
        <v/>
      </c>
      <c r="F66" s="5">
        <f>SUMIF('مشتريات سبتمبر التفصيلية'!$I$4:$I$92,A66,'مشتريات سبتمبر التفصيلية'!$H$4:$H$92)</f>
        <v/>
      </c>
      <c r="G66" s="5">
        <f>IF(C66="",E66,B66+E66)</f>
        <v/>
      </c>
      <c r="H66" s="5">
        <f>N(D66)+F66</f>
        <v/>
      </c>
      <c r="I66" s="7">
        <f>IF(G66&gt;0,ROUND(H66/G66,4),IF(C66="","",C66))</f>
        <v/>
      </c>
      <c r="J66" s="8" t="n">
        <v>35</v>
      </c>
      <c r="K66" s="5" t="n">
        <v>0</v>
      </c>
      <c r="L66" s="5">
        <f>IF(J66="","",K66*J66)</f>
        <v/>
      </c>
      <c r="M66" s="9">
        <f>IF(OR(C66="",I66=""),"",I66/C66-1)</f>
        <v/>
      </c>
      <c r="N66" s="4" t="inlineStr">
        <is>
          <t>لا مشتريات فى سبتمبر ⇒ سعر أغسطس ثابت</t>
        </is>
      </c>
    </row>
    <row r="67">
      <c r="A67" s="4" t="inlineStr">
        <is>
          <t>شرش بودر</t>
        </is>
      </c>
      <c r="B67" s="5" t="n">
        <v>21.95</v>
      </c>
      <c r="C67" s="6" t="n">
        <v>85</v>
      </c>
      <c r="D67" s="5">
        <f>IF(C67="","",B67*C67)</f>
        <v/>
      </c>
      <c r="E67" s="5">
        <f>SUMIF('مشتريات سبتمبر التفصيلية'!$I$4:$I$92,A67,'مشتريات سبتمبر التفصيلية'!$F$4:$F$92)</f>
        <v/>
      </c>
      <c r="F67" s="5">
        <f>SUMIF('مشتريات سبتمبر التفصيلية'!$I$4:$I$92,A67,'مشتريات سبتمبر التفصيلية'!$H$4:$H$92)</f>
        <v/>
      </c>
      <c r="G67" s="5">
        <f>IF(C67="",E67,B67+E67)</f>
        <v/>
      </c>
      <c r="H67" s="5">
        <f>N(D67)+F67</f>
        <v/>
      </c>
      <c r="I67" s="7">
        <f>IF(G67&gt;0,ROUND(H67/G67,4),IF(C67="","",C67))</f>
        <v/>
      </c>
      <c r="J67" s="8" t="n">
        <v>85</v>
      </c>
      <c r="K67" s="5" t="n">
        <v>0</v>
      </c>
      <c r="L67" s="5">
        <f>IF(J67="","",K67*J67)</f>
        <v/>
      </c>
      <c r="M67" s="9">
        <f>IF(OR(C67="",I67=""),"",I67/C67-1)</f>
        <v/>
      </c>
      <c r="N67" s="4" t="inlineStr">
        <is>
          <t>لا مشتريات فى سبتمبر ⇒ سعر أغسطس ثابت</t>
        </is>
      </c>
    </row>
    <row r="68">
      <c r="A68" s="4" t="inlineStr">
        <is>
          <t>سكر</t>
        </is>
      </c>
      <c r="B68" s="5" t="n">
        <v>3.495</v>
      </c>
      <c r="C68" s="6" t="n">
        <v>28.2146</v>
      </c>
      <c r="D68" s="5">
        <f>IF(C68="","",B68*C68)</f>
        <v/>
      </c>
      <c r="E68" s="5">
        <f>SUMIF('مشتريات سبتمبر التفصيلية'!$I$4:$I$92,A68,'مشتريات سبتمبر التفصيلية'!$F$4:$F$92)</f>
        <v/>
      </c>
      <c r="F68" s="5">
        <f>SUMIF('مشتريات سبتمبر التفصيلية'!$I$4:$I$92,A68,'مشتريات سبتمبر التفصيلية'!$H$4:$H$92)</f>
        <v/>
      </c>
      <c r="G68" s="5">
        <f>IF(C68="",E68,B68+E68)</f>
        <v/>
      </c>
      <c r="H68" s="5">
        <f>N(D68)+F68</f>
        <v/>
      </c>
      <c r="I68" s="7">
        <f>IF(G68&gt;0,ROUND(H68/G68,4),IF(C68="","",C68))</f>
        <v/>
      </c>
      <c r="J68" s="8" t="n">
        <v>28.2146</v>
      </c>
      <c r="K68" s="5" t="n">
        <v>0</v>
      </c>
      <c r="L68" s="5">
        <f>IF(J68="","",K68*J68)</f>
        <v/>
      </c>
      <c r="M68" s="9">
        <f>IF(OR(C68="",I68=""),"",I68/C68-1)</f>
        <v/>
      </c>
      <c r="N68" s="4" t="inlineStr">
        <is>
          <t>لا مشتريات فى سبتمبر ⇒ سعر أغسطس ثابت</t>
        </is>
      </c>
    </row>
    <row r="69">
      <c r="A69" s="4" t="inlineStr">
        <is>
          <t>فلفل ابيض</t>
        </is>
      </c>
      <c r="B69" s="5" t="n">
        <v>0</v>
      </c>
      <c r="C69" s="6" t="n">
        <v>78.65170000000001</v>
      </c>
      <c r="D69" s="5">
        <f>IF(C69="","",B69*C69)</f>
        <v/>
      </c>
      <c r="E69" s="5">
        <f>SUMIF('مشتريات سبتمبر التفصيلية'!$I$4:$I$92,A69,'مشتريات سبتمبر التفصيلية'!$F$4:$F$92)</f>
        <v/>
      </c>
      <c r="F69" s="5">
        <f>SUMIF('مشتريات سبتمبر التفصيلية'!$I$4:$I$92,A69,'مشتريات سبتمبر التفصيلية'!$H$4:$H$92)</f>
        <v/>
      </c>
      <c r="G69" s="5">
        <f>IF(C69="",E69,B69+E69)</f>
        <v/>
      </c>
      <c r="H69" s="5">
        <f>N(D69)+F69</f>
        <v/>
      </c>
      <c r="I69" s="7">
        <f>IF(G69&gt;0,ROUND(H69/G69,4),IF(C69="","",C69))</f>
        <v/>
      </c>
      <c r="J69" s="8" t="n">
        <v>78.65170000000001</v>
      </c>
      <c r="K69" s="5" t="n">
        <v>0</v>
      </c>
      <c r="L69" s="5">
        <f>IF(J69="","",K69*J69)</f>
        <v/>
      </c>
      <c r="M69" s="9">
        <f>IF(OR(C69="",I69=""),"",I69/C69-1)</f>
        <v/>
      </c>
      <c r="N69" s="4" t="inlineStr">
        <is>
          <t>لا مشتريات فى سبتمبر ⇒ سعر أغسطس ثابت</t>
        </is>
      </c>
    </row>
    <row r="70">
      <c r="A70" s="4" t="inlineStr">
        <is>
          <t>لون طبيعي</t>
        </is>
      </c>
      <c r="B70" s="5" t="n">
        <v>10.665</v>
      </c>
      <c r="C70" s="6" t="n">
        <v>2971.0926</v>
      </c>
      <c r="D70" s="5">
        <f>IF(C70="","",B70*C70)</f>
        <v/>
      </c>
      <c r="E70" s="5">
        <f>SUMIF('مشتريات سبتمبر التفصيلية'!$I$4:$I$92,A70,'مشتريات سبتمبر التفصيلية'!$F$4:$F$92)</f>
        <v/>
      </c>
      <c r="F70" s="5">
        <f>SUMIF('مشتريات سبتمبر التفصيلية'!$I$4:$I$92,A70,'مشتريات سبتمبر التفصيلية'!$H$4:$H$92)</f>
        <v/>
      </c>
      <c r="G70" s="5">
        <f>IF(C70="",E70,B70+E70)</f>
        <v/>
      </c>
      <c r="H70" s="5">
        <f>N(D70)+F70</f>
        <v/>
      </c>
      <c r="I70" s="7">
        <f>IF(G70&gt;0,ROUND(H70/G70,4),IF(C70="","",C70))</f>
        <v/>
      </c>
      <c r="J70" s="8" t="n">
        <v>2971.0926</v>
      </c>
      <c r="K70" s="5" t="n">
        <v>4</v>
      </c>
      <c r="L70" s="5">
        <f>IF(J70="","",K70*J70)</f>
        <v/>
      </c>
      <c r="M70" s="9">
        <f>IF(OR(C70="",I70=""),"",I70/C70-1)</f>
        <v/>
      </c>
      <c r="N70" s="4" t="inlineStr">
        <is>
          <t>لا مشتريات فى سبتمبر ⇒ سعر أغسطس ثابت</t>
        </is>
      </c>
    </row>
    <row r="71">
      <c r="A71" s="4" t="inlineStr">
        <is>
          <t>طعم فراخ</t>
        </is>
      </c>
      <c r="B71" s="5" t="n">
        <v>0</v>
      </c>
      <c r="C71" s="6" t="n"/>
      <c r="D71" s="5">
        <f>IF(C71="","",B71*C71)</f>
        <v/>
      </c>
      <c r="E71" s="5">
        <f>SUMIF('مشتريات سبتمبر التفصيلية'!$I$4:$I$92,A71,'مشتريات سبتمبر التفصيلية'!$F$4:$F$92)</f>
        <v/>
      </c>
      <c r="F71" s="5">
        <f>SUMIF('مشتريات سبتمبر التفصيلية'!$I$4:$I$92,A71,'مشتريات سبتمبر التفصيلية'!$H$4:$H$92)</f>
        <v/>
      </c>
      <c r="G71" s="5">
        <f>IF(C71="",E71,B71+E71)</f>
        <v/>
      </c>
      <c r="H71" s="5">
        <f>N(D71)+F71</f>
        <v/>
      </c>
      <c r="I71" s="7">
        <f>IF(G71&gt;0,ROUND(H71/G71,4),IF(C71="","",C71))</f>
        <v/>
      </c>
      <c r="J71" s="8" t="n"/>
      <c r="K71" s="5" t="n">
        <v>0</v>
      </c>
      <c r="L71" s="5">
        <f>IF(J71="","",K71*J71)</f>
        <v/>
      </c>
      <c r="M71" s="9">
        <f>IF(OR(C71="",I71=""),"",I71/C71-1)</f>
        <v/>
      </c>
      <c r="N71" s="4" t="inlineStr">
        <is>
          <t>بلا سعر — لا سعر أغسطس ولا مشتريات سبتمبر</t>
        </is>
      </c>
    </row>
    <row r="72">
      <c r="A72" s="4" t="inlineStr">
        <is>
          <t>زيوت بسطرمه</t>
        </is>
      </c>
      <c r="B72" s="5" t="n">
        <v>6</v>
      </c>
      <c r="C72" s="6" t="n">
        <v>784.1353</v>
      </c>
      <c r="D72" s="5">
        <f>IF(C72="","",B72*C72)</f>
        <v/>
      </c>
      <c r="E72" s="5">
        <f>SUMIF('مشتريات سبتمبر التفصيلية'!$I$4:$I$92,A72,'مشتريات سبتمبر التفصيلية'!$F$4:$F$92)</f>
        <v/>
      </c>
      <c r="F72" s="5">
        <f>SUMIF('مشتريات سبتمبر التفصيلية'!$I$4:$I$92,A72,'مشتريات سبتمبر التفصيلية'!$H$4:$H$92)</f>
        <v/>
      </c>
      <c r="G72" s="5">
        <f>IF(C72="",E72,B72+E72)</f>
        <v/>
      </c>
      <c r="H72" s="5">
        <f>N(D72)+F72</f>
        <v/>
      </c>
      <c r="I72" s="7">
        <f>IF(G72&gt;0,ROUND(H72/G72,4),IF(C72="","",C72))</f>
        <v/>
      </c>
      <c r="J72" s="8" t="n">
        <v>798.4811999999999</v>
      </c>
      <c r="K72" s="5" t="n">
        <v>8</v>
      </c>
      <c r="L72" s="5">
        <f>IF(J72="","",K72*J72)</f>
        <v/>
      </c>
      <c r="M72" s="9">
        <f>IF(OR(C72="",I72=""),"",I72/C72-1)</f>
        <v/>
      </c>
      <c r="N72" s="4" t="inlineStr">
        <is>
          <t>قياسى: (أول المدة + المشتريات)</t>
        </is>
      </c>
    </row>
    <row r="73">
      <c r="A73" s="4" t="inlineStr">
        <is>
          <t>ثوم بودر</t>
        </is>
      </c>
      <c r="B73" s="5" t="n">
        <v>0</v>
      </c>
      <c r="C73" s="6" t="n">
        <v>100</v>
      </c>
      <c r="D73" s="5">
        <f>IF(C73="","",B73*C73)</f>
        <v/>
      </c>
      <c r="E73" s="5">
        <f>SUMIF('مشتريات سبتمبر التفصيلية'!$I$4:$I$92,A73,'مشتريات سبتمبر التفصيلية'!$F$4:$F$92)</f>
        <v/>
      </c>
      <c r="F73" s="5">
        <f>SUMIF('مشتريات سبتمبر التفصيلية'!$I$4:$I$92,A73,'مشتريات سبتمبر التفصيلية'!$H$4:$H$92)</f>
        <v/>
      </c>
      <c r="G73" s="5">
        <f>IF(C73="",E73,B73+E73)</f>
        <v/>
      </c>
      <c r="H73" s="5">
        <f>N(D73)+F73</f>
        <v/>
      </c>
      <c r="I73" s="7">
        <f>IF(G73&gt;0,ROUND(H73/G73,4),IF(C73="","",C73))</f>
        <v/>
      </c>
      <c r="J73" s="8" t="n">
        <v>100</v>
      </c>
      <c r="K73" s="5" t="n">
        <v>0</v>
      </c>
      <c r="L73" s="5">
        <f>IF(J73="","",K73*J73)</f>
        <v/>
      </c>
      <c r="M73" s="9">
        <f>IF(OR(C73="",I73=""),"",I73/C73-1)</f>
        <v/>
      </c>
      <c r="N73" s="4" t="inlineStr">
        <is>
          <t>لا مشتريات فى سبتمبر ⇒ سعر أغسطس ثابت</t>
        </is>
      </c>
    </row>
    <row r="74">
      <c r="A74" s="4" t="inlineStr">
        <is>
          <t>كامينا</t>
        </is>
      </c>
      <c r="B74" s="5" t="n">
        <v>4.33</v>
      </c>
      <c r="C74" s="6" t="n">
        <v>450</v>
      </c>
      <c r="D74" s="5">
        <f>IF(C74="","",B74*C74)</f>
        <v/>
      </c>
      <c r="E74" s="5">
        <f>SUMIF('مشتريات سبتمبر التفصيلية'!$I$4:$I$92,A74,'مشتريات سبتمبر التفصيلية'!$F$4:$F$92)</f>
        <v/>
      </c>
      <c r="F74" s="5">
        <f>SUMIF('مشتريات سبتمبر التفصيلية'!$I$4:$I$92,A74,'مشتريات سبتمبر التفصيلية'!$H$4:$H$92)</f>
        <v/>
      </c>
      <c r="G74" s="5">
        <f>IF(C74="",E74,B74+E74)</f>
        <v/>
      </c>
      <c r="H74" s="5">
        <f>N(D74)+F74</f>
        <v/>
      </c>
      <c r="I74" s="7">
        <f>IF(G74&gt;0,ROUND(H74/G74,4),IF(C74="","",C74))</f>
        <v/>
      </c>
      <c r="J74" s="8" t="n">
        <v>450</v>
      </c>
      <c r="K74" s="5" t="n">
        <v>2</v>
      </c>
      <c r="L74" s="5">
        <f>IF(J74="","",K74*J74)</f>
        <v/>
      </c>
      <c r="M74" s="9">
        <f>IF(OR(C74="",I74=""),"",I74/C74-1)</f>
        <v/>
      </c>
      <c r="N74" s="4" t="inlineStr">
        <is>
          <t>لا مشتريات فى سبتمبر ⇒ سعر أغسطس ثابت</t>
        </is>
      </c>
    </row>
    <row r="75">
      <c r="A75" s="4" t="inlineStr">
        <is>
          <t>MX</t>
        </is>
      </c>
      <c r="B75" s="5" t="n">
        <v>34.6</v>
      </c>
      <c r="C75" s="6" t="n">
        <v>867.7283</v>
      </c>
      <c r="D75" s="5">
        <f>IF(C75="","",B75*C75)</f>
        <v/>
      </c>
      <c r="E75" s="5">
        <f>SUMIF('مشتريات سبتمبر التفصيلية'!$I$4:$I$92,A75,'مشتريات سبتمبر التفصيلية'!$F$4:$F$92)</f>
        <v/>
      </c>
      <c r="F75" s="5">
        <f>SUMIF('مشتريات سبتمبر التفصيلية'!$I$4:$I$92,A75,'مشتريات سبتمبر التفصيلية'!$H$4:$H$92)</f>
        <v/>
      </c>
      <c r="G75" s="5">
        <f>IF(C75="",E75,B75+E75)</f>
        <v/>
      </c>
      <c r="H75" s="5">
        <f>N(D75)+F75</f>
        <v/>
      </c>
      <c r="I75" s="7">
        <f>IF(G75&gt;0,ROUND(H75/G75,4),IF(C75="","",C75))</f>
        <v/>
      </c>
      <c r="J75" s="8" t="n">
        <v>867.7283</v>
      </c>
      <c r="K75" s="5" t="n">
        <v>24.4</v>
      </c>
      <c r="L75" s="5">
        <f>IF(J75="","",K75*J75)</f>
        <v/>
      </c>
      <c r="M75" s="9">
        <f>IF(OR(C75="",I75=""),"",I75/C75-1)</f>
        <v/>
      </c>
      <c r="N75" s="4" t="inlineStr">
        <is>
          <t>لا مشتريات فى سبتمبر ⇒ سعر أغسطس ثابت</t>
        </is>
      </c>
    </row>
    <row r="76">
      <c r="A76" s="4" t="inlineStr">
        <is>
          <t>زيت سجق</t>
        </is>
      </c>
      <c r="B76" s="5" t="n">
        <v>2.399999999999999</v>
      </c>
      <c r="C76" s="6" t="n">
        <v>580</v>
      </c>
      <c r="D76" s="5">
        <f>IF(C76="","",B76*C76)</f>
        <v/>
      </c>
      <c r="E76" s="5">
        <f>SUMIF('مشتريات سبتمبر التفصيلية'!$I$4:$I$92,A76,'مشتريات سبتمبر التفصيلية'!$F$4:$F$92)</f>
        <v/>
      </c>
      <c r="F76" s="5">
        <f>SUMIF('مشتريات سبتمبر التفصيلية'!$I$4:$I$92,A76,'مشتريات سبتمبر التفصيلية'!$H$4:$H$92)</f>
        <v/>
      </c>
      <c r="G76" s="5">
        <f>IF(C76="",E76,B76+E76)</f>
        <v/>
      </c>
      <c r="H76" s="5">
        <f>N(D76)+F76</f>
        <v/>
      </c>
      <c r="I76" s="7">
        <f>IF(G76&gt;0,ROUND(H76/G76,4),IF(C76="","",C76))</f>
        <v/>
      </c>
      <c r="J76" s="8" t="n">
        <v>580</v>
      </c>
      <c r="K76" s="5" t="n">
        <v>7</v>
      </c>
      <c r="L76" s="5">
        <f>IF(J76="","",K76*J76)</f>
        <v/>
      </c>
      <c r="M76" s="9">
        <f>IF(OR(C76="",I76=""),"",I76/C76-1)</f>
        <v/>
      </c>
      <c r="N76" s="4" t="inlineStr">
        <is>
          <t>قياسى: (أول المدة + المشتريات)</t>
        </is>
      </c>
    </row>
    <row r="77">
      <c r="A77" s="4" t="inlineStr">
        <is>
          <t>كمينا ابيض</t>
        </is>
      </c>
      <c r="B77" s="5" t="n">
        <v>18</v>
      </c>
      <c r="C77" s="6" t="n">
        <v>260</v>
      </c>
      <c r="D77" s="5">
        <f>IF(C77="","",B77*C77)</f>
        <v/>
      </c>
      <c r="E77" s="5">
        <f>SUMIF('مشتريات سبتمبر التفصيلية'!$I$4:$I$92,A77,'مشتريات سبتمبر التفصيلية'!$F$4:$F$92)</f>
        <v/>
      </c>
      <c r="F77" s="5">
        <f>SUMIF('مشتريات سبتمبر التفصيلية'!$I$4:$I$92,A77,'مشتريات سبتمبر التفصيلية'!$H$4:$H$92)</f>
        <v/>
      </c>
      <c r="G77" s="5">
        <f>IF(C77="",E77,B77+E77)</f>
        <v/>
      </c>
      <c r="H77" s="5">
        <f>N(D77)+F77</f>
        <v/>
      </c>
      <c r="I77" s="7">
        <f>IF(G77&gt;0,ROUND(H77/G77,4),IF(C77="","",C77))</f>
        <v/>
      </c>
      <c r="J77" s="8" t="n">
        <v>260</v>
      </c>
      <c r="K77" s="5" t="n">
        <v>18</v>
      </c>
      <c r="L77" s="5">
        <f>IF(J77="","",K77*J77)</f>
        <v/>
      </c>
      <c r="M77" s="9">
        <f>IF(OR(C77="",I77=""),"",I77/C77-1)</f>
        <v/>
      </c>
      <c r="N77" s="4" t="inlineStr">
        <is>
          <t>لا مشتريات فى سبتمبر ⇒ سعر أغسطس ثابت</t>
        </is>
      </c>
    </row>
    <row r="78">
      <c r="A78" s="10" t="inlineStr">
        <is>
          <t>كروت كبده علب 350</t>
        </is>
      </c>
      <c r="B78" s="5" t="n">
        <v>14451</v>
      </c>
      <c r="C78" s="6" t="n"/>
      <c r="D78" s="5">
        <f>IF(C78="","",B78*C78)</f>
        <v/>
      </c>
      <c r="E78" s="5">
        <f>SUMIF('مشتريات سبتمبر التفصيلية'!$I$4:$I$92,A78,'مشتريات سبتمبر التفصيلية'!$F$4:$F$92)</f>
        <v/>
      </c>
      <c r="F78" s="5">
        <f>SUMIF('مشتريات سبتمبر التفصيلية'!$I$4:$I$92,A78,'مشتريات سبتمبر التفصيلية'!$H$4:$H$92)</f>
        <v/>
      </c>
      <c r="G78" s="5">
        <f>IF(C78="",E78,B78+E78)</f>
        <v/>
      </c>
      <c r="H78" s="5">
        <f>N(D78)+F78</f>
        <v/>
      </c>
      <c r="I78" s="7">
        <f>IF(G78&gt;0,ROUND(H78/G78,4),IF(C78="","",C78))</f>
        <v/>
      </c>
      <c r="J78" s="8" t="n"/>
      <c r="K78" s="5" t="n">
        <v>13373</v>
      </c>
      <c r="L78" s="5">
        <f>IF(J78="","",K78*J78)</f>
        <v/>
      </c>
      <c r="M78" s="9">
        <f>IF(OR(C78="",I78=""),"",I78/C78-1)</f>
        <v/>
      </c>
      <c r="N78" s="10" t="inlineStr">
        <is>
          <t>بلا سعر — لا سعر أغسطس ولا مشتريات سبتمبر</t>
        </is>
      </c>
    </row>
    <row r="79">
      <c r="A79" s="4" t="inlineStr">
        <is>
          <t>اكياس افيز</t>
        </is>
      </c>
      <c r="B79" s="5" t="n">
        <v>731</v>
      </c>
      <c r="C79" s="6" t="n">
        <v>6.1668</v>
      </c>
      <c r="D79" s="5">
        <f>IF(C79="","",B79*C79)</f>
        <v/>
      </c>
      <c r="E79" s="5">
        <f>SUMIF('مشتريات سبتمبر التفصيلية'!$I$4:$I$92,A79,'مشتريات سبتمبر التفصيلية'!$F$4:$F$92)</f>
        <v/>
      </c>
      <c r="F79" s="5">
        <f>SUMIF('مشتريات سبتمبر التفصيلية'!$I$4:$I$92,A79,'مشتريات سبتمبر التفصيلية'!$H$4:$H$92)</f>
        <v/>
      </c>
      <c r="G79" s="5">
        <f>IF(C79="",E79,B79+E79)</f>
        <v/>
      </c>
      <c r="H79" s="5">
        <f>N(D79)+F79</f>
        <v/>
      </c>
      <c r="I79" s="7">
        <f>IF(G79&gt;0,ROUND(H79/G79,4),IF(C79="","",C79))</f>
        <v/>
      </c>
      <c r="J79" s="8" t="n">
        <v>6.1668</v>
      </c>
      <c r="K79" s="5" t="n">
        <v>585</v>
      </c>
      <c r="L79" s="5">
        <f>IF(J79="","",K79*J79)</f>
        <v/>
      </c>
      <c r="M79" s="9">
        <f>IF(OR(C79="",I79=""),"",I79/C79-1)</f>
        <v/>
      </c>
      <c r="N79" s="4" t="inlineStr">
        <is>
          <t>لا مشتريات فى سبتمبر ⇒ سعر أغسطس ثابت</t>
        </is>
      </c>
    </row>
    <row r="80">
      <c r="A80" s="4" t="inlineStr">
        <is>
          <t>لازق</t>
        </is>
      </c>
      <c r="B80" s="5" t="n">
        <v>67</v>
      </c>
      <c r="C80" s="6" t="n">
        <v>30.2193</v>
      </c>
      <c r="D80" s="5">
        <f>IF(C80="","",B80*C80)</f>
        <v/>
      </c>
      <c r="E80" s="5">
        <f>SUMIF('مشتريات سبتمبر التفصيلية'!$I$4:$I$92,A80,'مشتريات سبتمبر التفصيلية'!$F$4:$F$92)</f>
        <v/>
      </c>
      <c r="F80" s="5">
        <f>SUMIF('مشتريات سبتمبر التفصيلية'!$I$4:$I$92,A80,'مشتريات سبتمبر التفصيلية'!$H$4:$H$92)</f>
        <v/>
      </c>
      <c r="G80" s="5">
        <f>IF(C80="",E80,B80+E80)</f>
        <v/>
      </c>
      <c r="H80" s="5">
        <f>N(D80)+F80</f>
        <v/>
      </c>
      <c r="I80" s="7">
        <f>IF(G80&gt;0,ROUND(H80/G80,4),IF(C80="","",C80))</f>
        <v/>
      </c>
      <c r="J80" s="8" t="n">
        <v>30.6993</v>
      </c>
      <c r="K80" s="5" t="n">
        <v>50</v>
      </c>
      <c r="L80" s="5">
        <f>IF(J80="","",K80*J80)</f>
        <v/>
      </c>
      <c r="M80" s="9">
        <f>IF(OR(C80="",I80=""),"",I80/C80-1)</f>
        <v/>
      </c>
      <c r="N80" s="4" t="inlineStr">
        <is>
          <t>قياسى: (أول المدة + المشتريات)</t>
        </is>
      </c>
    </row>
    <row r="81">
      <c r="A81" s="4" t="inlineStr">
        <is>
          <t>كراتين ابوهاشم</t>
        </is>
      </c>
      <c r="B81" s="5" t="n">
        <v>754</v>
      </c>
      <c r="C81" s="6" t="n">
        <v>22.3768</v>
      </c>
      <c r="D81" s="5">
        <f>IF(C81="","",B81*C81)</f>
        <v/>
      </c>
      <c r="E81" s="5">
        <f>SUMIF('مشتريات سبتمبر التفصيلية'!$I$4:$I$92,A81,'مشتريات سبتمبر التفصيلية'!$F$4:$F$92)</f>
        <v/>
      </c>
      <c r="F81" s="5">
        <f>SUMIF('مشتريات سبتمبر التفصيلية'!$I$4:$I$92,A81,'مشتريات سبتمبر التفصيلية'!$H$4:$H$92)</f>
        <v/>
      </c>
      <c r="G81" s="5">
        <f>IF(C81="",E81,B81+E81)</f>
        <v/>
      </c>
      <c r="H81" s="5">
        <f>N(D81)+F81</f>
        <v/>
      </c>
      <c r="I81" s="7">
        <f>IF(G81&gt;0,ROUND(H81/G81,4),IF(C81="","",C81))</f>
        <v/>
      </c>
      <c r="J81" s="8" t="n">
        <v>22.3768</v>
      </c>
      <c r="K81" s="5" t="n">
        <v>0</v>
      </c>
      <c r="L81" s="5">
        <f>IF(J81="","",K81*J81)</f>
        <v/>
      </c>
      <c r="M81" s="9">
        <f>IF(OR(C81="",I81=""),"",I81/C81-1)</f>
        <v/>
      </c>
      <c r="N81" s="4" t="inlineStr">
        <is>
          <t>لا مشتريات فى سبتمبر ⇒ سعر أغسطس ثابت</t>
        </is>
      </c>
    </row>
    <row r="82">
      <c r="A82" s="4" t="inlineStr">
        <is>
          <t>ورق برجر</t>
        </is>
      </c>
      <c r="B82" s="5" t="n">
        <v>489</v>
      </c>
      <c r="C82" s="6" t="n">
        <v>56.5</v>
      </c>
      <c r="D82" s="5">
        <f>IF(C82="","",B82*C82)</f>
        <v/>
      </c>
      <c r="E82" s="5">
        <f>SUMIF('مشتريات سبتمبر التفصيلية'!$I$4:$I$92,A82,'مشتريات سبتمبر التفصيلية'!$F$4:$F$92)</f>
        <v/>
      </c>
      <c r="F82" s="5">
        <f>SUMIF('مشتريات سبتمبر التفصيلية'!$I$4:$I$92,A82,'مشتريات سبتمبر التفصيلية'!$H$4:$H$92)</f>
        <v/>
      </c>
      <c r="G82" s="5">
        <f>IF(C82="",E82,B82+E82)</f>
        <v/>
      </c>
      <c r="H82" s="5">
        <f>N(D82)+F82</f>
        <v/>
      </c>
      <c r="I82" s="7">
        <f>IF(G82&gt;0,ROUND(H82/G82,4),IF(C82="","",C82))</f>
        <v/>
      </c>
      <c r="J82" s="8" t="n">
        <v>56.5</v>
      </c>
      <c r="K82" s="5" t="n">
        <v>290.45</v>
      </c>
      <c r="L82" s="5">
        <f>IF(J82="","",K82*J82)</f>
        <v/>
      </c>
      <c r="M82" s="9">
        <f>IF(OR(C82="",I82=""),"",I82/C82-1)</f>
        <v/>
      </c>
      <c r="N82" s="4" t="inlineStr">
        <is>
          <t>لا مشتريات فى سبتمبر ⇒ سعر أغسطس ثابت</t>
        </is>
      </c>
    </row>
    <row r="83">
      <c r="A83" s="4" t="inlineStr">
        <is>
          <t>مزيل لماكينة التغليف</t>
        </is>
      </c>
      <c r="B83" s="5" t="n">
        <v>1</v>
      </c>
      <c r="C83" s="6" t="n"/>
      <c r="D83" s="5">
        <f>IF(C83="","",B83*C83)</f>
        <v/>
      </c>
      <c r="E83" s="5">
        <f>SUMIF('مشتريات سبتمبر التفصيلية'!$I$4:$I$92,A83,'مشتريات سبتمبر التفصيلية'!$F$4:$F$92)</f>
        <v/>
      </c>
      <c r="F83" s="5">
        <f>SUMIF('مشتريات سبتمبر التفصيلية'!$I$4:$I$92,A83,'مشتريات سبتمبر التفصيلية'!$H$4:$H$92)</f>
        <v/>
      </c>
      <c r="G83" s="5">
        <f>IF(C83="",E83,B83+E83)</f>
        <v/>
      </c>
      <c r="H83" s="5">
        <f>N(D83)+F83</f>
        <v/>
      </c>
      <c r="I83" s="7">
        <f>IF(G83&gt;0,ROUND(H83/G83,4),IF(C83="","",C83))</f>
        <v/>
      </c>
      <c r="J83" s="8" t="n"/>
      <c r="K83" s="5" t="n">
        <v>0</v>
      </c>
      <c r="L83" s="5">
        <f>IF(J83="","",K83*J83)</f>
        <v/>
      </c>
      <c r="M83" s="9">
        <f>IF(OR(C83="",I83=""),"",I83/C83-1)</f>
        <v/>
      </c>
      <c r="N83" s="4" t="inlineStr">
        <is>
          <t>بلا سعر — لا سعر أغسطس ولا مشتريات سبتمبر</t>
        </is>
      </c>
    </row>
    <row r="84">
      <c r="A84" s="4" t="inlineStr">
        <is>
          <t>اكياس برجر الهنا ص</t>
        </is>
      </c>
      <c r="B84" s="5" t="n">
        <v>708.5</v>
      </c>
      <c r="C84" s="6" t="n">
        <v>183.0439</v>
      </c>
      <c r="D84" s="5">
        <f>IF(C84="","",B84*C84)</f>
        <v/>
      </c>
      <c r="E84" s="5">
        <f>SUMIF('مشتريات سبتمبر التفصيلية'!$I$4:$I$92,A84,'مشتريات سبتمبر التفصيلية'!$F$4:$F$92)</f>
        <v/>
      </c>
      <c r="F84" s="5">
        <f>SUMIF('مشتريات سبتمبر التفصيلية'!$I$4:$I$92,A84,'مشتريات سبتمبر التفصيلية'!$H$4:$H$92)</f>
        <v/>
      </c>
      <c r="G84" s="5">
        <f>IF(C84="",E84,B84+E84)</f>
        <v/>
      </c>
      <c r="H84" s="5">
        <f>N(D84)+F84</f>
        <v/>
      </c>
      <c r="I84" s="7">
        <f>IF(G84&gt;0,ROUND(H84/G84,4),IF(C84="","",C84))</f>
        <v/>
      </c>
      <c r="J84" s="8" t="n">
        <v>183.0439</v>
      </c>
      <c r="K84" s="5" t="n">
        <v>641.7</v>
      </c>
      <c r="L84" s="5">
        <f>IF(J84="","",K84*J84)</f>
        <v/>
      </c>
      <c r="M84" s="9">
        <f>IF(OR(C84="",I84=""),"",I84/C84-1)</f>
        <v/>
      </c>
      <c r="N84" s="4" t="inlineStr">
        <is>
          <t>لا مشتريات فى سبتمبر ⇒ سعر أغسطس ثابت</t>
        </is>
      </c>
    </row>
    <row r="85">
      <c r="A85" s="4" t="inlineStr">
        <is>
          <t>اكياس برجر الهنا ك</t>
        </is>
      </c>
      <c r="B85" s="5" t="n">
        <v>568.8</v>
      </c>
      <c r="C85" s="6" t="n">
        <v>203.0734</v>
      </c>
      <c r="D85" s="5">
        <f>IF(C85="","",B85*C85)</f>
        <v/>
      </c>
      <c r="E85" s="5">
        <f>SUMIF('مشتريات سبتمبر التفصيلية'!$I$4:$I$92,A85,'مشتريات سبتمبر التفصيلية'!$F$4:$F$92)</f>
        <v/>
      </c>
      <c r="F85" s="5">
        <f>SUMIF('مشتريات سبتمبر التفصيلية'!$I$4:$I$92,A85,'مشتريات سبتمبر التفصيلية'!$H$4:$H$92)</f>
        <v/>
      </c>
      <c r="G85" s="5">
        <f>IF(C85="",E85,B85+E85)</f>
        <v/>
      </c>
      <c r="H85" s="5">
        <f>N(D85)+F85</f>
        <v/>
      </c>
      <c r="I85" s="7">
        <f>IF(G85&gt;0,ROUND(H85/G85,4),IF(C85="","",C85))</f>
        <v/>
      </c>
      <c r="J85" s="8" t="n">
        <v>203.0734</v>
      </c>
      <c r="K85" s="5" t="n">
        <v>427.3</v>
      </c>
      <c r="L85" s="5">
        <f>IF(J85="","",K85*J85)</f>
        <v/>
      </c>
      <c r="M85" s="9">
        <f>IF(OR(C85="",I85=""),"",I85/C85-1)</f>
        <v/>
      </c>
      <c r="N85" s="4" t="inlineStr">
        <is>
          <t>لا مشتريات فى سبتمبر ⇒ سعر أغسطس ثابت</t>
        </is>
      </c>
    </row>
    <row r="86">
      <c r="A86" s="4" t="inlineStr">
        <is>
          <t>اكياس كفتة الهنا ص</t>
        </is>
      </c>
      <c r="B86" s="5" t="n">
        <v>359.5</v>
      </c>
      <c r="C86" s="6" t="n">
        <v>196.7193</v>
      </c>
      <c r="D86" s="5">
        <f>IF(C86="","",B86*C86)</f>
        <v/>
      </c>
      <c r="E86" s="5">
        <f>SUMIF('مشتريات سبتمبر التفصيلية'!$I$4:$I$92,A86,'مشتريات سبتمبر التفصيلية'!$F$4:$F$92)</f>
        <v/>
      </c>
      <c r="F86" s="5">
        <f>SUMIF('مشتريات سبتمبر التفصيلية'!$I$4:$I$92,A86,'مشتريات سبتمبر التفصيلية'!$H$4:$H$92)</f>
        <v/>
      </c>
      <c r="G86" s="5">
        <f>IF(C86="",E86,B86+E86)</f>
        <v/>
      </c>
      <c r="H86" s="5">
        <f>N(D86)+F86</f>
        <v/>
      </c>
      <c r="I86" s="7">
        <f>IF(G86&gt;0,ROUND(H86/G86,4),IF(C86="","",C86))</f>
        <v/>
      </c>
      <c r="J86" s="8" t="n">
        <v>196.7193</v>
      </c>
      <c r="K86" s="5" t="n">
        <v>267.25</v>
      </c>
      <c r="L86" s="5">
        <f>IF(J86="","",K86*J86)</f>
        <v/>
      </c>
      <c r="M86" s="9">
        <f>IF(OR(C86="",I86=""),"",I86/C86-1)</f>
        <v/>
      </c>
      <c r="N86" s="4" t="inlineStr">
        <is>
          <t>لا مشتريات فى سبتمبر ⇒ سعر أغسطس ثابت</t>
        </is>
      </c>
    </row>
    <row r="87">
      <c r="A87" s="4" t="inlineStr">
        <is>
          <t>اكياس كفته الهنا ك</t>
        </is>
      </c>
      <c r="B87" s="5" t="n">
        <v>470</v>
      </c>
      <c r="C87" s="6" t="n">
        <v>264.4955</v>
      </c>
      <c r="D87" s="5">
        <f>IF(C87="","",B87*C87)</f>
        <v/>
      </c>
      <c r="E87" s="5">
        <f>SUMIF('مشتريات سبتمبر التفصيلية'!$I$4:$I$92,A87,'مشتريات سبتمبر التفصيلية'!$F$4:$F$92)</f>
        <v/>
      </c>
      <c r="F87" s="5">
        <f>SUMIF('مشتريات سبتمبر التفصيلية'!$I$4:$I$92,A87,'مشتريات سبتمبر التفصيلية'!$H$4:$H$92)</f>
        <v/>
      </c>
      <c r="G87" s="5">
        <f>IF(C87="",E87,B87+E87)</f>
        <v/>
      </c>
      <c r="H87" s="5">
        <f>N(D87)+F87</f>
        <v/>
      </c>
      <c r="I87" s="7">
        <f>IF(G87&gt;0,ROUND(H87/G87,4),IF(C87="","",C87))</f>
        <v/>
      </c>
      <c r="J87" s="8" t="n">
        <v>264.4955</v>
      </c>
      <c r="K87" s="5" t="n">
        <v>351.7</v>
      </c>
      <c r="L87" s="5">
        <f>IF(J87="","",K87*J87)</f>
        <v/>
      </c>
      <c r="M87" s="9">
        <f>IF(OR(C87="",I87=""),"",I87/C87-1)</f>
        <v/>
      </c>
      <c r="N87" s="4" t="inlineStr">
        <is>
          <t>لا مشتريات فى سبتمبر ⇒ سعر أغسطس ثابت</t>
        </is>
      </c>
    </row>
    <row r="88">
      <c r="A88" s="4" t="inlineStr">
        <is>
          <t>اكياس مفروم3ك</t>
        </is>
      </c>
      <c r="B88" s="5" t="n">
        <v>45.6</v>
      </c>
      <c r="C88" s="6" t="n">
        <v>115</v>
      </c>
      <c r="D88" s="5">
        <f>IF(C88="","",B88*C88)</f>
        <v/>
      </c>
      <c r="E88" s="5">
        <f>SUMIF('مشتريات سبتمبر التفصيلية'!$I$4:$I$92,A88,'مشتريات سبتمبر التفصيلية'!$F$4:$F$92)</f>
        <v/>
      </c>
      <c r="F88" s="5">
        <f>SUMIF('مشتريات سبتمبر التفصيلية'!$I$4:$I$92,A88,'مشتريات سبتمبر التفصيلية'!$H$4:$H$92)</f>
        <v/>
      </c>
      <c r="G88" s="5">
        <f>IF(C88="",E88,B88+E88)</f>
        <v/>
      </c>
      <c r="H88" s="5">
        <f>N(D88)+F88</f>
        <v/>
      </c>
      <c r="I88" s="7">
        <f>IF(G88&gt;0,ROUND(H88/G88,4),IF(C88="","",C88))</f>
        <v/>
      </c>
      <c r="J88" s="8" t="n">
        <v>115</v>
      </c>
      <c r="K88" s="5" t="n">
        <v>44.1</v>
      </c>
      <c r="L88" s="5">
        <f>IF(J88="","",K88*J88)</f>
        <v/>
      </c>
      <c r="M88" s="9">
        <f>IF(OR(C88="",I88=""),"",I88/C88-1)</f>
        <v/>
      </c>
      <c r="N88" s="4" t="inlineStr">
        <is>
          <t>لا مشتريات فى سبتمبر ⇒ سعر أغسطس ثابت</t>
        </is>
      </c>
    </row>
    <row r="89">
      <c r="A89" s="4" t="inlineStr">
        <is>
          <t>اكياس سجق الهنا ك</t>
        </is>
      </c>
      <c r="B89" s="5" t="n">
        <v>494.7</v>
      </c>
      <c r="C89" s="6" t="n">
        <v>165</v>
      </c>
      <c r="D89" s="5">
        <f>IF(C89="","",B89*C89)</f>
        <v/>
      </c>
      <c r="E89" s="5">
        <f>SUMIF('مشتريات سبتمبر التفصيلية'!$I$4:$I$92,A89,'مشتريات سبتمبر التفصيلية'!$F$4:$F$92)</f>
        <v/>
      </c>
      <c r="F89" s="5">
        <f>SUMIF('مشتريات سبتمبر التفصيلية'!$I$4:$I$92,A89,'مشتريات سبتمبر التفصيلية'!$H$4:$H$92)</f>
        <v/>
      </c>
      <c r="G89" s="5">
        <f>IF(C89="",E89,B89+E89)</f>
        <v/>
      </c>
      <c r="H89" s="5">
        <f>N(D89)+F89</f>
        <v/>
      </c>
      <c r="I89" s="7">
        <f>IF(G89&gt;0,ROUND(H89/G89,4),IF(C89="","",C89))</f>
        <v/>
      </c>
      <c r="J89" s="8" t="n">
        <v>165</v>
      </c>
      <c r="K89" s="5" t="n">
        <v>477.3</v>
      </c>
      <c r="L89" s="5">
        <f>IF(J89="","",K89*J89)</f>
        <v/>
      </c>
      <c r="M89" s="9">
        <f>IF(OR(C89="",I89=""),"",I89/C89-1)</f>
        <v/>
      </c>
      <c r="N89" s="4" t="inlineStr">
        <is>
          <t>لا مشتريات فى سبتمبر ⇒ سعر أغسطس ثابت</t>
        </is>
      </c>
    </row>
    <row r="90">
      <c r="A90" s="4" t="inlineStr">
        <is>
          <t>اكياس سجق الهنا ص</t>
        </is>
      </c>
      <c r="B90" s="5" t="n">
        <v>293</v>
      </c>
      <c r="C90" s="6" t="n">
        <v>206.4046</v>
      </c>
      <c r="D90" s="5">
        <f>IF(C90="","",B90*C90)</f>
        <v/>
      </c>
      <c r="E90" s="5">
        <f>SUMIF('مشتريات سبتمبر التفصيلية'!$I$4:$I$92,A90,'مشتريات سبتمبر التفصيلية'!$F$4:$F$92)</f>
        <v/>
      </c>
      <c r="F90" s="5">
        <f>SUMIF('مشتريات سبتمبر التفصيلية'!$I$4:$I$92,A90,'مشتريات سبتمبر التفصيلية'!$H$4:$H$92)</f>
        <v/>
      </c>
      <c r="G90" s="5">
        <f>IF(C90="",E90,B90+E90)</f>
        <v/>
      </c>
      <c r="H90" s="5">
        <f>N(D90)+F90</f>
        <v/>
      </c>
      <c r="I90" s="7">
        <f>IF(G90&gt;0,ROUND(H90/G90,4),IF(C90="","",C90))</f>
        <v/>
      </c>
      <c r="J90" s="8" t="n">
        <v>206.4046</v>
      </c>
      <c r="K90" s="5" t="n">
        <v>210.6</v>
      </c>
      <c r="L90" s="5">
        <f>IF(J90="","",K90*J90)</f>
        <v/>
      </c>
      <c r="M90" s="9">
        <f>IF(OR(C90="",I90=""),"",I90/C90-1)</f>
        <v/>
      </c>
      <c r="N90" s="4" t="inlineStr">
        <is>
          <t>لا مشتريات فى سبتمبر ⇒ سعر أغسطس ثابت</t>
        </is>
      </c>
    </row>
    <row r="91">
      <c r="A91" s="4" t="inlineStr">
        <is>
          <t>اكياس سجق ابوهاشم ك</t>
        </is>
      </c>
      <c r="B91" s="5" t="n">
        <v>373</v>
      </c>
      <c r="C91" s="6" t="n">
        <v>165</v>
      </c>
      <c r="D91" s="5">
        <f>IF(C91="","",B91*C91)</f>
        <v/>
      </c>
      <c r="E91" s="5">
        <f>SUMIF('مشتريات سبتمبر التفصيلية'!$I$4:$I$92,A91,'مشتريات سبتمبر التفصيلية'!$F$4:$F$92)</f>
        <v/>
      </c>
      <c r="F91" s="5">
        <f>SUMIF('مشتريات سبتمبر التفصيلية'!$I$4:$I$92,A91,'مشتريات سبتمبر التفصيلية'!$H$4:$H$92)</f>
        <v/>
      </c>
      <c r="G91" s="5">
        <f>IF(C91="",E91,B91+E91)</f>
        <v/>
      </c>
      <c r="H91" s="5">
        <f>N(D91)+F91</f>
        <v/>
      </c>
      <c r="I91" s="7">
        <f>IF(G91&gt;0,ROUND(H91/G91,4),IF(C91="","",C91))</f>
        <v/>
      </c>
      <c r="J91" s="8" t="n">
        <v>165</v>
      </c>
      <c r="K91" s="5" t="n">
        <v>367.3</v>
      </c>
      <c r="L91" s="5">
        <f>IF(J91="","",K91*J91)</f>
        <v/>
      </c>
      <c r="M91" s="9">
        <f>IF(OR(C91="",I91=""),"",I91/C91-1)</f>
        <v/>
      </c>
      <c r="N91" s="4" t="inlineStr">
        <is>
          <t>لا مشتريات فى سبتمبر ⇒ سعر أغسطس ثابت</t>
        </is>
      </c>
    </row>
    <row r="92">
      <c r="A92" s="4" t="inlineStr">
        <is>
          <t>اكياس كفته ابوهاشم ك</t>
        </is>
      </c>
      <c r="B92" s="5" t="n">
        <v>7</v>
      </c>
      <c r="C92" s="6" t="n">
        <v>165</v>
      </c>
      <c r="D92" s="5">
        <f>IF(C92="","",B92*C92)</f>
        <v/>
      </c>
      <c r="E92" s="5">
        <f>SUMIF('مشتريات سبتمبر التفصيلية'!$I$4:$I$92,A92,'مشتريات سبتمبر التفصيلية'!$F$4:$F$92)</f>
        <v/>
      </c>
      <c r="F92" s="5">
        <f>SUMIF('مشتريات سبتمبر التفصيلية'!$I$4:$I$92,A92,'مشتريات سبتمبر التفصيلية'!$H$4:$H$92)</f>
        <v/>
      </c>
      <c r="G92" s="5">
        <f>IF(C92="",E92,B92+E92)</f>
        <v/>
      </c>
      <c r="H92" s="5">
        <f>N(D92)+F92</f>
        <v/>
      </c>
      <c r="I92" s="7">
        <f>IF(G92&gt;0,ROUND(H92/G92,4),IF(C92="","",C92))</f>
        <v/>
      </c>
      <c r="J92" s="8" t="n">
        <v>165</v>
      </c>
      <c r="K92" s="5" t="n">
        <v>4.4</v>
      </c>
      <c r="L92" s="5">
        <f>IF(J92="","",K92*J92)</f>
        <v/>
      </c>
      <c r="M92" s="9">
        <f>IF(OR(C92="",I92=""),"",I92/C92-1)</f>
        <v/>
      </c>
      <c r="N92" s="4" t="inlineStr">
        <is>
          <t>لا مشتريات فى سبتمبر ⇒ سعر أغسطس ثابت</t>
        </is>
      </c>
    </row>
    <row r="93">
      <c r="A93" s="4" t="inlineStr">
        <is>
          <t>اكياس برجر ابوهاشم ص</t>
        </is>
      </c>
      <c r="B93" s="5" t="n">
        <v>4.85</v>
      </c>
      <c r="C93" s="6" t="n">
        <v>165</v>
      </c>
      <c r="D93" s="5">
        <f>IF(C93="","",B93*C93)</f>
        <v/>
      </c>
      <c r="E93" s="5">
        <f>SUMIF('مشتريات سبتمبر التفصيلية'!$I$4:$I$92,A93,'مشتريات سبتمبر التفصيلية'!$F$4:$F$92)</f>
        <v/>
      </c>
      <c r="F93" s="5">
        <f>SUMIF('مشتريات سبتمبر التفصيلية'!$I$4:$I$92,A93,'مشتريات سبتمبر التفصيلية'!$H$4:$H$92)</f>
        <v/>
      </c>
      <c r="G93" s="5">
        <f>IF(C93="",E93,B93+E93)</f>
        <v/>
      </c>
      <c r="H93" s="5">
        <f>N(D93)+F93</f>
        <v/>
      </c>
      <c r="I93" s="7">
        <f>IF(G93&gt;0,ROUND(H93/G93,4),IF(C93="","",C93))</f>
        <v/>
      </c>
      <c r="J93" s="8" t="n">
        <v>165</v>
      </c>
      <c r="K93" s="5" t="n">
        <v>4.85</v>
      </c>
      <c r="L93" s="5">
        <f>IF(J93="","",K93*J93)</f>
        <v/>
      </c>
      <c r="M93" s="9">
        <f>IF(OR(C93="",I93=""),"",I93/C93-1)</f>
        <v/>
      </c>
      <c r="N93" s="4" t="inlineStr">
        <is>
          <t>لا مشتريات فى سبتمبر ⇒ سعر أغسطس ثابت</t>
        </is>
      </c>
    </row>
    <row r="94">
      <c r="A94" s="4" t="inlineStr">
        <is>
          <t>اكياس كفته ابوهاشم ص</t>
        </is>
      </c>
      <c r="B94" s="5" t="n">
        <v>88.8</v>
      </c>
      <c r="C94" s="6" t="n">
        <v>165</v>
      </c>
      <c r="D94" s="5">
        <f>IF(C94="","",B94*C94)</f>
        <v/>
      </c>
      <c r="E94" s="5">
        <f>SUMIF('مشتريات سبتمبر التفصيلية'!$I$4:$I$92,A94,'مشتريات سبتمبر التفصيلية'!$F$4:$F$92)</f>
        <v/>
      </c>
      <c r="F94" s="5">
        <f>SUMIF('مشتريات سبتمبر التفصيلية'!$I$4:$I$92,A94,'مشتريات سبتمبر التفصيلية'!$H$4:$H$92)</f>
        <v/>
      </c>
      <c r="G94" s="5">
        <f>IF(C94="",E94,B94+E94)</f>
        <v/>
      </c>
      <c r="H94" s="5">
        <f>N(D94)+F94</f>
        <v/>
      </c>
      <c r="I94" s="7">
        <f>IF(G94&gt;0,ROUND(H94/G94,4),IF(C94="","",C94))</f>
        <v/>
      </c>
      <c r="J94" s="8" t="n">
        <v>165</v>
      </c>
      <c r="K94" s="5" t="n">
        <v>87.3</v>
      </c>
      <c r="L94" s="5">
        <f>IF(J94="","",K94*J94)</f>
        <v/>
      </c>
      <c r="M94" s="9">
        <f>IF(OR(C94="",I94=""),"",I94/C94-1)</f>
        <v/>
      </c>
      <c r="N94" s="4" t="inlineStr">
        <is>
          <t>لا مشتريات فى سبتمبر ⇒ سعر أغسطس ثابت</t>
        </is>
      </c>
    </row>
    <row r="95">
      <c r="A95" s="4" t="inlineStr">
        <is>
          <t>اكياس مفروم صافي</t>
        </is>
      </c>
      <c r="B95" s="5" t="n">
        <v>46</v>
      </c>
      <c r="C95" s="6" t="n">
        <v>165</v>
      </c>
      <c r="D95" s="5">
        <f>IF(C95="","",B95*C95)</f>
        <v/>
      </c>
      <c r="E95" s="5">
        <f>SUMIF('مشتريات سبتمبر التفصيلية'!$I$4:$I$92,A95,'مشتريات سبتمبر التفصيلية'!$F$4:$F$92)</f>
        <v/>
      </c>
      <c r="F95" s="5">
        <f>SUMIF('مشتريات سبتمبر التفصيلية'!$I$4:$I$92,A95,'مشتريات سبتمبر التفصيلية'!$H$4:$H$92)</f>
        <v/>
      </c>
      <c r="G95" s="5">
        <f>IF(C95="",E95,B95+E95)</f>
        <v/>
      </c>
      <c r="H95" s="5">
        <f>N(D95)+F95</f>
        <v/>
      </c>
      <c r="I95" s="7">
        <f>IF(G95&gt;0,ROUND(H95/G95,4),IF(C95="","",C95))</f>
        <v/>
      </c>
      <c r="J95" s="8" t="n">
        <v>165</v>
      </c>
      <c r="K95" s="5" t="n">
        <v>46</v>
      </c>
      <c r="L95" s="5">
        <f>IF(J95="","",K95*J95)</f>
        <v/>
      </c>
      <c r="M95" s="9">
        <f>IF(OR(C95="",I95=""),"",I95/C95-1)</f>
        <v/>
      </c>
      <c r="N95" s="4" t="inlineStr">
        <is>
          <t>لا مشتريات فى سبتمبر ⇒ سعر أغسطس ثابت</t>
        </is>
      </c>
    </row>
    <row r="96">
      <c r="A96" s="4" t="inlineStr">
        <is>
          <t>اكياس مفروم صويا</t>
        </is>
      </c>
      <c r="B96" s="5" t="n">
        <v>0</v>
      </c>
      <c r="C96" s="6" t="n"/>
      <c r="D96" s="5">
        <f>IF(C96="","",B96*C96)</f>
        <v/>
      </c>
      <c r="E96" s="5">
        <f>SUMIF('مشتريات سبتمبر التفصيلية'!$I$4:$I$92,A96,'مشتريات سبتمبر التفصيلية'!$F$4:$F$92)</f>
        <v/>
      </c>
      <c r="F96" s="5">
        <f>SUMIF('مشتريات سبتمبر التفصيلية'!$I$4:$I$92,A96,'مشتريات سبتمبر التفصيلية'!$H$4:$H$92)</f>
        <v/>
      </c>
      <c r="G96" s="5">
        <f>IF(C96="",E96,B96+E96)</f>
        <v/>
      </c>
      <c r="H96" s="5">
        <f>N(D96)+F96</f>
        <v/>
      </c>
      <c r="I96" s="7">
        <f>IF(G96&gt;0,ROUND(H96/G96,4),IF(C96="","",C96))</f>
        <v/>
      </c>
      <c r="J96" s="8" t="n"/>
      <c r="K96" s="5" t="n">
        <v>0</v>
      </c>
      <c r="L96" s="5">
        <f>IF(J96="","",K96*J96)</f>
        <v/>
      </c>
      <c r="M96" s="9">
        <f>IF(OR(C96="",I96=""),"",I96/C96-1)</f>
        <v/>
      </c>
      <c r="N96" s="4" t="inlineStr">
        <is>
          <t>بلا سعر — لا سعر أغسطس ولا مشتريات سبتمبر</t>
        </is>
      </c>
    </row>
    <row r="97">
      <c r="A97" s="4" t="inlineStr">
        <is>
          <t>اكياس سجق ابوهاشم 3ك</t>
        </is>
      </c>
      <c r="B97" s="5" t="n">
        <v>77</v>
      </c>
      <c r="C97" s="6" t="n">
        <v>119.4035</v>
      </c>
      <c r="D97" s="5">
        <f>IF(C97="","",B97*C97)</f>
        <v/>
      </c>
      <c r="E97" s="5">
        <f>SUMIF('مشتريات سبتمبر التفصيلية'!$I$4:$I$92,A97,'مشتريات سبتمبر التفصيلية'!$F$4:$F$92)</f>
        <v/>
      </c>
      <c r="F97" s="5">
        <f>SUMIF('مشتريات سبتمبر التفصيلية'!$I$4:$I$92,A97,'مشتريات سبتمبر التفصيلية'!$H$4:$H$92)</f>
        <v/>
      </c>
      <c r="G97" s="5">
        <f>IF(C97="",E97,B97+E97)</f>
        <v/>
      </c>
      <c r="H97" s="5">
        <f>N(D97)+F97</f>
        <v/>
      </c>
      <c r="I97" s="7">
        <f>IF(G97&gt;0,ROUND(H97/G97,4),IF(C97="","",C97))</f>
        <v/>
      </c>
      <c r="J97" s="8" t="n">
        <v>119.4035</v>
      </c>
      <c r="K97" s="5" t="n">
        <v>41.2</v>
      </c>
      <c r="L97" s="5">
        <f>IF(J97="","",K97*J97)</f>
        <v/>
      </c>
      <c r="M97" s="9">
        <f>IF(OR(C97="",I97=""),"",I97/C97-1)</f>
        <v/>
      </c>
      <c r="N97" s="4" t="inlineStr">
        <is>
          <t>لا مشتريات فى سبتمبر ⇒ سعر أغسطس ثابت</t>
        </is>
      </c>
    </row>
    <row r="98">
      <c r="A98" s="4" t="inlineStr">
        <is>
          <t>اكياس سجق ابو هاشم ص</t>
        </is>
      </c>
      <c r="B98" s="5" t="n">
        <v>35.933</v>
      </c>
      <c r="C98" s="6" t="n">
        <v>165</v>
      </c>
      <c r="D98" s="5">
        <f>IF(C98="","",B98*C98)</f>
        <v/>
      </c>
      <c r="E98" s="5">
        <f>SUMIF('مشتريات سبتمبر التفصيلية'!$I$4:$I$92,A98,'مشتريات سبتمبر التفصيلية'!$F$4:$F$92)</f>
        <v/>
      </c>
      <c r="F98" s="5">
        <f>SUMIF('مشتريات سبتمبر التفصيلية'!$I$4:$I$92,A98,'مشتريات سبتمبر التفصيلية'!$H$4:$H$92)</f>
        <v/>
      </c>
      <c r="G98" s="5">
        <f>IF(C98="",E98,B98+E98)</f>
        <v/>
      </c>
      <c r="H98" s="5">
        <f>N(D98)+F98</f>
        <v/>
      </c>
      <c r="I98" s="7">
        <f>IF(G98&gt;0,ROUND(H98/G98,4),IF(C98="","",C98))</f>
        <v/>
      </c>
      <c r="J98" s="8" t="n">
        <v>165</v>
      </c>
      <c r="K98" s="5" t="n">
        <v>33.9</v>
      </c>
      <c r="L98" s="5">
        <f>IF(J98="","",K98*J98)</f>
        <v/>
      </c>
      <c r="M98" s="9">
        <f>IF(OR(C98="",I98=""),"",I98/C98-1)</f>
        <v/>
      </c>
      <c r="N98" s="4" t="inlineStr">
        <is>
          <t>لا مشتريات فى سبتمبر ⇒ سعر أغسطس ثابت</t>
        </is>
      </c>
    </row>
    <row r="99">
      <c r="A99" s="4" t="inlineStr">
        <is>
          <t>اكياس برجر ابوهاشم 1.5</t>
        </is>
      </c>
      <c r="B99" s="5" t="n">
        <v>5.29</v>
      </c>
      <c r="C99" s="6" t="n">
        <v>165</v>
      </c>
      <c r="D99" s="5">
        <f>IF(C99="","",B99*C99)</f>
        <v/>
      </c>
      <c r="E99" s="5">
        <f>SUMIF('مشتريات سبتمبر التفصيلية'!$I$4:$I$92,A99,'مشتريات سبتمبر التفصيلية'!$F$4:$F$92)</f>
        <v/>
      </c>
      <c r="F99" s="5">
        <f>SUMIF('مشتريات سبتمبر التفصيلية'!$I$4:$I$92,A99,'مشتريات سبتمبر التفصيلية'!$H$4:$H$92)</f>
        <v/>
      </c>
      <c r="G99" s="5">
        <f>IF(C99="",E99,B99+E99)</f>
        <v/>
      </c>
      <c r="H99" s="5">
        <f>N(D99)+F99</f>
        <v/>
      </c>
      <c r="I99" s="7">
        <f>IF(G99&gt;0,ROUND(H99/G99,4),IF(C99="","",C99))</f>
        <v/>
      </c>
      <c r="J99" s="8" t="n">
        <v>165</v>
      </c>
      <c r="K99" s="5" t="n">
        <v>8</v>
      </c>
      <c r="L99" s="5">
        <f>IF(J99="","",K99*J99)</f>
        <v/>
      </c>
      <c r="M99" s="9">
        <f>IF(OR(C99="",I99=""),"",I99/C99-1)</f>
        <v/>
      </c>
      <c r="N99" s="4" t="inlineStr">
        <is>
          <t>لا مشتريات فى سبتمبر ⇒ سعر أغسطس ثابت</t>
        </is>
      </c>
    </row>
    <row r="100">
      <c r="A100" s="4" t="inlineStr">
        <is>
          <t>علب سوداء</t>
        </is>
      </c>
      <c r="B100" s="5" t="n">
        <v>140.474</v>
      </c>
      <c r="C100" s="6" t="n">
        <v>4.1162</v>
      </c>
      <c r="D100" s="5">
        <f>IF(C100="","",B100*C100)</f>
        <v/>
      </c>
      <c r="E100" s="5">
        <f>SUMIF('مشتريات سبتمبر التفصيلية'!$I$4:$I$92,A100,'مشتريات سبتمبر التفصيلية'!$F$4:$F$92)</f>
        <v/>
      </c>
      <c r="F100" s="5">
        <f>SUMIF('مشتريات سبتمبر التفصيلية'!$I$4:$I$92,A100,'مشتريات سبتمبر التفصيلية'!$H$4:$H$92)</f>
        <v/>
      </c>
      <c r="G100" s="5">
        <f>IF(C100="",E100,B100+E100)</f>
        <v/>
      </c>
      <c r="H100" s="5">
        <f>N(D100)+F100</f>
        <v/>
      </c>
      <c r="I100" s="7">
        <f>IF(G100&gt;0,ROUND(H100/G100,4),IF(C100="","",C100))</f>
        <v/>
      </c>
      <c r="J100" s="8" t="n">
        <v>4.1023</v>
      </c>
      <c r="K100" s="5" t="n">
        <v>1250</v>
      </c>
      <c r="L100" s="5">
        <f>IF(J100="","",K100*J100)</f>
        <v/>
      </c>
      <c r="M100" s="9">
        <f>IF(OR(C100="",I100=""),"",I100/C100-1)</f>
        <v/>
      </c>
      <c r="N100" s="4" t="inlineStr">
        <is>
          <t>قياسى: (أول المدة + المشتريات)</t>
        </is>
      </c>
    </row>
    <row r="101">
      <c r="A101" s="4" t="inlineStr">
        <is>
          <t>اطباق 1/2</t>
        </is>
      </c>
      <c r="B101" s="5" t="n">
        <v>44700</v>
      </c>
      <c r="C101" s="6" t="n">
        <v>0.4488</v>
      </c>
      <c r="D101" s="5">
        <f>IF(C101="","",B101*C101)</f>
        <v/>
      </c>
      <c r="E101" s="5">
        <f>SUMIF('مشتريات سبتمبر التفصيلية'!$I$4:$I$92,A101,'مشتريات سبتمبر التفصيلية'!$F$4:$F$92)</f>
        <v/>
      </c>
      <c r="F101" s="5">
        <f>SUMIF('مشتريات سبتمبر التفصيلية'!$I$4:$I$92,A101,'مشتريات سبتمبر التفصيلية'!$H$4:$H$92)</f>
        <v/>
      </c>
      <c r="G101" s="5">
        <f>IF(C101="",E101,B101+E101)</f>
        <v/>
      </c>
      <c r="H101" s="5">
        <f>N(D101)+F101</f>
        <v/>
      </c>
      <c r="I101" s="7">
        <f>IF(G101&gt;0,ROUND(H101/G101,4),IF(C101="","",C101))</f>
        <v/>
      </c>
      <c r="J101" s="8" t="n">
        <v>0.4585</v>
      </c>
      <c r="K101" s="5" t="n">
        <v>25950</v>
      </c>
      <c r="L101" s="5">
        <f>IF(J101="","",K101*J101)</f>
        <v/>
      </c>
      <c r="M101" s="9">
        <f>IF(OR(C101="",I101=""),"",I101/C101-1)</f>
        <v/>
      </c>
      <c r="N101" s="4" t="inlineStr">
        <is>
          <t>قياسى: (أول المدة + المشتريات)</t>
        </is>
      </c>
    </row>
    <row r="102">
      <c r="A102" s="4" t="inlineStr">
        <is>
          <t>اطباق 3/4</t>
        </is>
      </c>
      <c r="B102" s="5" t="n">
        <v>21200</v>
      </c>
      <c r="C102" s="6" t="n">
        <v>0.5707</v>
      </c>
      <c r="D102" s="5">
        <f>IF(C102="","",B102*C102)</f>
        <v/>
      </c>
      <c r="E102" s="5">
        <f>SUMIF('مشتريات سبتمبر التفصيلية'!$I$4:$I$92,A102,'مشتريات سبتمبر التفصيلية'!$F$4:$F$92)</f>
        <v/>
      </c>
      <c r="F102" s="5">
        <f>SUMIF('مشتريات سبتمبر التفصيلية'!$I$4:$I$92,A102,'مشتريات سبتمبر التفصيلية'!$H$4:$H$92)</f>
        <v/>
      </c>
      <c r="G102" s="5">
        <f>IF(C102="",E102,B102+E102)</f>
        <v/>
      </c>
      <c r="H102" s="5">
        <f>N(D102)+F102</f>
        <v/>
      </c>
      <c r="I102" s="7">
        <f>IF(G102&gt;0,ROUND(H102/G102,4),IF(C102="","",C102))</f>
        <v/>
      </c>
      <c r="J102" s="8" t="n">
        <v>0.6291</v>
      </c>
      <c r="K102" s="5" t="n">
        <v>23900</v>
      </c>
      <c r="L102" s="5">
        <f>IF(J102="","",K102*J102)</f>
        <v/>
      </c>
      <c r="M102" s="9">
        <f>IF(OR(C102="",I102=""),"",I102/C102-1)</f>
        <v/>
      </c>
      <c r="N102" s="4" t="inlineStr">
        <is>
          <t>قياسى: (أول المدة + المشتريات)</t>
        </is>
      </c>
    </row>
    <row r="103">
      <c r="A103" s="4" t="inlineStr">
        <is>
          <t>فرش البرجر 11*11</t>
        </is>
      </c>
      <c r="B103" s="5" t="n">
        <v>260</v>
      </c>
      <c r="C103" s="6" t="n">
        <v>90.8231</v>
      </c>
      <c r="D103" s="5">
        <f>IF(C103="","",B103*C103)</f>
        <v/>
      </c>
      <c r="E103" s="5">
        <f>SUMIF('مشتريات سبتمبر التفصيلية'!$I$4:$I$92,A103,'مشتريات سبتمبر التفصيلية'!$F$4:$F$92)</f>
        <v/>
      </c>
      <c r="F103" s="5">
        <f>SUMIF('مشتريات سبتمبر التفصيلية'!$I$4:$I$92,A103,'مشتريات سبتمبر التفصيلية'!$H$4:$H$92)</f>
        <v/>
      </c>
      <c r="G103" s="5">
        <f>IF(C103="",E103,B103+E103)</f>
        <v/>
      </c>
      <c r="H103" s="5">
        <f>N(D103)+F103</f>
        <v/>
      </c>
      <c r="I103" s="7">
        <f>IF(G103&gt;0,ROUND(H103/G103,4),IF(C103="","",C103))</f>
        <v/>
      </c>
      <c r="J103" s="8" t="n">
        <v>90.8231</v>
      </c>
      <c r="K103" s="5" t="n">
        <v>0</v>
      </c>
      <c r="L103" s="5">
        <f>IF(J103="","",K103*J103)</f>
        <v/>
      </c>
      <c r="M103" s="9">
        <f>IF(OR(C103="",I103=""),"",I103/C103-1)</f>
        <v/>
      </c>
      <c r="N103" s="4" t="inlineStr">
        <is>
          <t>لا مشتريات فى سبتمبر ⇒ سعر أغسطس ثابت</t>
        </is>
      </c>
    </row>
    <row r="104">
      <c r="A104" s="4" t="inlineStr">
        <is>
          <t>اكياس سجق الهنا 5ك</t>
        </is>
      </c>
      <c r="B104" s="5" t="n">
        <v>68.59999999999999</v>
      </c>
      <c r="C104" s="6" t="n">
        <v>115</v>
      </c>
      <c r="D104" s="5">
        <f>IF(C104="","",B104*C104)</f>
        <v/>
      </c>
      <c r="E104" s="5">
        <f>SUMIF('مشتريات سبتمبر التفصيلية'!$I$4:$I$92,A104,'مشتريات سبتمبر التفصيلية'!$F$4:$F$92)</f>
        <v/>
      </c>
      <c r="F104" s="5">
        <f>SUMIF('مشتريات سبتمبر التفصيلية'!$I$4:$I$92,A104,'مشتريات سبتمبر التفصيلية'!$H$4:$H$92)</f>
        <v/>
      </c>
      <c r="G104" s="5">
        <f>IF(C104="",E104,B104+E104)</f>
        <v/>
      </c>
      <c r="H104" s="5">
        <f>N(D104)+F104</f>
        <v/>
      </c>
      <c r="I104" s="7">
        <f>IF(G104&gt;0,ROUND(H104/G104,4),IF(C104="","",C104))</f>
        <v/>
      </c>
      <c r="J104" s="8" t="n">
        <v>115</v>
      </c>
      <c r="K104" s="5" t="n">
        <v>62.3</v>
      </c>
      <c r="L104" s="5">
        <f>IF(J104="","",K104*J104)</f>
        <v/>
      </c>
      <c r="M104" s="9">
        <f>IF(OR(C104="",I104=""),"",I104/C104-1)</f>
        <v/>
      </c>
      <c r="N104" s="4" t="inlineStr">
        <is>
          <t>لا مشتريات فى سبتمبر ⇒ سعر أغسطس ثابت</t>
        </is>
      </c>
    </row>
    <row r="105">
      <c r="A105" s="4" t="inlineStr">
        <is>
          <t>فرش كفته</t>
        </is>
      </c>
      <c r="B105" s="5" t="n">
        <v>51.90000000000001</v>
      </c>
      <c r="C105" s="6" t="n">
        <v>87.9324</v>
      </c>
      <c r="D105" s="5">
        <f>IF(C105="","",B105*C105)</f>
        <v/>
      </c>
      <c r="E105" s="5">
        <f>SUMIF('مشتريات سبتمبر التفصيلية'!$I$4:$I$92,A105,'مشتريات سبتمبر التفصيلية'!$F$4:$F$92)</f>
        <v/>
      </c>
      <c r="F105" s="5">
        <f>SUMIF('مشتريات سبتمبر التفصيلية'!$I$4:$I$92,A105,'مشتريات سبتمبر التفصيلية'!$H$4:$H$92)</f>
        <v/>
      </c>
      <c r="G105" s="5">
        <f>IF(C105="",E105,B105+E105)</f>
        <v/>
      </c>
      <c r="H105" s="5">
        <f>N(D105)+F105</f>
        <v/>
      </c>
      <c r="I105" s="7">
        <f>IF(G105&gt;0,ROUND(H105/G105,4),IF(C105="","",C105))</f>
        <v/>
      </c>
      <c r="J105" s="8" t="n">
        <v>87.9324</v>
      </c>
      <c r="K105" s="5" t="n">
        <v>35.5</v>
      </c>
      <c r="L105" s="5">
        <f>IF(J105="","",K105*J105)</f>
        <v/>
      </c>
      <c r="M105" s="9">
        <f>IF(OR(C105="",I105=""),"",I105/C105-1)</f>
        <v/>
      </c>
      <c r="N105" s="4" t="inlineStr">
        <is>
          <t>لا مشتريات فى سبتمبر ⇒ سعر أغسطس ثابت</t>
        </is>
      </c>
    </row>
    <row r="106">
      <c r="A106" s="4" t="inlineStr">
        <is>
          <t>فرش برانيك</t>
        </is>
      </c>
      <c r="B106" s="5" t="n">
        <v>48.65000000000001</v>
      </c>
      <c r="C106" s="6" t="n">
        <v>102.1166</v>
      </c>
      <c r="D106" s="5">
        <f>IF(C106="","",B106*C106)</f>
        <v/>
      </c>
      <c r="E106" s="5">
        <f>SUMIF('مشتريات سبتمبر التفصيلية'!$I$4:$I$92,A106,'مشتريات سبتمبر التفصيلية'!$F$4:$F$92)</f>
        <v/>
      </c>
      <c r="F106" s="5">
        <f>SUMIF('مشتريات سبتمبر التفصيلية'!$I$4:$I$92,A106,'مشتريات سبتمبر التفصيلية'!$H$4:$H$92)</f>
        <v/>
      </c>
      <c r="G106" s="5">
        <f>IF(C106="",E106,B106+E106)</f>
        <v/>
      </c>
      <c r="H106" s="5">
        <f>N(D106)+F106</f>
        <v/>
      </c>
      <c r="I106" s="7">
        <f>IF(G106&gt;0,ROUND(H106/G106,4),IF(C106="","",C106))</f>
        <v/>
      </c>
      <c r="J106" s="8" t="n">
        <v>102.1166</v>
      </c>
      <c r="K106" s="5" t="n">
        <v>17.2</v>
      </c>
      <c r="L106" s="5">
        <f>IF(J106="","",K106*J106)</f>
        <v/>
      </c>
      <c r="M106" s="9">
        <f>IF(OR(C106="",I106=""),"",I106/C106-1)</f>
        <v/>
      </c>
      <c r="N106" s="4" t="inlineStr">
        <is>
          <t>لا مشتريات فى سبتمبر ⇒ سعر أغسطس ثابت</t>
        </is>
      </c>
    </row>
    <row r="107">
      <c r="A107" s="4" t="inlineStr">
        <is>
          <t>اكياس كبده 3ك</t>
        </is>
      </c>
      <c r="B107" s="5" t="n">
        <v>21.3</v>
      </c>
      <c r="C107" s="6" t="n">
        <v>115</v>
      </c>
      <c r="D107" s="5">
        <f>IF(C107="","",B107*C107)</f>
        <v/>
      </c>
      <c r="E107" s="5">
        <f>SUMIF('مشتريات سبتمبر التفصيلية'!$I$4:$I$92,A107,'مشتريات سبتمبر التفصيلية'!$F$4:$F$92)</f>
        <v/>
      </c>
      <c r="F107" s="5">
        <f>SUMIF('مشتريات سبتمبر التفصيلية'!$I$4:$I$92,A107,'مشتريات سبتمبر التفصيلية'!$H$4:$H$92)</f>
        <v/>
      </c>
      <c r="G107" s="5">
        <f>IF(C107="",E107,B107+E107)</f>
        <v/>
      </c>
      <c r="H107" s="5">
        <f>N(D107)+F107</f>
        <v/>
      </c>
      <c r="I107" s="7">
        <f>IF(G107&gt;0,ROUND(H107/G107,4),IF(C107="","",C107))</f>
        <v/>
      </c>
      <c r="J107" s="8" t="n">
        <v>115</v>
      </c>
      <c r="K107" s="5" t="n">
        <v>10.9</v>
      </c>
      <c r="L107" s="5">
        <f>IF(J107="","",K107*J107)</f>
        <v/>
      </c>
      <c r="M107" s="9">
        <f>IF(OR(C107="",I107=""),"",I107/C107-1)</f>
        <v/>
      </c>
      <c r="N107" s="4" t="inlineStr">
        <is>
          <t>لا مشتريات فى سبتمبر ⇒ سعر أغسطس ثابت</t>
        </is>
      </c>
    </row>
    <row r="108">
      <c r="A108" s="10" t="inlineStr">
        <is>
          <t>كروت استربس</t>
        </is>
      </c>
      <c r="B108" s="5" t="n">
        <v>2000</v>
      </c>
      <c r="C108" s="6" t="n"/>
      <c r="D108" s="5">
        <f>IF(C108="","",B108*C108)</f>
        <v/>
      </c>
      <c r="E108" s="5">
        <f>SUMIF('مشتريات سبتمبر التفصيلية'!$I$4:$I$92,A108,'مشتريات سبتمبر التفصيلية'!$F$4:$F$92)</f>
        <v/>
      </c>
      <c r="F108" s="5">
        <f>SUMIF('مشتريات سبتمبر التفصيلية'!$I$4:$I$92,A108,'مشتريات سبتمبر التفصيلية'!$H$4:$H$92)</f>
        <v/>
      </c>
      <c r="G108" s="5">
        <f>IF(C108="",E108,B108+E108)</f>
        <v/>
      </c>
      <c r="H108" s="5">
        <f>N(D108)+F108</f>
        <v/>
      </c>
      <c r="I108" s="7">
        <f>IF(G108&gt;0,ROUND(H108/G108,4),IF(C108="","",C108))</f>
        <v/>
      </c>
      <c r="J108" s="8" t="n"/>
      <c r="K108" s="5" t="n">
        <v>2000</v>
      </c>
      <c r="L108" s="5">
        <f>IF(J108="","",K108*J108)</f>
        <v/>
      </c>
      <c r="M108" s="9">
        <f>IF(OR(C108="",I108=""),"",I108/C108-1)</f>
        <v/>
      </c>
      <c r="N108" s="10" t="inlineStr">
        <is>
          <t>بلا سعر — لا سعر أغسطس ولا مشتريات سبتمبر</t>
        </is>
      </c>
    </row>
    <row r="109">
      <c r="A109" s="10" t="inlineStr">
        <is>
          <t>كروت مفروم صافي 350</t>
        </is>
      </c>
      <c r="B109" s="5" t="n">
        <v>9225</v>
      </c>
      <c r="C109" s="6" t="n"/>
      <c r="D109" s="5">
        <f>IF(C109="","",B109*C109)</f>
        <v/>
      </c>
      <c r="E109" s="5">
        <f>SUMIF('مشتريات سبتمبر التفصيلية'!$I$4:$I$92,A109,'مشتريات سبتمبر التفصيلية'!$F$4:$F$92)</f>
        <v/>
      </c>
      <c r="F109" s="5">
        <f>SUMIF('مشتريات سبتمبر التفصيلية'!$I$4:$I$92,A109,'مشتريات سبتمبر التفصيلية'!$H$4:$H$92)</f>
        <v/>
      </c>
      <c r="G109" s="5">
        <f>IF(C109="",E109,B109+E109)</f>
        <v/>
      </c>
      <c r="H109" s="5">
        <f>N(D109)+F109</f>
        <v/>
      </c>
      <c r="I109" s="7">
        <f>IF(G109&gt;0,ROUND(H109/G109,4),IF(C109="","",C109))</f>
        <v/>
      </c>
      <c r="J109" s="8" t="n"/>
      <c r="K109" s="5" t="n">
        <v>8818</v>
      </c>
      <c r="L109" s="5">
        <f>IF(J109="","",K109*J109)</f>
        <v/>
      </c>
      <c r="M109" s="9">
        <f>IF(OR(C109="",I109=""),"",I109/C109-1)</f>
        <v/>
      </c>
      <c r="N109" s="10" t="inlineStr">
        <is>
          <t>بلا سعر — لا سعر أغسطس ولا مشتريات سبتمبر</t>
        </is>
      </c>
    </row>
    <row r="110">
      <c r="A110" s="10" t="inlineStr">
        <is>
          <t>كروت مفروم صويا 350</t>
        </is>
      </c>
      <c r="B110" s="5" t="n">
        <v>8786</v>
      </c>
      <c r="C110" s="6" t="n"/>
      <c r="D110" s="5">
        <f>IF(C110="","",B110*C110)</f>
        <v/>
      </c>
      <c r="E110" s="5">
        <f>SUMIF('مشتريات سبتمبر التفصيلية'!$I$4:$I$92,A110,'مشتريات سبتمبر التفصيلية'!$F$4:$F$92)</f>
        <v/>
      </c>
      <c r="F110" s="5">
        <f>SUMIF('مشتريات سبتمبر التفصيلية'!$I$4:$I$92,A110,'مشتريات سبتمبر التفصيلية'!$H$4:$H$92)</f>
        <v/>
      </c>
      <c r="G110" s="5">
        <f>IF(C110="",E110,B110+E110)</f>
        <v/>
      </c>
      <c r="H110" s="5">
        <f>N(D110)+F110</f>
        <v/>
      </c>
      <c r="I110" s="7">
        <f>IF(G110&gt;0,ROUND(H110/G110,4),IF(C110="","",C110))</f>
        <v/>
      </c>
      <c r="J110" s="8" t="n"/>
      <c r="K110" s="5" t="n">
        <v>7887</v>
      </c>
      <c r="L110" s="5">
        <f>IF(J110="","",K110*J110)</f>
        <v/>
      </c>
      <c r="M110" s="9">
        <f>IF(OR(C110="",I110=""),"",I110/C110-1)</f>
        <v/>
      </c>
      <c r="N110" s="10" t="inlineStr">
        <is>
          <t>بلا سعر — لا سعر أغسطس ولا مشتريات سبتمبر</t>
        </is>
      </c>
    </row>
    <row r="111">
      <c r="A111" s="4" t="inlineStr">
        <is>
          <t>اكياس بانيه الهنا</t>
        </is>
      </c>
      <c r="B111" s="5" t="n">
        <v>583.5</v>
      </c>
      <c r="C111" s="6" t="n">
        <v>165</v>
      </c>
      <c r="D111" s="5">
        <f>IF(C111="","",B111*C111)</f>
        <v/>
      </c>
      <c r="E111" s="5">
        <f>SUMIF('مشتريات سبتمبر التفصيلية'!$I$4:$I$92,A111,'مشتريات سبتمبر التفصيلية'!$F$4:$F$92)</f>
        <v/>
      </c>
      <c r="F111" s="5">
        <f>SUMIF('مشتريات سبتمبر التفصيلية'!$I$4:$I$92,A111,'مشتريات سبتمبر التفصيلية'!$H$4:$H$92)</f>
        <v/>
      </c>
      <c r="G111" s="5">
        <f>IF(C111="",E111,B111+E111)</f>
        <v/>
      </c>
      <c r="H111" s="5">
        <f>N(D111)+F111</f>
        <v/>
      </c>
      <c r="I111" s="7">
        <f>IF(G111&gt;0,ROUND(H111/G111,4),IF(C111="","",C111))</f>
        <v/>
      </c>
      <c r="J111" s="8" t="n">
        <v>165</v>
      </c>
      <c r="K111" s="5" t="n">
        <v>551.2</v>
      </c>
      <c r="L111" s="5">
        <f>IF(J111="","",K111*J111)</f>
        <v/>
      </c>
      <c r="M111" s="9">
        <f>IF(OR(C111="",I111=""),"",I111/C111-1)</f>
        <v/>
      </c>
      <c r="N111" s="4" t="inlineStr">
        <is>
          <t>لا مشتريات فى سبتمبر ⇒ سعر أغسطس ثابت</t>
        </is>
      </c>
    </row>
    <row r="112">
      <c r="A112" s="4" t="inlineStr">
        <is>
          <t>اكياس s.p شفاف برجر</t>
        </is>
      </c>
      <c r="B112" s="5" t="n">
        <v>13.8</v>
      </c>
      <c r="C112" s="6" t="n">
        <v>165</v>
      </c>
      <c r="D112" s="5">
        <f>IF(C112="","",B112*C112)</f>
        <v/>
      </c>
      <c r="E112" s="5">
        <f>SUMIF('مشتريات سبتمبر التفصيلية'!$I$4:$I$92,A112,'مشتريات سبتمبر التفصيلية'!$F$4:$F$92)</f>
        <v/>
      </c>
      <c r="F112" s="5">
        <f>SUMIF('مشتريات سبتمبر التفصيلية'!$I$4:$I$92,A112,'مشتريات سبتمبر التفصيلية'!$H$4:$H$92)</f>
        <v/>
      </c>
      <c r="G112" s="5">
        <f>IF(C112="",E112,B112+E112)</f>
        <v/>
      </c>
      <c r="H112" s="5">
        <f>N(D112)+F112</f>
        <v/>
      </c>
      <c r="I112" s="7">
        <f>IF(G112&gt;0,ROUND(H112/G112,4),IF(C112="","",C112))</f>
        <v/>
      </c>
      <c r="J112" s="8" t="n">
        <v>165</v>
      </c>
      <c r="K112" s="5" t="n">
        <v>0</v>
      </c>
      <c r="L112" s="5">
        <f>IF(J112="","",K112*J112)</f>
        <v/>
      </c>
      <c r="M112" s="9">
        <f>IF(OR(C112="",I112=""),"",I112/C112-1)</f>
        <v/>
      </c>
      <c r="N112" s="4" t="inlineStr">
        <is>
          <t>لا مشتريات فى سبتمبر ⇒ سعر أغسطس ثابت</t>
        </is>
      </c>
    </row>
    <row r="113">
      <c r="A113" s="10" t="inlineStr">
        <is>
          <t>كروت برجر أبو هاشم</t>
        </is>
      </c>
      <c r="B113" s="5" t="n">
        <v>2000</v>
      </c>
      <c r="C113" s="6" t="n"/>
      <c r="D113" s="5">
        <f>IF(C113="","",B113*C113)</f>
        <v/>
      </c>
      <c r="E113" s="5">
        <f>SUMIF('مشتريات سبتمبر التفصيلية'!$I$4:$I$92,A113,'مشتريات سبتمبر التفصيلية'!$F$4:$F$92)</f>
        <v/>
      </c>
      <c r="F113" s="5">
        <f>SUMIF('مشتريات سبتمبر التفصيلية'!$I$4:$I$92,A113,'مشتريات سبتمبر التفصيلية'!$H$4:$H$92)</f>
        <v/>
      </c>
      <c r="G113" s="5">
        <f>IF(C113="",E113,B113+E113)</f>
        <v/>
      </c>
      <c r="H113" s="5">
        <f>N(D113)+F113</f>
        <v/>
      </c>
      <c r="I113" s="7">
        <f>IF(G113&gt;0,ROUND(H113/G113,4),IF(C113="","",C113))</f>
        <v/>
      </c>
      <c r="J113" s="8" t="n"/>
      <c r="K113" s="5" t="n">
        <v>2000</v>
      </c>
      <c r="L113" s="5">
        <f>IF(J113="","",K113*J113)</f>
        <v/>
      </c>
      <c r="M113" s="9">
        <f>IF(OR(C113="",I113=""),"",I113/C113-1)</f>
        <v/>
      </c>
      <c r="N113" s="10" t="inlineStr">
        <is>
          <t>بلا سعر — لا سعر أغسطس ولا مشتريات سبتمبر</t>
        </is>
      </c>
    </row>
    <row r="114">
      <c r="A114" s="4" t="inlineStr">
        <is>
          <t>اكياس برجر ابوهاشم 1ك</t>
        </is>
      </c>
      <c r="B114" s="5" t="n">
        <v>42.13</v>
      </c>
      <c r="C114" s="6" t="n">
        <v>165</v>
      </c>
      <c r="D114" s="5">
        <f>IF(C114="","",B114*C114)</f>
        <v/>
      </c>
      <c r="E114" s="5">
        <f>SUMIF('مشتريات سبتمبر التفصيلية'!$I$4:$I$92,A114,'مشتريات سبتمبر التفصيلية'!$F$4:$F$92)</f>
        <v/>
      </c>
      <c r="F114" s="5">
        <f>SUMIF('مشتريات سبتمبر التفصيلية'!$I$4:$I$92,A114,'مشتريات سبتمبر التفصيلية'!$H$4:$H$92)</f>
        <v/>
      </c>
      <c r="G114" s="5">
        <f>IF(C114="",E114,B114+E114)</f>
        <v/>
      </c>
      <c r="H114" s="5">
        <f>N(D114)+F114</f>
        <v/>
      </c>
      <c r="I114" s="7">
        <f>IF(G114&gt;0,ROUND(H114/G114,4),IF(C114="","",C114))</f>
        <v/>
      </c>
      <c r="J114" s="8" t="n">
        <v>165</v>
      </c>
      <c r="K114" s="5" t="n">
        <v>36.8</v>
      </c>
      <c r="L114" s="5">
        <f>IF(J114="","",K114*J114)</f>
        <v/>
      </c>
      <c r="M114" s="9">
        <f>IF(OR(C114="",I114=""),"",I114/C114-1)</f>
        <v/>
      </c>
      <c r="N114" s="4" t="inlineStr">
        <is>
          <t>لا مشتريات فى سبتمبر ⇒ سعر أغسطس ثابت</t>
        </is>
      </c>
    </row>
    <row r="115">
      <c r="A115" s="4" t="inlineStr">
        <is>
          <t>اكياس سجق s.p صغير</t>
        </is>
      </c>
      <c r="B115" s="5" t="n">
        <v>188.3</v>
      </c>
      <c r="C115" s="6" t="n">
        <v>165</v>
      </c>
      <c r="D115" s="5">
        <f>IF(C115="","",B115*C115)</f>
        <v/>
      </c>
      <c r="E115" s="5">
        <f>SUMIF('مشتريات سبتمبر التفصيلية'!$I$4:$I$92,A115,'مشتريات سبتمبر التفصيلية'!$F$4:$F$92)</f>
        <v/>
      </c>
      <c r="F115" s="5">
        <f>SUMIF('مشتريات سبتمبر التفصيلية'!$I$4:$I$92,A115,'مشتريات سبتمبر التفصيلية'!$H$4:$H$92)</f>
        <v/>
      </c>
      <c r="G115" s="5">
        <f>IF(C115="",E115,B115+E115)</f>
        <v/>
      </c>
      <c r="H115" s="5">
        <f>N(D115)+F115</f>
        <v/>
      </c>
      <c r="I115" s="7">
        <f>IF(G115&gt;0,ROUND(H115/G115,4),IF(C115="","",C115))</f>
        <v/>
      </c>
      <c r="J115" s="8" t="n">
        <v>165</v>
      </c>
      <c r="K115" s="5" t="n">
        <v>178.5</v>
      </c>
      <c r="L115" s="5">
        <f>IF(J115="","",K115*J115)</f>
        <v/>
      </c>
      <c r="M115" s="9">
        <f>IF(OR(C115="",I115=""),"",I115/C115-1)</f>
        <v/>
      </c>
      <c r="N115" s="4" t="inlineStr">
        <is>
          <t>لا مشتريات فى سبتمبر ⇒ سعر أغسطس ثابت</t>
        </is>
      </c>
    </row>
    <row r="116">
      <c r="A116" s="4" t="inlineStr">
        <is>
          <t>اكياس سجق s.p كبير</t>
        </is>
      </c>
      <c r="B116" s="5" t="n">
        <v>360</v>
      </c>
      <c r="C116" s="6" t="n">
        <v>165</v>
      </c>
      <c r="D116" s="5">
        <f>IF(C116="","",B116*C116)</f>
        <v/>
      </c>
      <c r="E116" s="5">
        <f>SUMIF('مشتريات سبتمبر التفصيلية'!$I$4:$I$92,A116,'مشتريات سبتمبر التفصيلية'!$F$4:$F$92)</f>
        <v/>
      </c>
      <c r="F116" s="5">
        <f>SUMIF('مشتريات سبتمبر التفصيلية'!$I$4:$I$92,A116,'مشتريات سبتمبر التفصيلية'!$H$4:$H$92)</f>
        <v/>
      </c>
      <c r="G116" s="5">
        <f>IF(C116="",E116,B116+E116)</f>
        <v/>
      </c>
      <c r="H116" s="5">
        <f>N(D116)+F116</f>
        <v/>
      </c>
      <c r="I116" s="7">
        <f>IF(G116&gt;0,ROUND(H116/G116,4),IF(C116="","",C116))</f>
        <v/>
      </c>
      <c r="J116" s="8" t="n">
        <v>165</v>
      </c>
      <c r="K116" s="5" t="n">
        <v>327</v>
      </c>
      <c r="L116" s="5">
        <f>IF(J116="","",K116*J116)</f>
        <v/>
      </c>
      <c r="M116" s="9">
        <f>IF(OR(C116="",I116=""),"",I116/C116-1)</f>
        <v/>
      </c>
      <c r="N116" s="4" t="inlineStr">
        <is>
          <t>لا مشتريات فى سبتمبر ⇒ سعر أغسطس ثابت</t>
        </is>
      </c>
    </row>
    <row r="117">
      <c r="A117" s="4" t="inlineStr">
        <is>
          <t>اكياس برجر s.p صغير</t>
        </is>
      </c>
      <c r="B117" s="5" t="n">
        <v>259.55</v>
      </c>
      <c r="C117" s="6" t="n">
        <v>231.916</v>
      </c>
      <c r="D117" s="5">
        <f>IF(C117="","",B117*C117)</f>
        <v/>
      </c>
      <c r="E117" s="5">
        <f>SUMIF('مشتريات سبتمبر التفصيلية'!$I$4:$I$92,A117,'مشتريات سبتمبر التفصيلية'!$F$4:$F$92)</f>
        <v/>
      </c>
      <c r="F117" s="5">
        <f>SUMIF('مشتريات سبتمبر التفصيلية'!$I$4:$I$92,A117,'مشتريات سبتمبر التفصيلية'!$H$4:$H$92)</f>
        <v/>
      </c>
      <c r="G117" s="5">
        <f>IF(C117="",E117,B117+E117)</f>
        <v/>
      </c>
      <c r="H117" s="5">
        <f>N(D117)+F117</f>
        <v/>
      </c>
      <c r="I117" s="7">
        <f>IF(G117&gt;0,ROUND(H117/G117,4),IF(C117="","",C117))</f>
        <v/>
      </c>
      <c r="J117" s="8" t="n">
        <v>231.916</v>
      </c>
      <c r="K117" s="5" t="n">
        <v>235.55</v>
      </c>
      <c r="L117" s="5">
        <f>IF(J117="","",K117*J117)</f>
        <v/>
      </c>
      <c r="M117" s="9">
        <f>IF(OR(C117="",I117=""),"",I117/C117-1)</f>
        <v/>
      </c>
      <c r="N117" s="4" t="inlineStr">
        <is>
          <t>لا مشتريات فى سبتمبر ⇒ سعر أغسطس ثابت</t>
        </is>
      </c>
    </row>
    <row r="118">
      <c r="A118" s="4" t="inlineStr">
        <is>
          <t>اكياس كفته s.p صغير</t>
        </is>
      </c>
      <c r="B118" s="5" t="n">
        <v>456.35</v>
      </c>
      <c r="C118" s="6" t="n">
        <v>245.3606</v>
      </c>
      <c r="D118" s="5">
        <f>IF(C118="","",B118*C118)</f>
        <v/>
      </c>
      <c r="E118" s="5">
        <f>SUMIF('مشتريات سبتمبر التفصيلية'!$I$4:$I$92,A118,'مشتريات سبتمبر التفصيلية'!$F$4:$F$92)</f>
        <v/>
      </c>
      <c r="F118" s="5">
        <f>SUMIF('مشتريات سبتمبر التفصيلية'!$I$4:$I$92,A118,'مشتريات سبتمبر التفصيلية'!$H$4:$H$92)</f>
        <v/>
      </c>
      <c r="G118" s="5">
        <f>IF(C118="",E118,B118+E118)</f>
        <v/>
      </c>
      <c r="H118" s="5">
        <f>N(D118)+F118</f>
        <v/>
      </c>
      <c r="I118" s="7">
        <f>IF(G118&gt;0,ROUND(H118/G118,4),IF(C118="","",C118))</f>
        <v/>
      </c>
      <c r="J118" s="8" t="n">
        <v>245.3606</v>
      </c>
      <c r="K118" s="5" t="n">
        <v>428.95</v>
      </c>
      <c r="L118" s="5">
        <f>IF(J118="","",K118*J118)</f>
        <v/>
      </c>
      <c r="M118" s="9">
        <f>IF(OR(C118="",I118=""),"",I118/C118-1)</f>
        <v/>
      </c>
      <c r="N118" s="4" t="inlineStr">
        <is>
          <t>لا مشتريات فى سبتمبر ⇒ سعر أغسطس ثابت</t>
        </is>
      </c>
    </row>
    <row r="119">
      <c r="A119" s="4" t="inlineStr">
        <is>
          <t>اكياس كفته s.p كبير</t>
        </is>
      </c>
      <c r="B119" s="5" t="n">
        <v>709</v>
      </c>
      <c r="C119" s="6" t="n">
        <v>165</v>
      </c>
      <c r="D119" s="5">
        <f>IF(C119="","",B119*C119)</f>
        <v/>
      </c>
      <c r="E119" s="5">
        <f>SUMIF('مشتريات سبتمبر التفصيلية'!$I$4:$I$92,A119,'مشتريات سبتمبر التفصيلية'!$F$4:$F$92)</f>
        <v/>
      </c>
      <c r="F119" s="5">
        <f>SUMIF('مشتريات سبتمبر التفصيلية'!$I$4:$I$92,A119,'مشتريات سبتمبر التفصيلية'!$H$4:$H$92)</f>
        <v/>
      </c>
      <c r="G119" s="5">
        <f>IF(C119="",E119,B119+E119)</f>
        <v/>
      </c>
      <c r="H119" s="5">
        <f>N(D119)+F119</f>
        <v/>
      </c>
      <c r="I119" s="7">
        <f>IF(G119&gt;0,ROUND(H119/G119,4),IF(C119="","",C119))</f>
        <v/>
      </c>
      <c r="J119" s="8" t="n">
        <v>165</v>
      </c>
      <c r="K119" s="5" t="n">
        <v>650.3</v>
      </c>
      <c r="L119" s="5">
        <f>IF(J119="","",K119*J119)</f>
        <v/>
      </c>
      <c r="M119" s="9">
        <f>IF(OR(C119="",I119=""),"",I119/C119-1)</f>
        <v/>
      </c>
      <c r="N119" s="4" t="inlineStr">
        <is>
          <t>لا مشتريات فى سبتمبر ⇒ سعر أغسطس ثابت</t>
        </is>
      </c>
    </row>
    <row r="120">
      <c r="A120" s="4" t="inlineStr">
        <is>
          <t>اكياس برجر s.p كبير</t>
        </is>
      </c>
      <c r="B120" s="5" t="n">
        <v>795.3</v>
      </c>
      <c r="C120" s="6" t="n">
        <v>203.8431</v>
      </c>
      <c r="D120" s="5">
        <f>IF(C120="","",B120*C120)</f>
        <v/>
      </c>
      <c r="E120" s="5">
        <f>SUMIF('مشتريات سبتمبر التفصيلية'!$I$4:$I$92,A120,'مشتريات سبتمبر التفصيلية'!$F$4:$F$92)</f>
        <v/>
      </c>
      <c r="F120" s="5">
        <f>SUMIF('مشتريات سبتمبر التفصيلية'!$I$4:$I$92,A120,'مشتريات سبتمبر التفصيلية'!$H$4:$H$92)</f>
        <v/>
      </c>
      <c r="G120" s="5">
        <f>IF(C120="",E120,B120+E120)</f>
        <v/>
      </c>
      <c r="H120" s="5">
        <f>N(D120)+F120</f>
        <v/>
      </c>
      <c r="I120" s="7">
        <f>IF(G120&gt;0,ROUND(H120/G120,4),IF(C120="","",C120))</f>
        <v/>
      </c>
      <c r="J120" s="8" t="n">
        <v>203.8431</v>
      </c>
      <c r="K120" s="5" t="n">
        <v>768.6</v>
      </c>
      <c r="L120" s="5">
        <f>IF(J120="","",K120*J120)</f>
        <v/>
      </c>
      <c r="M120" s="9">
        <f>IF(OR(C120="",I120=""),"",I120/C120-1)</f>
        <v/>
      </c>
      <c r="N120" s="4" t="inlineStr">
        <is>
          <t>لا مشتريات فى سبتمبر ⇒ سعر أغسطس ثابت</t>
        </is>
      </c>
    </row>
    <row r="121">
      <c r="A121" s="4" t="inlineStr">
        <is>
          <t>اكياس بانيه s.p</t>
        </is>
      </c>
      <c r="B121" s="5" t="n">
        <v>177</v>
      </c>
      <c r="C121" s="6" t="n">
        <v>165</v>
      </c>
      <c r="D121" s="5">
        <f>IF(C121="","",B121*C121)</f>
        <v/>
      </c>
      <c r="E121" s="5">
        <f>SUMIF('مشتريات سبتمبر التفصيلية'!$I$4:$I$92,A121,'مشتريات سبتمبر التفصيلية'!$F$4:$F$92)</f>
        <v/>
      </c>
      <c r="F121" s="5">
        <f>SUMIF('مشتريات سبتمبر التفصيلية'!$I$4:$I$92,A121,'مشتريات سبتمبر التفصيلية'!$H$4:$H$92)</f>
        <v/>
      </c>
      <c r="G121" s="5">
        <f>IF(C121="",E121,B121+E121)</f>
        <v/>
      </c>
      <c r="H121" s="5">
        <f>N(D121)+F121</f>
        <v/>
      </c>
      <c r="I121" s="7">
        <f>IF(G121&gt;0,ROUND(H121/G121,4),IF(C121="","",C121))</f>
        <v/>
      </c>
      <c r="J121" s="8" t="n">
        <v>165</v>
      </c>
      <c r="K121" s="5" t="n">
        <v>140.9</v>
      </c>
      <c r="L121" s="5">
        <f>IF(J121="","",K121*J121)</f>
        <v/>
      </c>
      <c r="M121" s="9">
        <f>IF(OR(C121="",I121=""),"",I121/C121-1)</f>
        <v/>
      </c>
      <c r="N121" s="4" t="inlineStr">
        <is>
          <t>لا مشتريات فى سبتمبر ⇒ سعر أغسطس ثابت</t>
        </is>
      </c>
    </row>
    <row r="122">
      <c r="A122" s="10" t="inlineStr">
        <is>
          <t>طبق مسطح 1/2 شفاف</t>
        </is>
      </c>
      <c r="B122" s="5" t="n">
        <v>827</v>
      </c>
      <c r="C122" s="6" t="n"/>
      <c r="D122" s="5">
        <f>IF(C122="","",B122*C122)</f>
        <v/>
      </c>
      <c r="E122" s="5">
        <f>SUMIF('مشتريات سبتمبر التفصيلية'!$I$4:$I$92,A122,'مشتريات سبتمبر التفصيلية'!$F$4:$F$92)</f>
        <v/>
      </c>
      <c r="F122" s="5">
        <f>SUMIF('مشتريات سبتمبر التفصيلية'!$I$4:$I$92,A122,'مشتريات سبتمبر التفصيلية'!$H$4:$H$92)</f>
        <v/>
      </c>
      <c r="G122" s="5">
        <f>IF(C122="",E122,B122+E122)</f>
        <v/>
      </c>
      <c r="H122" s="5">
        <f>N(D122)+F122</f>
        <v/>
      </c>
      <c r="I122" s="7">
        <f>IF(G122&gt;0,ROUND(H122/G122,4),IF(C122="","",C122))</f>
        <v/>
      </c>
      <c r="J122" s="8" t="n"/>
      <c r="K122" s="5" t="n">
        <v>385</v>
      </c>
      <c r="L122" s="5">
        <f>IF(J122="","",K122*J122)</f>
        <v/>
      </c>
      <c r="M122" s="9">
        <f>IF(OR(C122="",I122=""),"",I122/C122-1)</f>
        <v/>
      </c>
      <c r="N122" s="10" t="inlineStr">
        <is>
          <t>بلا سعر — لا سعر أغسطس ولا مشتريات سبتمبر</t>
        </is>
      </c>
    </row>
    <row r="123">
      <c r="A123" s="4" t="inlineStr">
        <is>
          <t>طبق مسطح 1 ك شفاف</t>
        </is>
      </c>
      <c r="B123" s="5" t="n">
        <v>0</v>
      </c>
      <c r="C123" s="6" t="n"/>
      <c r="D123" s="5">
        <f>IF(C123="","",B123*C123)</f>
        <v/>
      </c>
      <c r="E123" s="5">
        <f>SUMIF('مشتريات سبتمبر التفصيلية'!$I$4:$I$92,A123,'مشتريات سبتمبر التفصيلية'!$F$4:$F$92)</f>
        <v/>
      </c>
      <c r="F123" s="5">
        <f>SUMIF('مشتريات سبتمبر التفصيلية'!$I$4:$I$92,A123,'مشتريات سبتمبر التفصيلية'!$H$4:$H$92)</f>
        <v/>
      </c>
      <c r="G123" s="5">
        <f>IF(C123="",E123,B123+E123)</f>
        <v/>
      </c>
      <c r="H123" s="5">
        <f>N(D123)+F123</f>
        <v/>
      </c>
      <c r="I123" s="7">
        <f>IF(G123&gt;0,ROUND(H123/G123,4),IF(C123="","",C123))</f>
        <v/>
      </c>
      <c r="J123" s="8" t="n">
        <v>1.9067</v>
      </c>
      <c r="K123" s="5" t="n">
        <v>225</v>
      </c>
      <c r="L123" s="5">
        <f>IF(J123="","",K123*J123)</f>
        <v/>
      </c>
      <c r="M123" s="9">
        <f>IF(OR(C123="",I123=""),"",I123/C123-1)</f>
        <v/>
      </c>
      <c r="N123" s="4" t="inlineStr">
        <is>
          <t>المتوسط = متوسط سعر الشراء</t>
        </is>
      </c>
    </row>
    <row r="124">
      <c r="A124" s="4" t="inlineStr">
        <is>
          <t>أكياس استربس وبانيه شفاف ص</t>
        </is>
      </c>
      <c r="B124" s="5" t="n">
        <v>0</v>
      </c>
      <c r="C124" s="6" t="n"/>
      <c r="D124" s="5">
        <f>IF(C124="","",B124*C124)</f>
        <v/>
      </c>
      <c r="E124" s="5">
        <f>SUMIF('مشتريات سبتمبر التفصيلية'!$I$4:$I$92,A124,'مشتريات سبتمبر التفصيلية'!$F$4:$F$92)</f>
        <v/>
      </c>
      <c r="F124" s="5">
        <f>SUMIF('مشتريات سبتمبر التفصيلية'!$I$4:$I$92,A124,'مشتريات سبتمبر التفصيلية'!$H$4:$H$92)</f>
        <v/>
      </c>
      <c r="G124" s="5">
        <f>IF(C124="",E124,B124+E124)</f>
        <v/>
      </c>
      <c r="H124" s="5">
        <f>N(D124)+F124</f>
        <v/>
      </c>
      <c r="I124" s="7">
        <f>IF(G124&gt;0,ROUND(H124/G124,4),IF(C124="","",C124))</f>
        <v/>
      </c>
      <c r="J124" s="8" t="n"/>
      <c r="K124" s="5" t="n">
        <v>0</v>
      </c>
      <c r="L124" s="5">
        <f>IF(J124="","",K124*J124)</f>
        <v/>
      </c>
      <c r="M124" s="9">
        <f>IF(OR(C124="",I124=""),"",I124/C124-1)</f>
        <v/>
      </c>
      <c r="N124" s="4" t="inlineStr">
        <is>
          <t>بلا سعر — لا سعر أغسطس ولا مشتريات سبتمبر</t>
        </is>
      </c>
    </row>
    <row r="125">
      <c r="A125" s="4" t="inlineStr">
        <is>
          <t>كراتين s.p ابيض</t>
        </is>
      </c>
      <c r="B125" s="5" t="n">
        <v>0</v>
      </c>
      <c r="C125" s="6" t="n">
        <v>21.21</v>
      </c>
      <c r="D125" s="5">
        <f>IF(C125="","",B125*C125)</f>
        <v/>
      </c>
      <c r="E125" s="5">
        <f>SUMIF('مشتريات سبتمبر التفصيلية'!$I$4:$I$92,A125,'مشتريات سبتمبر التفصيلية'!$F$4:$F$92)</f>
        <v/>
      </c>
      <c r="F125" s="5">
        <f>SUMIF('مشتريات سبتمبر التفصيلية'!$I$4:$I$92,A125,'مشتريات سبتمبر التفصيلية'!$H$4:$H$92)</f>
        <v/>
      </c>
      <c r="G125" s="5">
        <f>IF(C125="",E125,B125+E125)</f>
        <v/>
      </c>
      <c r="H125" s="5">
        <f>N(D125)+F125</f>
        <v/>
      </c>
      <c r="I125" s="7">
        <f>IF(G125&gt;0,ROUND(H125/G125,4),IF(C125="","",C125))</f>
        <v/>
      </c>
      <c r="J125" s="8" t="n">
        <v>21.21</v>
      </c>
      <c r="K125" s="5" t="n">
        <v>0</v>
      </c>
      <c r="L125" s="5">
        <f>IF(J125="","",K125*J125)</f>
        <v/>
      </c>
      <c r="M125" s="9">
        <f>IF(OR(C125="",I125=""),"",I125/C125-1)</f>
        <v/>
      </c>
      <c r="N125" s="4" t="inlineStr">
        <is>
          <t>لا مشتريات فى سبتمبر ⇒ سعر أغسطس ثابت</t>
        </is>
      </c>
    </row>
    <row r="126">
      <c r="A126" s="4" t="inlineStr">
        <is>
          <t>علب بلاستيك شفاف</t>
        </is>
      </c>
      <c r="B126" s="5" t="n">
        <v>1073</v>
      </c>
      <c r="C126" s="6" t="n">
        <v>2.6373</v>
      </c>
      <c r="D126" s="5">
        <f>IF(C126="","",B126*C126)</f>
        <v/>
      </c>
      <c r="E126" s="5">
        <f>SUMIF('مشتريات سبتمبر التفصيلية'!$I$4:$I$92,A126,'مشتريات سبتمبر التفصيلية'!$F$4:$F$92)</f>
        <v/>
      </c>
      <c r="F126" s="5">
        <f>SUMIF('مشتريات سبتمبر التفصيلية'!$I$4:$I$92,A126,'مشتريات سبتمبر التفصيلية'!$H$4:$H$92)</f>
        <v/>
      </c>
      <c r="G126" s="5">
        <f>IF(C126="",E126,B126+E126)</f>
        <v/>
      </c>
      <c r="H126" s="5">
        <f>N(D126)+F126</f>
        <v/>
      </c>
      <c r="I126" s="7">
        <f>IF(G126&gt;0,ROUND(H126/G126,4),IF(C126="","",C126))</f>
        <v/>
      </c>
      <c r="J126" s="8" t="n">
        <v>2.5951</v>
      </c>
      <c r="K126" s="5" t="n">
        <v>1960</v>
      </c>
      <c r="L126" s="5">
        <f>IF(J126="","",K126*J126)</f>
        <v/>
      </c>
      <c r="M126" s="9">
        <f>IF(OR(C126="",I126=""),"",I126/C126-1)</f>
        <v/>
      </c>
      <c r="N126" s="4" t="inlineStr">
        <is>
          <t>قياسى: (أول المدة + المشتريات)</t>
        </is>
      </c>
    </row>
    <row r="127">
      <c r="A127" s="4" t="inlineStr">
        <is>
          <t>اكياس كفته 3ك ابوهاشم</t>
        </is>
      </c>
      <c r="B127" s="5" t="n">
        <v>0</v>
      </c>
      <c r="C127" s="6" t="n"/>
      <c r="D127" s="5">
        <f>IF(C127="","",B127*C127)</f>
        <v/>
      </c>
      <c r="E127" s="5">
        <f>SUMIF('مشتريات سبتمبر التفصيلية'!$I$4:$I$92,A127,'مشتريات سبتمبر التفصيلية'!$F$4:$F$92)</f>
        <v/>
      </c>
      <c r="F127" s="5">
        <f>SUMIF('مشتريات سبتمبر التفصيلية'!$I$4:$I$92,A127,'مشتريات سبتمبر التفصيلية'!$H$4:$H$92)</f>
        <v/>
      </c>
      <c r="G127" s="5">
        <f>IF(C127="",E127,B127+E127)</f>
        <v/>
      </c>
      <c r="H127" s="5">
        <f>N(D127)+F127</f>
        <v/>
      </c>
      <c r="I127" s="7">
        <f>IF(G127&gt;0,ROUND(H127/G127,4),IF(C127="","",C127))</f>
        <v/>
      </c>
      <c r="J127" s="8" t="n"/>
      <c r="K127" s="5" t="n">
        <v>0</v>
      </c>
      <c r="L127" s="5">
        <f>IF(J127="","",K127*J127)</f>
        <v/>
      </c>
      <c r="M127" s="9">
        <f>IF(OR(C127="",I127=""),"",I127/C127-1)</f>
        <v/>
      </c>
      <c r="N127" s="4" t="inlineStr">
        <is>
          <t>بلا سعر — لا سعر أغسطس ولا مشتريات سبتمبر</t>
        </is>
      </c>
    </row>
    <row r="128">
      <c r="A128" s="4" t="inlineStr">
        <is>
          <t>أكياس استربس الهنا ص</t>
        </is>
      </c>
      <c r="B128" s="5" t="n">
        <v>11.8</v>
      </c>
      <c r="C128" s="6" t="n">
        <v>119.5355</v>
      </c>
      <c r="D128" s="5">
        <f>IF(C128="","",B128*C128)</f>
        <v/>
      </c>
      <c r="E128" s="5">
        <f>SUMIF('مشتريات سبتمبر التفصيلية'!$I$4:$I$92,A128,'مشتريات سبتمبر التفصيلية'!$F$4:$F$92)</f>
        <v/>
      </c>
      <c r="F128" s="5">
        <f>SUMIF('مشتريات سبتمبر التفصيلية'!$I$4:$I$92,A128,'مشتريات سبتمبر التفصيلية'!$H$4:$H$92)</f>
        <v/>
      </c>
      <c r="G128" s="5">
        <f>IF(C128="",E128,B128+E128)</f>
        <v/>
      </c>
      <c r="H128" s="5">
        <f>N(D128)+F128</f>
        <v/>
      </c>
      <c r="I128" s="7">
        <f>IF(G128&gt;0,ROUND(H128/G128,4),IF(C128="","",C128))</f>
        <v/>
      </c>
      <c r="J128" s="8" t="n">
        <v>119.5355</v>
      </c>
      <c r="K128" s="5" t="n">
        <v>16.8</v>
      </c>
      <c r="L128" s="5">
        <f>IF(J128="","",K128*J128)</f>
        <v/>
      </c>
      <c r="M128" s="9">
        <f>IF(OR(C128="",I128=""),"",I128/C128-1)</f>
        <v/>
      </c>
      <c r="N128" s="4" t="inlineStr">
        <is>
          <t>لا مشتريات فى سبتمبر ⇒ سعر أغسطس ثابت</t>
        </is>
      </c>
    </row>
    <row r="129">
      <c r="A129" s="4" t="inlineStr">
        <is>
          <t>اكياس عجينه بقري 5كيلو اسبيشيال</t>
        </is>
      </c>
      <c r="B129" s="5" t="n">
        <v>112.878</v>
      </c>
      <c r="C129" s="6" t="n">
        <v>115</v>
      </c>
      <c r="D129" s="5">
        <f>IF(C129="","",B129*C129)</f>
        <v/>
      </c>
      <c r="E129" s="5">
        <f>SUMIF('مشتريات سبتمبر التفصيلية'!$I$4:$I$92,A129,'مشتريات سبتمبر التفصيلية'!$F$4:$F$92)</f>
        <v/>
      </c>
      <c r="F129" s="5">
        <f>SUMIF('مشتريات سبتمبر التفصيلية'!$I$4:$I$92,A129,'مشتريات سبتمبر التفصيلية'!$H$4:$H$92)</f>
        <v/>
      </c>
      <c r="G129" s="5">
        <f>IF(C129="",E129,B129+E129)</f>
        <v/>
      </c>
      <c r="H129" s="5">
        <f>N(D129)+F129</f>
        <v/>
      </c>
      <c r="I129" s="7">
        <f>IF(G129&gt;0,ROUND(H129/G129,4),IF(C129="","",C129))</f>
        <v/>
      </c>
      <c r="J129" s="8" t="n">
        <v>115</v>
      </c>
      <c r="K129" s="5" t="n">
        <v>109.65</v>
      </c>
      <c r="L129" s="5">
        <f>IF(J129="","",K129*J129)</f>
        <v/>
      </c>
      <c r="M129" s="9">
        <f>IF(OR(C129="",I129=""),"",I129/C129-1)</f>
        <v/>
      </c>
      <c r="N129" s="4" t="inlineStr">
        <is>
          <t>لا مشتريات فى سبتمبر ⇒ سعر أغسطس ثابت</t>
        </is>
      </c>
    </row>
    <row r="130">
      <c r="A130" s="4" t="inlineStr">
        <is>
          <t>اكياس سجق اسبيشيال كيلو5</t>
        </is>
      </c>
      <c r="B130" s="5" t="n">
        <v>128.63</v>
      </c>
      <c r="C130" s="6" t="n">
        <v>115</v>
      </c>
      <c r="D130" s="5">
        <f>IF(C130="","",B130*C130)</f>
        <v/>
      </c>
      <c r="E130" s="5">
        <f>SUMIF('مشتريات سبتمبر التفصيلية'!$I$4:$I$92,A130,'مشتريات سبتمبر التفصيلية'!$F$4:$F$92)</f>
        <v/>
      </c>
      <c r="F130" s="5">
        <f>SUMIF('مشتريات سبتمبر التفصيلية'!$I$4:$I$92,A130,'مشتريات سبتمبر التفصيلية'!$H$4:$H$92)</f>
        <v/>
      </c>
      <c r="G130" s="5">
        <f>IF(C130="",E130,B130+E130)</f>
        <v/>
      </c>
      <c r="H130" s="5">
        <f>N(D130)+F130</f>
        <v/>
      </c>
      <c r="I130" s="7">
        <f>IF(G130&gt;0,ROUND(H130/G130,4),IF(C130="","",C130))</f>
        <v/>
      </c>
      <c r="J130" s="8" t="n">
        <v>115</v>
      </c>
      <c r="K130" s="5" t="n">
        <v>133.7</v>
      </c>
      <c r="L130" s="5">
        <f>IF(J130="","",K130*J130)</f>
        <v/>
      </c>
      <c r="M130" s="9">
        <f>IF(OR(C130="",I130=""),"",I130/C130-1)</f>
        <v/>
      </c>
      <c r="N130" s="4" t="inlineStr">
        <is>
          <t>لا مشتريات فى سبتمبر ⇒ سعر أغسطس ثابت</t>
        </is>
      </c>
    </row>
    <row r="131">
      <c r="A131" s="4" t="inlineStr">
        <is>
          <t>اكياس عرض نايلون(60*90)</t>
        </is>
      </c>
      <c r="B131" s="5" t="n">
        <v>0</v>
      </c>
      <c r="C131" s="6" t="n"/>
      <c r="D131" s="5">
        <f>IF(C131="","",B131*C131)</f>
        <v/>
      </c>
      <c r="E131" s="5">
        <f>SUMIF('مشتريات سبتمبر التفصيلية'!$I$4:$I$92,A131,'مشتريات سبتمبر التفصيلية'!$F$4:$F$92)</f>
        <v/>
      </c>
      <c r="F131" s="5">
        <f>SUMIF('مشتريات سبتمبر التفصيلية'!$I$4:$I$92,A131,'مشتريات سبتمبر التفصيلية'!$H$4:$H$92)</f>
        <v/>
      </c>
      <c r="G131" s="5">
        <f>IF(C131="",E131,B131+E131)</f>
        <v/>
      </c>
      <c r="H131" s="5">
        <f>N(D131)+F131</f>
        <v/>
      </c>
      <c r="I131" s="7">
        <f>IF(G131&gt;0,ROUND(H131/G131,4),IF(C131="","",C131))</f>
        <v/>
      </c>
      <c r="J131" s="8" t="n"/>
      <c r="K131" s="5" t="n">
        <v>0</v>
      </c>
      <c r="L131" s="5">
        <f>IF(J131="","",K131*J131)</f>
        <v/>
      </c>
      <c r="M131" s="9">
        <f>IF(OR(C131="",I131=""),"",I131/C131-1)</f>
        <v/>
      </c>
      <c r="N131" s="4" t="inlineStr">
        <is>
          <t>بلا سعر — لا سعر أغسطس ولا مشتريات سبتمبر</t>
        </is>
      </c>
    </row>
    <row r="132">
      <c r="A132" s="4" t="inlineStr">
        <is>
          <t>كراتين الهنا ازرق</t>
        </is>
      </c>
      <c r="B132" s="5" t="n">
        <v>7458</v>
      </c>
      <c r="C132" s="6" t="n">
        <v>23.5827</v>
      </c>
      <c r="D132" s="5">
        <f>IF(C132="","",B132*C132)</f>
        <v/>
      </c>
      <c r="E132" s="5">
        <f>SUMIF('مشتريات سبتمبر التفصيلية'!$I$4:$I$92,A132,'مشتريات سبتمبر التفصيلية'!$F$4:$F$92)</f>
        <v/>
      </c>
      <c r="F132" s="5">
        <f>SUMIF('مشتريات سبتمبر التفصيلية'!$I$4:$I$92,A132,'مشتريات سبتمبر التفصيلية'!$H$4:$H$92)</f>
        <v/>
      </c>
      <c r="G132" s="5">
        <f>IF(C132="",E132,B132+E132)</f>
        <v/>
      </c>
      <c r="H132" s="5">
        <f>N(D132)+F132</f>
        <v/>
      </c>
      <c r="I132" s="7">
        <f>IF(G132&gt;0,ROUND(H132/G132,4),IF(C132="","",C132))</f>
        <v/>
      </c>
      <c r="J132" s="8" t="n">
        <v>23.5827</v>
      </c>
      <c r="K132" s="5" t="n">
        <v>4910</v>
      </c>
      <c r="L132" s="5">
        <f>IF(J132="","",K132*J132)</f>
        <v/>
      </c>
      <c r="M132" s="9">
        <f>IF(OR(C132="",I132=""),"",I132/C132-1)</f>
        <v/>
      </c>
      <c r="N132" s="4" t="inlineStr">
        <is>
          <t>لا مشتريات فى سبتمبر ⇒ سعر أغسطس ثابت</t>
        </is>
      </c>
    </row>
    <row r="133">
      <c r="A133" s="4" t="inlineStr">
        <is>
          <t>كراتين الهنا اخضر</t>
        </is>
      </c>
      <c r="B133" s="5" t="n">
        <v>2400</v>
      </c>
      <c r="C133" s="6" t="n">
        <v>21.6127</v>
      </c>
      <c r="D133" s="5">
        <f>IF(C133="","",B133*C133)</f>
        <v/>
      </c>
      <c r="E133" s="5">
        <f>SUMIF('مشتريات سبتمبر التفصيلية'!$I$4:$I$92,A133,'مشتريات سبتمبر التفصيلية'!$F$4:$F$92)</f>
        <v/>
      </c>
      <c r="F133" s="5">
        <f>SUMIF('مشتريات سبتمبر التفصيلية'!$I$4:$I$92,A133,'مشتريات سبتمبر التفصيلية'!$H$4:$H$92)</f>
        <v/>
      </c>
      <c r="G133" s="5">
        <f>IF(C133="",E133,B133+E133)</f>
        <v/>
      </c>
      <c r="H133" s="5">
        <f>N(D133)+F133</f>
        <v/>
      </c>
      <c r="I133" s="7">
        <f>IF(G133&gt;0,ROUND(H133/G133,4),IF(C133="","",C133))</f>
        <v/>
      </c>
      <c r="J133" s="8" t="n">
        <v>21.6127</v>
      </c>
      <c r="K133" s="5" t="n">
        <v>1585</v>
      </c>
      <c r="L133" s="5">
        <f>IF(J133="","",K133*J133)</f>
        <v/>
      </c>
      <c r="M133" s="9">
        <f>IF(OR(C133="",I133=""),"",I133/C133-1)</f>
        <v/>
      </c>
      <c r="N133" s="4" t="inlineStr">
        <is>
          <t>لا مشتريات فى سبتمبر ⇒ سعر أغسطس ثابت</t>
        </is>
      </c>
    </row>
    <row r="134">
      <c r="A134" s="4" t="inlineStr">
        <is>
          <t>كراتين اسبشيال احمر</t>
        </is>
      </c>
      <c r="B134" s="5" t="n">
        <v>2203</v>
      </c>
      <c r="C134" s="6" t="n">
        <v>23.2571</v>
      </c>
      <c r="D134" s="5">
        <f>IF(C134="","",B134*C134)</f>
        <v/>
      </c>
      <c r="E134" s="5">
        <f>SUMIF('مشتريات سبتمبر التفصيلية'!$I$4:$I$92,A134,'مشتريات سبتمبر التفصيلية'!$F$4:$F$92)</f>
        <v/>
      </c>
      <c r="F134" s="5">
        <f>SUMIF('مشتريات سبتمبر التفصيلية'!$I$4:$I$92,A134,'مشتريات سبتمبر التفصيلية'!$H$4:$H$92)</f>
        <v/>
      </c>
      <c r="G134" s="5">
        <f>IF(C134="",E134,B134+E134)</f>
        <v/>
      </c>
      <c r="H134" s="5">
        <f>N(D134)+F134</f>
        <v/>
      </c>
      <c r="I134" s="7">
        <f>IF(G134&gt;0,ROUND(H134/G134,4),IF(C134="","",C134))</f>
        <v/>
      </c>
      <c r="J134" s="8" t="n">
        <v>23.2571</v>
      </c>
      <c r="K134" s="5" t="n">
        <v>908</v>
      </c>
      <c r="L134" s="5">
        <f>IF(J134="","",K134*J134)</f>
        <v/>
      </c>
      <c r="M134" s="9">
        <f>IF(OR(C134="",I134=""),"",I134/C134-1)</f>
        <v/>
      </c>
      <c r="N134" s="4" t="inlineStr">
        <is>
          <t>لا مشتريات فى سبتمبر ⇒ سعر أغسطس ثابت</t>
        </is>
      </c>
    </row>
    <row r="135">
      <c r="A135" s="4" t="inlineStr">
        <is>
          <t>كراتين اسبشيال اسود</t>
        </is>
      </c>
      <c r="B135" s="5" t="n">
        <v>4185</v>
      </c>
      <c r="C135" s="6" t="n">
        <v>22</v>
      </c>
      <c r="D135" s="5">
        <f>IF(C135="","",B135*C135)</f>
        <v/>
      </c>
      <c r="E135" s="5">
        <f>SUMIF('مشتريات سبتمبر التفصيلية'!$I$4:$I$92,A135,'مشتريات سبتمبر التفصيلية'!$F$4:$F$92)</f>
        <v/>
      </c>
      <c r="F135" s="5">
        <f>SUMIF('مشتريات سبتمبر التفصيلية'!$I$4:$I$92,A135,'مشتريات سبتمبر التفصيلية'!$H$4:$H$92)</f>
        <v/>
      </c>
      <c r="G135" s="5">
        <f>IF(C135="",E135,B135+E135)</f>
        <v/>
      </c>
      <c r="H135" s="5">
        <f>N(D135)+F135</f>
        <v/>
      </c>
      <c r="I135" s="7">
        <f>IF(G135&gt;0,ROUND(H135/G135,4),IF(C135="","",C135))</f>
        <v/>
      </c>
      <c r="J135" s="8" t="n">
        <v>22</v>
      </c>
      <c r="K135" s="5" t="n">
        <v>3727</v>
      </c>
      <c r="L135" s="5">
        <f>IF(J135="","",K135*J135)</f>
        <v/>
      </c>
      <c r="M135" s="9">
        <f>IF(OR(C135="",I135=""),"",I135/C135-1)</f>
        <v/>
      </c>
      <c r="N135" s="4" t="inlineStr">
        <is>
          <t>لا مشتريات فى سبتمبر ⇒ سعر أغسطس ثابت</t>
        </is>
      </c>
    </row>
    <row r="136">
      <c r="A136" s="4" t="inlineStr">
        <is>
          <t>مذيب</t>
        </is>
      </c>
      <c r="B136" s="5" t="n">
        <v>2</v>
      </c>
      <c r="C136" s="6" t="n"/>
      <c r="D136" s="5">
        <f>IF(C136="","",B136*C136)</f>
        <v/>
      </c>
      <c r="E136" s="5">
        <f>SUMIF('مشتريات سبتمبر التفصيلية'!$I$4:$I$92,A136,'مشتريات سبتمبر التفصيلية'!$F$4:$F$92)</f>
        <v/>
      </c>
      <c r="F136" s="5">
        <f>SUMIF('مشتريات سبتمبر التفصيلية'!$I$4:$I$92,A136,'مشتريات سبتمبر التفصيلية'!$H$4:$H$92)</f>
        <v/>
      </c>
      <c r="G136" s="5">
        <f>IF(C136="",E136,B136+E136)</f>
        <v/>
      </c>
      <c r="H136" s="5">
        <f>N(D136)+F136</f>
        <v/>
      </c>
      <c r="I136" s="7">
        <f>IF(G136&gt;0,ROUND(H136/G136,4),IF(C136="","",C136))</f>
        <v/>
      </c>
      <c r="J136" s="8" t="n"/>
      <c r="K136" s="5" t="n">
        <v>0</v>
      </c>
      <c r="L136" s="5">
        <f>IF(J136="","",K136*J136)</f>
        <v/>
      </c>
      <c r="M136" s="9">
        <f>IF(OR(C136="",I136=""),"",I136/C136-1)</f>
        <v/>
      </c>
      <c r="N136" s="4" t="inlineStr">
        <is>
          <t>بلا سعر — لا سعر أغسطس ولا مشتريات سبتمبر</t>
        </is>
      </c>
    </row>
    <row r="137">
      <c r="A137" s="4" t="inlineStr">
        <is>
          <t>اكياس 40 * 60</t>
        </is>
      </c>
      <c r="B137" s="5" t="n">
        <v>0</v>
      </c>
      <c r="C137" s="6" t="n"/>
      <c r="D137" s="5">
        <f>IF(C137="","",B137*C137)</f>
        <v/>
      </c>
      <c r="E137" s="5">
        <f>SUMIF('مشتريات سبتمبر التفصيلية'!$I$4:$I$92,A137,'مشتريات سبتمبر التفصيلية'!$F$4:$F$92)</f>
        <v/>
      </c>
      <c r="F137" s="5">
        <f>SUMIF('مشتريات سبتمبر التفصيلية'!$I$4:$I$92,A137,'مشتريات سبتمبر التفصيلية'!$H$4:$H$92)</f>
        <v/>
      </c>
      <c r="G137" s="5">
        <f>IF(C137="",E137,B137+E137)</f>
        <v/>
      </c>
      <c r="H137" s="5">
        <f>N(D137)+F137</f>
        <v/>
      </c>
      <c r="I137" s="7">
        <f>IF(G137&gt;0,ROUND(H137/G137,4),IF(C137="","",C137))</f>
        <v/>
      </c>
      <c r="J137" s="8" t="n"/>
      <c r="K137" s="5" t="n">
        <v>0</v>
      </c>
      <c r="L137" s="5">
        <f>IF(J137="","",K137*J137)</f>
        <v/>
      </c>
      <c r="M137" s="9">
        <f>IF(OR(C137="",I137=""),"",I137/C137-1)</f>
        <v/>
      </c>
      <c r="N137" s="4" t="inlineStr">
        <is>
          <t>بلا سعر — لا سعر أغسطس ولا مشتريات سبتمبر</t>
        </is>
      </c>
    </row>
    <row r="138">
      <c r="A138" s="4" t="inlineStr">
        <is>
          <t>برانيك صويا</t>
        </is>
      </c>
      <c r="B138" s="5" t="n">
        <v>0</v>
      </c>
      <c r="C138" s="6" t="n"/>
      <c r="D138" s="5">
        <f>IF(C138="","",B138*C138)</f>
        <v/>
      </c>
      <c r="E138" s="5">
        <f>SUMIF('مشتريات سبتمبر التفصيلية'!$I$4:$I$92,A138,'مشتريات سبتمبر التفصيلية'!$F$4:$F$92)</f>
        <v/>
      </c>
      <c r="F138" s="5">
        <f>SUMIF('مشتريات سبتمبر التفصيلية'!$I$4:$I$92,A138,'مشتريات سبتمبر التفصيلية'!$H$4:$H$92)</f>
        <v/>
      </c>
      <c r="G138" s="5">
        <f>IF(C138="",E138,B138+E138)</f>
        <v/>
      </c>
      <c r="H138" s="5">
        <f>N(D138)+F138</f>
        <v/>
      </c>
      <c r="I138" s="7">
        <f>IF(G138&gt;0,ROUND(H138/G138,4),IF(C138="","",C138))</f>
        <v/>
      </c>
      <c r="J138" s="8" t="n"/>
      <c r="K138" s="5" t="n">
        <v>0</v>
      </c>
      <c r="L138" s="5">
        <f>IF(J138="","",K138*J138)</f>
        <v/>
      </c>
      <c r="M138" s="9">
        <f>IF(OR(C138="",I138=""),"",I138/C138-1)</f>
        <v/>
      </c>
      <c r="N138" s="4" t="inlineStr">
        <is>
          <t>بلا سعر — لا سعر أغسطس ولا مشتريات سبتمبر</t>
        </is>
      </c>
    </row>
    <row r="139">
      <c r="A139" s="4" t="inlineStr">
        <is>
          <t>برنيك برجر</t>
        </is>
      </c>
      <c r="B139" s="5" t="n">
        <v>442</v>
      </c>
      <c r="C139" s="6" t="n"/>
      <c r="D139" s="5">
        <f>IF(C139="","",B139*C139)</f>
        <v/>
      </c>
      <c r="E139" s="5">
        <f>SUMIF('مشتريات سبتمبر التفصيلية'!$I$4:$I$92,A139,'مشتريات سبتمبر التفصيلية'!$F$4:$F$92)</f>
        <v/>
      </c>
      <c r="F139" s="5">
        <f>SUMIF('مشتريات سبتمبر التفصيلية'!$I$4:$I$92,A139,'مشتريات سبتمبر التفصيلية'!$H$4:$H$92)</f>
        <v/>
      </c>
      <c r="G139" s="5">
        <f>IF(C139="",E139,B139+E139)</f>
        <v/>
      </c>
      <c r="H139" s="5">
        <f>N(D139)+F139</f>
        <v/>
      </c>
      <c r="I139" s="7">
        <f>IF(G139&gt;0,ROUND(H139/G139,4),IF(C139="","",C139))</f>
        <v/>
      </c>
      <c r="J139" s="8" t="n"/>
      <c r="K139" s="5" t="n">
        <v>0</v>
      </c>
      <c r="L139" s="5">
        <f>IF(J139="","",K139*J139)</f>
        <v/>
      </c>
      <c r="M139" s="9">
        <f>IF(OR(C139="",I139=""),"",I139/C139-1)</f>
        <v/>
      </c>
      <c r="N139" s="4" t="inlineStr">
        <is>
          <t>بلا سعر — لا سعر أغسطس ولا مشتريات سبتمبر</t>
        </is>
      </c>
    </row>
    <row r="140">
      <c r="A140" s="4" t="inlineStr">
        <is>
          <t>برنيك سجق</t>
        </is>
      </c>
      <c r="B140" s="5" t="n">
        <v>258</v>
      </c>
      <c r="C140" s="6" t="n"/>
      <c r="D140" s="5">
        <f>IF(C140="","",B140*C140)</f>
        <v/>
      </c>
      <c r="E140" s="5">
        <f>SUMIF('مشتريات سبتمبر التفصيلية'!$I$4:$I$92,A140,'مشتريات سبتمبر التفصيلية'!$F$4:$F$92)</f>
        <v/>
      </c>
      <c r="F140" s="5">
        <f>SUMIF('مشتريات سبتمبر التفصيلية'!$I$4:$I$92,A140,'مشتريات سبتمبر التفصيلية'!$H$4:$H$92)</f>
        <v/>
      </c>
      <c r="G140" s="5">
        <f>IF(C140="",E140,B140+E140)</f>
        <v/>
      </c>
      <c r="H140" s="5">
        <f>N(D140)+F140</f>
        <v/>
      </c>
      <c r="I140" s="7">
        <f>IF(G140&gt;0,ROUND(H140/G140,4),IF(C140="","",C140))</f>
        <v/>
      </c>
      <c r="J140" s="8" t="n"/>
      <c r="K140" s="5" t="n">
        <v>0</v>
      </c>
      <c r="L140" s="5">
        <f>IF(J140="","",K140*J140)</f>
        <v/>
      </c>
      <c r="M140" s="9">
        <f>IF(OR(C140="",I140=""),"",I140/C140-1)</f>
        <v/>
      </c>
      <c r="N140" s="4" t="inlineStr">
        <is>
          <t>بلا سعر — لا سعر أغسطس ولا مشتريات سبتمبر</t>
        </is>
      </c>
    </row>
    <row r="141">
      <c r="A141" s="4" t="inlineStr">
        <is>
          <t>أكياس بانيه استربس 5 الهنا</t>
        </is>
      </c>
      <c r="B141" s="5" t="n">
        <v>15</v>
      </c>
      <c r="C141" s="6" t="n">
        <v>165</v>
      </c>
      <c r="D141" s="5">
        <f>IF(C141="","",B141*C141)</f>
        <v/>
      </c>
      <c r="E141" s="5">
        <f>SUMIF('مشتريات سبتمبر التفصيلية'!$I$4:$I$92,A141,'مشتريات سبتمبر التفصيلية'!$F$4:$F$92)</f>
        <v/>
      </c>
      <c r="F141" s="5">
        <f>SUMIF('مشتريات سبتمبر التفصيلية'!$I$4:$I$92,A141,'مشتريات سبتمبر التفصيلية'!$H$4:$H$92)</f>
        <v/>
      </c>
      <c r="G141" s="5">
        <f>IF(C141="",E141,B141+E141)</f>
        <v/>
      </c>
      <c r="H141" s="5">
        <f>N(D141)+F141</f>
        <v/>
      </c>
      <c r="I141" s="7">
        <f>IF(G141&gt;0,ROUND(H141/G141,4),IF(C141="","",C141))</f>
        <v/>
      </c>
      <c r="J141" s="8" t="n">
        <v>165</v>
      </c>
      <c r="K141" s="5" t="n">
        <v>10.3</v>
      </c>
      <c r="L141" s="5">
        <f>IF(J141="","",K141*J141)</f>
        <v/>
      </c>
      <c r="M141" s="9">
        <f>IF(OR(C141="",I141=""),"",I141/C141-1)</f>
        <v/>
      </c>
      <c r="N141" s="4" t="inlineStr">
        <is>
          <t>لا مشتريات فى سبتمبر ⇒ سعر أغسطس ثابت</t>
        </is>
      </c>
    </row>
    <row r="142">
      <c r="A142" s="4" t="inlineStr">
        <is>
          <t>أكياس استربس اسبيشيال ص</t>
        </is>
      </c>
      <c r="B142" s="5" t="n">
        <v>82</v>
      </c>
      <c r="C142" s="6" t="n"/>
      <c r="D142" s="5">
        <f>IF(C142="","",B142*C142)</f>
        <v/>
      </c>
      <c r="E142" s="5">
        <f>SUMIF('مشتريات سبتمبر التفصيلية'!$I$4:$I$92,A142,'مشتريات سبتمبر التفصيلية'!$F$4:$F$92)</f>
        <v/>
      </c>
      <c r="F142" s="5">
        <f>SUMIF('مشتريات سبتمبر التفصيلية'!$I$4:$I$92,A142,'مشتريات سبتمبر التفصيلية'!$H$4:$H$92)</f>
        <v/>
      </c>
      <c r="G142" s="5">
        <f>IF(C142="",E142,B142+E142)</f>
        <v/>
      </c>
      <c r="H142" s="5">
        <f>N(D142)+F142</f>
        <v/>
      </c>
      <c r="I142" s="7">
        <f>IF(G142&gt;0,ROUND(H142/G142,4),IF(C142="","",C142))</f>
        <v/>
      </c>
      <c r="J142" s="8" t="n">
        <v>125</v>
      </c>
      <c r="K142" s="5" t="n">
        <v>175.05</v>
      </c>
      <c r="L142" s="5">
        <f>IF(J142="","",K142*J142)</f>
        <v/>
      </c>
      <c r="M142" s="9">
        <f>IF(OR(C142="",I142=""),"",I142/C142-1)</f>
        <v/>
      </c>
      <c r="N142" s="4" t="inlineStr">
        <is>
          <t>المتوسط من مشتريات سبتمبر فقط (أول المدة بلا سعر)</t>
        </is>
      </c>
    </row>
    <row r="143">
      <c r="A143" s="4" t="inlineStr">
        <is>
          <t>خام عجينة سجق أبو هاشم</t>
        </is>
      </c>
      <c r="B143" s="5" t="n">
        <v>0</v>
      </c>
      <c r="C143" s="6" t="n"/>
      <c r="D143" s="5">
        <f>IF(C143="","",B143*C143)</f>
        <v/>
      </c>
      <c r="E143" s="5">
        <f>SUMIF('مشتريات سبتمبر التفصيلية'!$I$4:$I$92,A143,'مشتريات سبتمبر التفصيلية'!$F$4:$F$92)</f>
        <v/>
      </c>
      <c r="F143" s="5">
        <f>SUMIF('مشتريات سبتمبر التفصيلية'!$I$4:$I$92,A143,'مشتريات سبتمبر التفصيلية'!$H$4:$H$92)</f>
        <v/>
      </c>
      <c r="G143" s="5">
        <f>IF(C143="",E143,B143+E143)</f>
        <v/>
      </c>
      <c r="H143" s="5">
        <f>N(D143)+F143</f>
        <v/>
      </c>
      <c r="I143" s="7">
        <f>IF(G143&gt;0,ROUND(H143/G143,4),IF(C143="","",C143))</f>
        <v/>
      </c>
      <c r="J143" s="8" t="n"/>
      <c r="K143" s="5" t="n">
        <v>0</v>
      </c>
      <c r="L143" s="5">
        <f>IF(J143="","",K143*J143)</f>
        <v/>
      </c>
      <c r="M143" s="9">
        <f>IF(OR(C143="",I143=""),"",I143/C143-1)</f>
        <v/>
      </c>
      <c r="N143" s="4" t="inlineStr">
        <is>
          <t>بلا سعر — لا سعر أغسطس ولا مشتريات سبتمبر</t>
        </is>
      </c>
    </row>
    <row r="144">
      <c r="A144" s="4" t="inlineStr">
        <is>
          <t>خام عجينة كفته أبو هاشم</t>
        </is>
      </c>
      <c r="B144" s="5" t="n">
        <v>0</v>
      </c>
      <c r="C144" s="6" t="n"/>
      <c r="D144" s="5">
        <f>IF(C144="","",B144*C144)</f>
        <v/>
      </c>
      <c r="E144" s="5">
        <f>SUMIF('مشتريات سبتمبر التفصيلية'!$I$4:$I$92,A144,'مشتريات سبتمبر التفصيلية'!$F$4:$F$92)</f>
        <v/>
      </c>
      <c r="F144" s="5">
        <f>SUMIF('مشتريات سبتمبر التفصيلية'!$I$4:$I$92,A144,'مشتريات سبتمبر التفصيلية'!$H$4:$H$92)</f>
        <v/>
      </c>
      <c r="G144" s="5">
        <f>IF(C144="",E144,B144+E144)</f>
        <v/>
      </c>
      <c r="H144" s="5">
        <f>N(D144)+F144</f>
        <v/>
      </c>
      <c r="I144" s="7">
        <f>IF(G144&gt;0,ROUND(H144/G144,4),IF(C144="","",C144))</f>
        <v/>
      </c>
      <c r="J144" s="8" t="n"/>
      <c r="K144" s="5" t="n">
        <v>0</v>
      </c>
      <c r="L144" s="5">
        <f>IF(J144="","",K144*J144)</f>
        <v/>
      </c>
      <c r="M144" s="9">
        <f>IF(OR(C144="",I144=""),"",I144/C144-1)</f>
        <v/>
      </c>
      <c r="N144" s="4" t="inlineStr">
        <is>
          <t>بلا سعر — لا سعر أغسطس ولا مشتريات سبتمبر</t>
        </is>
      </c>
    </row>
    <row r="145">
      <c r="A145" s="4" t="inlineStr">
        <is>
          <t>خام عجينة برجر أبو هاشم</t>
        </is>
      </c>
      <c r="B145" s="5" t="n">
        <v>16.5</v>
      </c>
      <c r="C145" s="6" t="n"/>
      <c r="D145" s="5">
        <f>IF(C145="","",B145*C145)</f>
        <v/>
      </c>
      <c r="E145" s="5">
        <f>SUMIF('مشتريات سبتمبر التفصيلية'!$I$4:$I$92,A145,'مشتريات سبتمبر التفصيلية'!$F$4:$F$92)</f>
        <v/>
      </c>
      <c r="F145" s="5">
        <f>SUMIF('مشتريات سبتمبر التفصيلية'!$I$4:$I$92,A145,'مشتريات سبتمبر التفصيلية'!$H$4:$H$92)</f>
        <v/>
      </c>
      <c r="G145" s="5">
        <f>IF(C145="",E145,B145+E145)</f>
        <v/>
      </c>
      <c r="H145" s="5">
        <f>N(D145)+F145</f>
        <v/>
      </c>
      <c r="I145" s="7">
        <f>IF(G145&gt;0,ROUND(H145/G145,4),IF(C145="","",C145))</f>
        <v/>
      </c>
      <c r="J145" s="8" t="n"/>
      <c r="K145" s="5" t="n">
        <v>0</v>
      </c>
      <c r="L145" s="5">
        <f>IF(J145="","",K145*J145)</f>
        <v/>
      </c>
      <c r="M145" s="9">
        <f>IF(OR(C145="",I145=""),"",I145/C145-1)</f>
        <v/>
      </c>
      <c r="N145" s="4" t="inlineStr">
        <is>
          <t>بلا سعر — لا سعر أغسطس ولا مشتريات سبتمبر</t>
        </is>
      </c>
    </row>
    <row r="146">
      <c r="A146" s="4" t="inlineStr">
        <is>
          <t>خام مفروم صافى 5ك</t>
        </is>
      </c>
      <c r="B146" s="5" t="n">
        <v>0</v>
      </c>
      <c r="C146" s="6" t="n"/>
      <c r="D146" s="5">
        <f>IF(C146="","",B146*C146)</f>
        <v/>
      </c>
      <c r="E146" s="5">
        <f>SUMIF('مشتريات سبتمبر التفصيلية'!$I$4:$I$92,A146,'مشتريات سبتمبر التفصيلية'!$F$4:$F$92)</f>
        <v/>
      </c>
      <c r="F146" s="5">
        <f>SUMIF('مشتريات سبتمبر التفصيلية'!$I$4:$I$92,A146,'مشتريات سبتمبر التفصيلية'!$H$4:$H$92)</f>
        <v/>
      </c>
      <c r="G146" s="5">
        <f>IF(C146="",E146,B146+E146)</f>
        <v/>
      </c>
      <c r="H146" s="5">
        <f>N(D146)+F146</f>
        <v/>
      </c>
      <c r="I146" s="7">
        <f>IF(G146&gt;0,ROUND(H146/G146,4),IF(C146="","",C146))</f>
        <v/>
      </c>
      <c r="J146" s="8" t="n"/>
      <c r="K146" s="5" t="n">
        <v>0</v>
      </c>
      <c r="L146" s="5">
        <f>IF(J146="","",K146*J146)</f>
        <v/>
      </c>
      <c r="M146" s="9">
        <f>IF(OR(C146="",I146=""),"",I146/C146-1)</f>
        <v/>
      </c>
      <c r="N146" s="4" t="inlineStr">
        <is>
          <t>بلا سعر — لا سعر أغسطس ولا مشتريات سبتمبر</t>
        </is>
      </c>
    </row>
    <row r="147">
      <c r="A147" s="4" t="inlineStr">
        <is>
          <t>خام عجينة برجر اسبيشيال</t>
        </is>
      </c>
      <c r="B147" s="5" t="n">
        <v>0</v>
      </c>
      <c r="C147" s="6" t="n"/>
      <c r="D147" s="5">
        <f>IF(C147="","",B147*C147)</f>
        <v/>
      </c>
      <c r="E147" s="5">
        <f>SUMIF('مشتريات سبتمبر التفصيلية'!$I$4:$I$92,A147,'مشتريات سبتمبر التفصيلية'!$F$4:$F$92)</f>
        <v/>
      </c>
      <c r="F147" s="5">
        <f>SUMIF('مشتريات سبتمبر التفصيلية'!$I$4:$I$92,A147,'مشتريات سبتمبر التفصيلية'!$H$4:$H$92)</f>
        <v/>
      </c>
      <c r="G147" s="5">
        <f>IF(C147="",E147,B147+E147)</f>
        <v/>
      </c>
      <c r="H147" s="5">
        <f>N(D147)+F147</f>
        <v/>
      </c>
      <c r="I147" s="7">
        <f>IF(G147&gt;0,ROUND(H147/G147,4),IF(C147="","",C147))</f>
        <v/>
      </c>
      <c r="J147" s="8" t="n"/>
      <c r="K147" s="5" t="n">
        <v>0</v>
      </c>
      <c r="L147" s="5">
        <f>IF(J147="","",K147*J147)</f>
        <v/>
      </c>
      <c r="M147" s="9">
        <f>IF(OR(C147="",I147=""),"",I147/C147-1)</f>
        <v/>
      </c>
      <c r="N147" s="4" t="inlineStr">
        <is>
          <t>بلا سعر — لا سعر أغسطس ولا مشتريات سبتمبر</t>
        </is>
      </c>
    </row>
    <row r="148">
      <c r="A148" s="4" t="inlineStr">
        <is>
          <t>خاج عجينة كفته اسبيشيال</t>
        </is>
      </c>
      <c r="B148" s="5" t="n">
        <v>0</v>
      </c>
      <c r="C148" s="6" t="n"/>
      <c r="D148" s="5">
        <f>IF(C148="","",B148*C148)</f>
        <v/>
      </c>
      <c r="E148" s="5">
        <f>SUMIF('مشتريات سبتمبر التفصيلية'!$I$4:$I$92,A148,'مشتريات سبتمبر التفصيلية'!$F$4:$F$92)</f>
        <v/>
      </c>
      <c r="F148" s="5">
        <f>SUMIF('مشتريات سبتمبر التفصيلية'!$I$4:$I$92,A148,'مشتريات سبتمبر التفصيلية'!$H$4:$H$92)</f>
        <v/>
      </c>
      <c r="G148" s="5">
        <f>IF(C148="",E148,B148+E148)</f>
        <v/>
      </c>
      <c r="H148" s="5">
        <f>N(D148)+F148</f>
        <v/>
      </c>
      <c r="I148" s="7">
        <f>IF(G148&gt;0,ROUND(H148/G148,4),IF(C148="","",C148))</f>
        <v/>
      </c>
      <c r="J148" s="8" t="n"/>
      <c r="K148" s="5" t="n">
        <v>0</v>
      </c>
      <c r="L148" s="5">
        <f>IF(J148="","",K148*J148)</f>
        <v/>
      </c>
      <c r="M148" s="9">
        <f>IF(OR(C148="",I148=""),"",I148/C148-1)</f>
        <v/>
      </c>
      <c r="N148" s="4" t="inlineStr">
        <is>
          <t>بلا سعر — لا سعر أغسطس ولا مشتريات سبتمبر</t>
        </is>
      </c>
    </row>
    <row r="149">
      <c r="A149" s="4" t="inlineStr">
        <is>
          <t>خام مفروم اسبيشيال</t>
        </is>
      </c>
      <c r="B149" s="5" t="n">
        <v>0</v>
      </c>
      <c r="C149" s="6" t="n"/>
      <c r="D149" s="5">
        <f>IF(C149="","",B149*C149)</f>
        <v/>
      </c>
      <c r="E149" s="5">
        <f>SUMIF('مشتريات سبتمبر التفصيلية'!$I$4:$I$92,A149,'مشتريات سبتمبر التفصيلية'!$F$4:$F$92)</f>
        <v/>
      </c>
      <c r="F149" s="5">
        <f>SUMIF('مشتريات سبتمبر التفصيلية'!$I$4:$I$92,A149,'مشتريات سبتمبر التفصيلية'!$H$4:$H$92)</f>
        <v/>
      </c>
      <c r="G149" s="5">
        <f>IF(C149="",E149,B149+E149)</f>
        <v/>
      </c>
      <c r="H149" s="5">
        <f>N(D149)+F149</f>
        <v/>
      </c>
      <c r="I149" s="7">
        <f>IF(G149&gt;0,ROUND(H149/G149,4),IF(C149="","",C149))</f>
        <v/>
      </c>
      <c r="J149" s="8" t="n"/>
      <c r="K149" s="5" t="n">
        <v>0</v>
      </c>
      <c r="L149" s="5">
        <f>IF(J149="","",K149*J149)</f>
        <v/>
      </c>
      <c r="M149" s="9">
        <f>IF(OR(C149="",I149=""),"",I149/C149-1)</f>
        <v/>
      </c>
      <c r="N149" s="4" t="inlineStr">
        <is>
          <t>بلا سعر — لا سعر أغسطس ولا مشتريات سبتمبر</t>
        </is>
      </c>
    </row>
    <row r="150">
      <c r="A150" s="4" t="inlineStr">
        <is>
          <t>خام عجينه بقري اسبيشيال</t>
        </is>
      </c>
      <c r="B150" s="5" t="n">
        <v>0</v>
      </c>
      <c r="C150" s="6" t="n"/>
      <c r="D150" s="5">
        <f>IF(C150="","",B150*C150)</f>
        <v/>
      </c>
      <c r="E150" s="5">
        <f>SUMIF('مشتريات سبتمبر التفصيلية'!$I$4:$I$92,A150,'مشتريات سبتمبر التفصيلية'!$F$4:$F$92)</f>
        <v/>
      </c>
      <c r="F150" s="5">
        <f>SUMIF('مشتريات سبتمبر التفصيلية'!$I$4:$I$92,A150,'مشتريات سبتمبر التفصيلية'!$H$4:$H$92)</f>
        <v/>
      </c>
      <c r="G150" s="5">
        <f>IF(C150="",E150,B150+E150)</f>
        <v/>
      </c>
      <c r="H150" s="5">
        <f>N(D150)+F150</f>
        <v/>
      </c>
      <c r="I150" s="7">
        <f>IF(G150&gt;0,ROUND(H150/G150,4),IF(C150="","",C150))</f>
        <v/>
      </c>
      <c r="J150" s="8" t="n"/>
      <c r="K150" s="5" t="n">
        <v>0</v>
      </c>
      <c r="L150" s="5">
        <f>IF(J150="","",K150*J150)</f>
        <v/>
      </c>
      <c r="M150" s="9">
        <f>IF(OR(C150="",I150=""),"",I150/C150-1)</f>
        <v/>
      </c>
      <c r="N150" s="4" t="inlineStr">
        <is>
          <t>بلا سعر — لا سعر أغسطس ولا مشتريات سبتمبر</t>
        </is>
      </c>
    </row>
    <row r="151">
      <c r="A151" s="4" t="inlineStr">
        <is>
          <t>خام عجينه مفروم صويا</t>
        </is>
      </c>
      <c r="B151" s="5" t="n">
        <v>0</v>
      </c>
      <c r="C151" s="6" t="n"/>
      <c r="D151" s="5">
        <f>IF(C151="","",B151*C151)</f>
        <v/>
      </c>
      <c r="E151" s="5">
        <f>SUMIF('مشتريات سبتمبر التفصيلية'!$I$4:$I$92,A151,'مشتريات سبتمبر التفصيلية'!$F$4:$F$92)</f>
        <v/>
      </c>
      <c r="F151" s="5">
        <f>SUMIF('مشتريات سبتمبر التفصيلية'!$I$4:$I$92,A151,'مشتريات سبتمبر التفصيلية'!$H$4:$H$92)</f>
        <v/>
      </c>
      <c r="G151" s="5">
        <f>IF(C151="",E151,B151+E151)</f>
        <v/>
      </c>
      <c r="H151" s="5">
        <f>N(D151)+F151</f>
        <v/>
      </c>
      <c r="I151" s="7">
        <f>IF(G151&gt;0,ROUND(H151/G151,4),IF(C151="","",C151))</f>
        <v/>
      </c>
      <c r="J151" s="8" t="n"/>
      <c r="K151" s="5" t="n">
        <v>0</v>
      </c>
      <c r="L151" s="5">
        <f>IF(J151="","",K151*J151)</f>
        <v/>
      </c>
      <c r="M151" s="9">
        <f>IF(OR(C151="",I151=""),"",I151/C151-1)</f>
        <v/>
      </c>
      <c r="N151" s="4" t="inlineStr">
        <is>
          <t>بلا سعر — لا سعر أغسطس ولا مشتريات سبتمبر</t>
        </is>
      </c>
    </row>
    <row r="152">
      <c r="A152" s="4" t="inlineStr">
        <is>
          <t>خام عجينه سجق اسبيشيال</t>
        </is>
      </c>
      <c r="B152" s="5" t="n">
        <v>0</v>
      </c>
      <c r="C152" s="6" t="n"/>
      <c r="D152" s="5">
        <f>IF(C152="","",B152*C152)</f>
        <v/>
      </c>
      <c r="E152" s="5">
        <f>SUMIF('مشتريات سبتمبر التفصيلية'!$I$4:$I$92,A152,'مشتريات سبتمبر التفصيلية'!$F$4:$F$92)</f>
        <v/>
      </c>
      <c r="F152" s="5">
        <f>SUMIF('مشتريات سبتمبر التفصيلية'!$I$4:$I$92,A152,'مشتريات سبتمبر التفصيلية'!$H$4:$H$92)</f>
        <v/>
      </c>
      <c r="G152" s="5">
        <f>IF(C152="",E152,B152+E152)</f>
        <v/>
      </c>
      <c r="H152" s="5">
        <f>N(D152)+F152</f>
        <v/>
      </c>
      <c r="I152" s="7">
        <f>IF(G152&gt;0,ROUND(H152/G152,4),IF(C152="","",C152))</f>
        <v/>
      </c>
      <c r="J152" s="8" t="n"/>
      <c r="K152" s="5" t="n">
        <v>0</v>
      </c>
      <c r="L152" s="5">
        <f>IF(J152="","",K152*J152)</f>
        <v/>
      </c>
      <c r="M152" s="9">
        <f>IF(OR(C152="",I152=""),"",I152/C152-1)</f>
        <v/>
      </c>
      <c r="N152" s="4" t="inlineStr">
        <is>
          <t>بلا سعر — لا سعر أغسطس ولا مشتريات سبتمبر</t>
        </is>
      </c>
    </row>
    <row r="153">
      <c r="A153" s="4" t="inlineStr">
        <is>
          <t>خام مفروم صويا الهنا</t>
        </is>
      </c>
      <c r="B153" s="5" t="n">
        <v>0</v>
      </c>
      <c r="C153" s="6" t="n"/>
      <c r="D153" s="5">
        <f>IF(C153="","",B153*C153)</f>
        <v/>
      </c>
      <c r="E153" s="5">
        <f>SUMIF('مشتريات سبتمبر التفصيلية'!$I$4:$I$92,A153,'مشتريات سبتمبر التفصيلية'!$F$4:$F$92)</f>
        <v/>
      </c>
      <c r="F153" s="5">
        <f>SUMIF('مشتريات سبتمبر التفصيلية'!$I$4:$I$92,A153,'مشتريات سبتمبر التفصيلية'!$H$4:$H$92)</f>
        <v/>
      </c>
      <c r="G153" s="5">
        <f>IF(C153="",E153,B153+E153)</f>
        <v/>
      </c>
      <c r="H153" s="5">
        <f>N(D153)+F153</f>
        <v/>
      </c>
      <c r="I153" s="7">
        <f>IF(G153&gt;0,ROUND(H153/G153,4),IF(C153="","",C153))</f>
        <v/>
      </c>
      <c r="J153" s="8" t="n"/>
      <c r="K153" s="5" t="n">
        <v>0</v>
      </c>
      <c r="L153" s="5">
        <f>IF(J153="","",K153*J153)</f>
        <v/>
      </c>
      <c r="M153" s="9">
        <f>IF(OR(C153="",I153=""),"",I153/C153-1)</f>
        <v/>
      </c>
      <c r="N153" s="4" t="inlineStr">
        <is>
          <t>بلا سعر — لا سعر أغسطس ولا مشتريات سبتمبر</t>
        </is>
      </c>
    </row>
    <row r="154">
      <c r="A154" s="4" t="inlineStr">
        <is>
          <t>خام عجينة برجر الهنا</t>
        </is>
      </c>
      <c r="B154" s="5" t="n">
        <v>0</v>
      </c>
      <c r="C154" s="6" t="n"/>
      <c r="D154" s="5">
        <f>IF(C154="","",B154*C154)</f>
        <v/>
      </c>
      <c r="E154" s="5">
        <f>SUMIF('مشتريات سبتمبر التفصيلية'!$I$4:$I$92,A154,'مشتريات سبتمبر التفصيلية'!$F$4:$F$92)</f>
        <v/>
      </c>
      <c r="F154" s="5">
        <f>SUMIF('مشتريات سبتمبر التفصيلية'!$I$4:$I$92,A154,'مشتريات سبتمبر التفصيلية'!$H$4:$H$92)</f>
        <v/>
      </c>
      <c r="G154" s="5">
        <f>IF(C154="",E154,B154+E154)</f>
        <v/>
      </c>
      <c r="H154" s="5">
        <f>N(D154)+F154</f>
        <v/>
      </c>
      <c r="I154" s="7">
        <f>IF(G154&gt;0,ROUND(H154/G154,4),IF(C154="","",C154))</f>
        <v/>
      </c>
      <c r="J154" s="8" t="n"/>
      <c r="K154" s="5" t="n">
        <v>0</v>
      </c>
      <c r="L154" s="5">
        <f>IF(J154="","",K154*J154)</f>
        <v/>
      </c>
      <c r="M154" s="9">
        <f>IF(OR(C154="",I154=""),"",I154/C154-1)</f>
        <v/>
      </c>
      <c r="N154" s="4" t="inlineStr">
        <is>
          <t>بلا سعر — لا سعر أغسطس ولا مشتريات سبتمبر</t>
        </is>
      </c>
    </row>
    <row r="155">
      <c r="A155" s="4" t="inlineStr">
        <is>
          <t>خام عجينة كفته الهنا</t>
        </is>
      </c>
      <c r="B155" s="5" t="n">
        <v>6.5</v>
      </c>
      <c r="C155" s="6" t="n"/>
      <c r="D155" s="5">
        <f>IF(C155="","",B155*C155)</f>
        <v/>
      </c>
      <c r="E155" s="5">
        <f>SUMIF('مشتريات سبتمبر التفصيلية'!$I$4:$I$92,A155,'مشتريات سبتمبر التفصيلية'!$F$4:$F$92)</f>
        <v/>
      </c>
      <c r="F155" s="5">
        <f>SUMIF('مشتريات سبتمبر التفصيلية'!$I$4:$I$92,A155,'مشتريات سبتمبر التفصيلية'!$H$4:$H$92)</f>
        <v/>
      </c>
      <c r="G155" s="5">
        <f>IF(C155="",E155,B155+E155)</f>
        <v/>
      </c>
      <c r="H155" s="5">
        <f>N(D155)+F155</f>
        <v/>
      </c>
      <c r="I155" s="7">
        <f>IF(G155&gt;0,ROUND(H155/G155,4),IF(C155="","",C155))</f>
        <v/>
      </c>
      <c r="J155" s="8" t="n"/>
      <c r="K155" s="5" t="n">
        <v>0</v>
      </c>
      <c r="L155" s="5">
        <f>IF(J155="","",K155*J155)</f>
        <v/>
      </c>
      <c r="M155" s="9">
        <f>IF(OR(C155="",I155=""),"",I155/C155-1)</f>
        <v/>
      </c>
      <c r="N155" s="4" t="inlineStr">
        <is>
          <t>بلا سعر — لا سعر أغسطس ولا مشتريات سبتمبر</t>
        </is>
      </c>
    </row>
    <row r="156">
      <c r="A156" s="4" t="inlineStr">
        <is>
          <t>خام عجينة سجق الهنا</t>
        </is>
      </c>
      <c r="B156" s="5" t="n">
        <v>0</v>
      </c>
      <c r="C156" s="6" t="n"/>
      <c r="D156" s="5">
        <f>IF(C156="","",B156*C156)</f>
        <v/>
      </c>
      <c r="E156" s="5">
        <f>SUMIF('مشتريات سبتمبر التفصيلية'!$I$4:$I$92,A156,'مشتريات سبتمبر التفصيلية'!$F$4:$F$92)</f>
        <v/>
      </c>
      <c r="F156" s="5">
        <f>SUMIF('مشتريات سبتمبر التفصيلية'!$I$4:$I$92,A156,'مشتريات سبتمبر التفصيلية'!$H$4:$H$92)</f>
        <v/>
      </c>
      <c r="G156" s="5">
        <f>IF(C156="",E156,B156+E156)</f>
        <v/>
      </c>
      <c r="H156" s="5">
        <f>N(D156)+F156</f>
        <v/>
      </c>
      <c r="I156" s="7">
        <f>IF(G156&gt;0,ROUND(H156/G156,4),IF(C156="","",C156))</f>
        <v/>
      </c>
      <c r="J156" s="8" t="n"/>
      <c r="K156" s="5" t="n">
        <v>0</v>
      </c>
      <c r="L156" s="5">
        <f>IF(J156="","",K156*J156)</f>
        <v/>
      </c>
      <c r="M156" s="9">
        <f>IF(OR(C156="",I156=""),"",I156/C156-1)</f>
        <v/>
      </c>
      <c r="N156" s="4" t="inlineStr">
        <is>
          <t>بلا سعر — لا سعر أغسطس ولا مشتريات سبتمبر</t>
        </is>
      </c>
    </row>
    <row r="157">
      <c r="A157" s="4" t="inlineStr">
        <is>
          <t>موزة فرخة</t>
        </is>
      </c>
      <c r="B157" s="5" t="n">
        <v>0</v>
      </c>
      <c r="C157" s="6" t="n"/>
      <c r="D157" s="5">
        <f>IF(C157="","",B157*C157)</f>
        <v/>
      </c>
      <c r="E157" s="5">
        <f>SUMIF('مشتريات سبتمبر التفصيلية'!$I$4:$I$92,A157,'مشتريات سبتمبر التفصيلية'!$F$4:$F$92)</f>
        <v/>
      </c>
      <c r="F157" s="5">
        <f>SUMIF('مشتريات سبتمبر التفصيلية'!$I$4:$I$92,A157,'مشتريات سبتمبر التفصيلية'!$H$4:$H$92)</f>
        <v/>
      </c>
      <c r="G157" s="5">
        <f>IF(C157="",E157,B157+E157)</f>
        <v/>
      </c>
      <c r="H157" s="5">
        <f>N(D157)+F157</f>
        <v/>
      </c>
      <c r="I157" s="7">
        <f>IF(G157&gt;0,ROUND(H157/G157,4),IF(C157="","",C157))</f>
        <v/>
      </c>
      <c r="J157" s="8" t="n"/>
      <c r="K157" s="5" t="n">
        <v>0</v>
      </c>
      <c r="L157" s="5">
        <f>IF(J157="","",K157*J157)</f>
        <v/>
      </c>
      <c r="M157" s="9">
        <f>IF(OR(C157="",I157=""),"",I157/C157-1)</f>
        <v/>
      </c>
      <c r="N157" s="4" t="inlineStr">
        <is>
          <t>بلا سعر — لا سعر أغسطس ولا مشتريات سبتمبر</t>
        </is>
      </c>
    </row>
    <row r="158">
      <c r="A158" s="4" t="inlineStr">
        <is>
          <t>فلاتر</t>
        </is>
      </c>
      <c r="B158" s="5" t="n">
        <v>9</v>
      </c>
      <c r="C158" s="6" t="n"/>
      <c r="D158" s="5">
        <f>IF(C158="","",B158*C158)</f>
        <v/>
      </c>
      <c r="E158" s="5">
        <f>SUMIF('مشتريات سبتمبر التفصيلية'!$I$4:$I$92,A158,'مشتريات سبتمبر التفصيلية'!$F$4:$F$92)</f>
        <v/>
      </c>
      <c r="F158" s="5">
        <f>SUMIF('مشتريات سبتمبر التفصيلية'!$I$4:$I$92,A158,'مشتريات سبتمبر التفصيلية'!$H$4:$H$92)</f>
        <v/>
      </c>
      <c r="G158" s="5">
        <f>IF(C158="",E158,B158+E158)</f>
        <v/>
      </c>
      <c r="H158" s="5">
        <f>N(D158)+F158</f>
        <v/>
      </c>
      <c r="I158" s="7">
        <f>IF(G158&gt;0,ROUND(H158/G158,4),IF(C158="","",C158))</f>
        <v/>
      </c>
      <c r="J158" s="8" t="n"/>
      <c r="K158" s="5" t="n">
        <v>0</v>
      </c>
      <c r="L158" s="5">
        <f>IF(J158="","",K158*J158)</f>
        <v/>
      </c>
      <c r="M158" s="9">
        <f>IF(OR(C158="",I158=""),"",I158/C158-1)</f>
        <v/>
      </c>
      <c r="N158" s="4" t="inlineStr">
        <is>
          <t>بلا سعر — لا سعر أغسطس ولا مشتريات سبتمبر</t>
        </is>
      </c>
    </row>
    <row r="159">
      <c r="A159" s="4" t="inlineStr">
        <is>
          <t>استطوانة فريون</t>
        </is>
      </c>
      <c r="B159" s="5" t="n">
        <v>1</v>
      </c>
      <c r="C159" s="6" t="n"/>
      <c r="D159" s="5">
        <f>IF(C159="","",B159*C159)</f>
        <v/>
      </c>
      <c r="E159" s="5">
        <f>SUMIF('مشتريات سبتمبر التفصيلية'!$I$4:$I$92,A159,'مشتريات سبتمبر التفصيلية'!$F$4:$F$92)</f>
        <v/>
      </c>
      <c r="F159" s="5">
        <f>SUMIF('مشتريات سبتمبر التفصيلية'!$I$4:$I$92,A159,'مشتريات سبتمبر التفصيلية'!$H$4:$H$92)</f>
        <v/>
      </c>
      <c r="G159" s="5">
        <f>IF(C159="",E159,B159+E159)</f>
        <v/>
      </c>
      <c r="H159" s="5">
        <f>N(D159)+F159</f>
        <v/>
      </c>
      <c r="I159" s="7">
        <f>IF(G159&gt;0,ROUND(H159/G159,4),IF(C159="","",C159))</f>
        <v/>
      </c>
      <c r="J159" s="8" t="n"/>
      <c r="K159" s="5" t="n">
        <v>0</v>
      </c>
      <c r="L159" s="5">
        <f>IF(J159="","",K159*J159)</f>
        <v/>
      </c>
      <c r="M159" s="9">
        <f>IF(OR(C159="",I159=""),"",I159/C159-1)</f>
        <v/>
      </c>
      <c r="N159" s="4" t="inlineStr">
        <is>
          <t>بلا سعر — لا سعر أغسطس ولا مشتريات سبتمبر</t>
        </is>
      </c>
    </row>
    <row r="160">
      <c r="A160" s="4" t="inlineStr">
        <is>
          <t>فلتر خاص بالثلاجة</t>
        </is>
      </c>
      <c r="B160" s="5" t="n">
        <v>0</v>
      </c>
      <c r="C160" s="6" t="n"/>
      <c r="D160" s="5">
        <f>IF(C160="","",B160*C160)</f>
        <v/>
      </c>
      <c r="E160" s="5">
        <f>SUMIF('مشتريات سبتمبر التفصيلية'!$I$4:$I$92,A160,'مشتريات سبتمبر التفصيلية'!$F$4:$F$92)</f>
        <v/>
      </c>
      <c r="F160" s="5">
        <f>SUMIF('مشتريات سبتمبر التفصيلية'!$I$4:$I$92,A160,'مشتريات سبتمبر التفصيلية'!$H$4:$H$92)</f>
        <v/>
      </c>
      <c r="G160" s="5">
        <f>IF(C160="",E160,B160+E160)</f>
        <v/>
      </c>
      <c r="H160" s="5">
        <f>N(D160)+F160</f>
        <v/>
      </c>
      <c r="I160" s="7">
        <f>IF(G160&gt;0,ROUND(H160/G160,4),IF(C160="","",C160))</f>
        <v/>
      </c>
      <c r="J160" s="8" t="n"/>
      <c r="K160" s="5" t="n">
        <v>0</v>
      </c>
      <c r="L160" s="5">
        <f>IF(J160="","",K160*J160)</f>
        <v/>
      </c>
      <c r="M160" s="9">
        <f>IF(OR(C160="",I160=""),"",I160/C160-1)</f>
        <v/>
      </c>
      <c r="N160" s="4" t="inlineStr">
        <is>
          <t>بلا سعر — لا سعر أغسطس ولا مشتريات سبتمبر</t>
        </is>
      </c>
    </row>
    <row r="161">
      <c r="A161" s="4" t="inlineStr">
        <is>
          <t>زيت سيارات</t>
        </is>
      </c>
      <c r="B161" s="5" t="n">
        <v>2</v>
      </c>
      <c r="C161" s="6" t="n">
        <v>1350</v>
      </c>
      <c r="D161" s="5">
        <f>IF(C161="","",B161*C161)</f>
        <v/>
      </c>
      <c r="E161" s="5">
        <f>SUMIF('مشتريات سبتمبر التفصيلية'!$I$4:$I$92,A161,'مشتريات سبتمبر التفصيلية'!$F$4:$F$92)</f>
        <v/>
      </c>
      <c r="F161" s="5">
        <f>SUMIF('مشتريات سبتمبر التفصيلية'!$I$4:$I$92,A161,'مشتريات سبتمبر التفصيلية'!$H$4:$H$92)</f>
        <v/>
      </c>
      <c r="G161" s="5">
        <f>IF(C161="",E161,B161+E161)</f>
        <v/>
      </c>
      <c r="H161" s="5">
        <f>N(D161)+F161</f>
        <v/>
      </c>
      <c r="I161" s="7">
        <f>IF(G161&gt;0,ROUND(H161/G161,4),IF(C161="","",C161))</f>
        <v/>
      </c>
      <c r="J161" s="8" t="n">
        <v>1350</v>
      </c>
      <c r="K161" s="5" t="n">
        <v>0</v>
      </c>
      <c r="L161" s="5">
        <f>IF(J161="","",K161*J161)</f>
        <v/>
      </c>
      <c r="M161" s="9">
        <f>IF(OR(C161="",I161=""),"",I161/C161-1)</f>
        <v/>
      </c>
      <c r="N161" s="4" t="inlineStr">
        <is>
          <t>لا مشتريات فى سبتمبر ⇒ سعر أغسطس ثابت</t>
        </is>
      </c>
    </row>
    <row r="162">
      <c r="A162" s="4" t="inlineStr">
        <is>
          <t>فلتر هواء دبابة</t>
        </is>
      </c>
      <c r="B162" s="5" t="n">
        <v>7</v>
      </c>
      <c r="C162" s="6" t="n"/>
      <c r="D162" s="5">
        <f>IF(C162="","",B162*C162)</f>
        <v/>
      </c>
      <c r="E162" s="5">
        <f>SUMIF('مشتريات سبتمبر التفصيلية'!$I$4:$I$92,A162,'مشتريات سبتمبر التفصيلية'!$F$4:$F$92)</f>
        <v/>
      </c>
      <c r="F162" s="5">
        <f>SUMIF('مشتريات سبتمبر التفصيلية'!$I$4:$I$92,A162,'مشتريات سبتمبر التفصيلية'!$H$4:$H$92)</f>
        <v/>
      </c>
      <c r="G162" s="5">
        <f>IF(C162="",E162,B162+E162)</f>
        <v/>
      </c>
      <c r="H162" s="5">
        <f>N(D162)+F162</f>
        <v/>
      </c>
      <c r="I162" s="7">
        <f>IF(G162&gt;0,ROUND(H162/G162,4),IF(C162="","",C162))</f>
        <v/>
      </c>
      <c r="J162" s="8" t="n"/>
      <c r="K162" s="5" t="n">
        <v>0</v>
      </c>
      <c r="L162" s="5">
        <f>IF(J162="","",K162*J162)</f>
        <v/>
      </c>
      <c r="M162" s="9">
        <f>IF(OR(C162="",I162=""),"",I162/C162-1)</f>
        <v/>
      </c>
      <c r="N162" s="4" t="inlineStr">
        <is>
          <t>بلا سعر — لا سعر أغسطس ولا مشتريات سبتمبر</t>
        </is>
      </c>
    </row>
    <row r="163">
      <c r="A163" s="4" t="inlineStr">
        <is>
          <t>ماجي</t>
        </is>
      </c>
      <c r="B163" s="5" t="n">
        <v>0</v>
      </c>
      <c r="C163" s="6" t="n"/>
      <c r="D163" s="5">
        <f>IF(C163="","",B163*C163)</f>
        <v/>
      </c>
      <c r="E163" s="5">
        <f>SUMIF('مشتريات سبتمبر التفصيلية'!$I$4:$I$92,A163,'مشتريات سبتمبر التفصيلية'!$F$4:$F$92)</f>
        <v/>
      </c>
      <c r="F163" s="5">
        <f>SUMIF('مشتريات سبتمبر التفصيلية'!$I$4:$I$92,A163,'مشتريات سبتمبر التفصيلية'!$H$4:$H$92)</f>
        <v/>
      </c>
      <c r="G163" s="5">
        <f>IF(C163="",E163,B163+E163)</f>
        <v/>
      </c>
      <c r="H163" s="5">
        <f>N(D163)+F163</f>
        <v/>
      </c>
      <c r="I163" s="7">
        <f>IF(G163&gt;0,ROUND(H163/G163,4),IF(C163="","",C163))</f>
        <v/>
      </c>
      <c r="J163" s="8" t="n"/>
      <c r="K163" s="5" t="n">
        <v>0</v>
      </c>
      <c r="L163" s="5">
        <f>IF(J163="","",K163*J163)</f>
        <v/>
      </c>
      <c r="M163" s="9">
        <f>IF(OR(C163="",I163=""),"",I163/C163-1)</f>
        <v/>
      </c>
      <c r="N163" s="4" t="inlineStr">
        <is>
          <t>بلا سعر — لا سعر أغسطس ولا مشتريات سبتمبر</t>
        </is>
      </c>
    </row>
    <row r="164">
      <c r="A164" s="4" t="inlineStr">
        <is>
          <t>حشوة زيت</t>
        </is>
      </c>
      <c r="B164" s="5" t="n">
        <v>7</v>
      </c>
      <c r="C164" s="6" t="n"/>
      <c r="D164" s="5">
        <f>IF(C164="","",B164*C164)</f>
        <v/>
      </c>
      <c r="E164" s="5">
        <f>SUMIF('مشتريات سبتمبر التفصيلية'!$I$4:$I$92,A164,'مشتريات سبتمبر التفصيلية'!$F$4:$F$92)</f>
        <v/>
      </c>
      <c r="F164" s="5">
        <f>SUMIF('مشتريات سبتمبر التفصيلية'!$I$4:$I$92,A164,'مشتريات سبتمبر التفصيلية'!$H$4:$H$92)</f>
        <v/>
      </c>
      <c r="G164" s="5">
        <f>IF(C164="",E164,B164+E164)</f>
        <v/>
      </c>
      <c r="H164" s="5">
        <f>N(D164)+F164</f>
        <v/>
      </c>
      <c r="I164" s="7">
        <f>IF(G164&gt;0,ROUND(H164/G164,4),IF(C164="","",C164))</f>
        <v/>
      </c>
      <c r="J164" s="8" t="n"/>
      <c r="K164" s="5" t="n">
        <v>0</v>
      </c>
      <c r="L164" s="5">
        <f>IF(J164="","",K164*J164)</f>
        <v/>
      </c>
      <c r="M164" s="9">
        <f>IF(OR(C164="",I164=""),"",I164/C164-1)</f>
        <v/>
      </c>
      <c r="N164" s="4" t="inlineStr">
        <is>
          <t>بلا سعر — لا سعر أغسطس ولا مشتريات سبتمبر</t>
        </is>
      </c>
    </row>
    <row r="165">
      <c r="A165" s="4" t="inlineStr">
        <is>
          <t>خلطة استربس 10</t>
        </is>
      </c>
      <c r="B165" s="5" t="n">
        <v>0</v>
      </c>
      <c r="C165" s="6" t="n"/>
      <c r="D165" s="5">
        <f>IF(C165="","",B165*C165)</f>
        <v/>
      </c>
      <c r="E165" s="5">
        <f>SUMIF('مشتريات سبتمبر التفصيلية'!$I$4:$I$92,A165,'مشتريات سبتمبر التفصيلية'!$F$4:$F$92)</f>
        <v/>
      </c>
      <c r="F165" s="5">
        <f>SUMIF('مشتريات سبتمبر التفصيلية'!$I$4:$I$92,A165,'مشتريات سبتمبر التفصيلية'!$H$4:$H$92)</f>
        <v/>
      </c>
      <c r="G165" s="5">
        <f>IF(C165="",E165,B165+E165)</f>
        <v/>
      </c>
      <c r="H165" s="5">
        <f>N(D165)+F165</f>
        <v/>
      </c>
      <c r="I165" s="7">
        <f>IF(G165&gt;0,ROUND(H165/G165,4),IF(C165="","",C165))</f>
        <v/>
      </c>
      <c r="J165" s="8" t="n"/>
      <c r="K165" s="5" t="n">
        <v>0</v>
      </c>
      <c r="L165" s="5">
        <f>IF(J165="","",K165*J165)</f>
        <v/>
      </c>
      <c r="M165" s="9">
        <f>IF(OR(C165="",I165=""),"",I165/C165-1)</f>
        <v/>
      </c>
      <c r="N165" s="4" t="inlineStr">
        <is>
          <t>بلا سعر — لا سعر أغسطس ولا مشتريات سبتمبر</t>
        </is>
      </c>
    </row>
    <row r="166">
      <c r="A166" s="4" t="inlineStr">
        <is>
          <t>خلطة استربس 20</t>
        </is>
      </c>
      <c r="B166" s="5" t="n">
        <v>0</v>
      </c>
      <c r="C166" s="6" t="n"/>
      <c r="D166" s="5">
        <f>IF(C166="","",B166*C166)</f>
        <v/>
      </c>
      <c r="E166" s="5">
        <f>SUMIF('مشتريات سبتمبر التفصيلية'!$I$4:$I$92,A166,'مشتريات سبتمبر التفصيلية'!$F$4:$F$92)</f>
        <v/>
      </c>
      <c r="F166" s="5">
        <f>SUMIF('مشتريات سبتمبر التفصيلية'!$I$4:$I$92,A166,'مشتريات سبتمبر التفصيلية'!$H$4:$H$92)</f>
        <v/>
      </c>
      <c r="G166" s="5">
        <f>IF(C166="",E166,B166+E166)</f>
        <v/>
      </c>
      <c r="H166" s="5">
        <f>N(D166)+F166</f>
        <v/>
      </c>
      <c r="I166" s="7">
        <f>IF(G166&gt;0,ROUND(H166/G166,4),IF(C166="","",C166))</f>
        <v/>
      </c>
      <c r="J166" s="8" t="n"/>
      <c r="K166" s="5" t="n">
        <v>0</v>
      </c>
      <c r="L166" s="5">
        <f>IF(J166="","",K166*J166)</f>
        <v/>
      </c>
      <c r="M166" s="9">
        <f>IF(OR(C166="",I166=""),"",I166/C166-1)</f>
        <v/>
      </c>
      <c r="N166" s="4" t="inlineStr">
        <is>
          <t>بلا سعر — لا سعر أغسطس ولا مشتريات سبتمبر</t>
        </is>
      </c>
    </row>
    <row r="167">
      <c r="A167" s="4" t="inlineStr">
        <is>
          <t>خلطة استربس 30</t>
        </is>
      </c>
      <c r="B167" s="5" t="n">
        <v>0</v>
      </c>
      <c r="C167" s="6" t="n"/>
      <c r="D167" s="5">
        <f>IF(C167="","",B167*C167)</f>
        <v/>
      </c>
      <c r="E167" s="5">
        <f>SUMIF('مشتريات سبتمبر التفصيلية'!$I$4:$I$92,A167,'مشتريات سبتمبر التفصيلية'!$F$4:$F$92)</f>
        <v/>
      </c>
      <c r="F167" s="5">
        <f>SUMIF('مشتريات سبتمبر التفصيلية'!$I$4:$I$92,A167,'مشتريات سبتمبر التفصيلية'!$H$4:$H$92)</f>
        <v/>
      </c>
      <c r="G167" s="5">
        <f>IF(C167="",E167,B167+E167)</f>
        <v/>
      </c>
      <c r="H167" s="5">
        <f>N(D167)+F167</f>
        <v/>
      </c>
      <c r="I167" s="7">
        <f>IF(G167&gt;0,ROUND(H167/G167,4),IF(C167="","",C167))</f>
        <v/>
      </c>
      <c r="J167" s="8" t="n"/>
      <c r="K167" s="5" t="n">
        <v>0</v>
      </c>
      <c r="L167" s="5">
        <f>IF(J167="","",K167*J167)</f>
        <v/>
      </c>
      <c r="M167" s="9">
        <f>IF(OR(C167="",I167=""),"",I167/C167-1)</f>
        <v/>
      </c>
      <c r="N167" s="4" t="inlineStr">
        <is>
          <t>بلا سعر — لا سعر أغسطس ولا مشتريات سبتمبر</t>
        </is>
      </c>
    </row>
    <row r="168">
      <c r="A168" s="4" t="inlineStr">
        <is>
          <t>خلطة بانيه A</t>
        </is>
      </c>
      <c r="B168" s="5" t="n">
        <v>0</v>
      </c>
      <c r="C168" s="6" t="n"/>
      <c r="D168" s="5">
        <f>IF(C168="","",B168*C168)</f>
        <v/>
      </c>
      <c r="E168" s="5">
        <f>SUMIF('مشتريات سبتمبر التفصيلية'!$I$4:$I$92,A168,'مشتريات سبتمبر التفصيلية'!$F$4:$F$92)</f>
        <v/>
      </c>
      <c r="F168" s="5">
        <f>SUMIF('مشتريات سبتمبر التفصيلية'!$I$4:$I$92,A168,'مشتريات سبتمبر التفصيلية'!$H$4:$H$92)</f>
        <v/>
      </c>
      <c r="G168" s="5">
        <f>IF(C168="",E168,B168+E168)</f>
        <v/>
      </c>
      <c r="H168" s="5">
        <f>N(D168)+F168</f>
        <v/>
      </c>
      <c r="I168" s="7">
        <f>IF(G168&gt;0,ROUND(H168/G168,4),IF(C168="","",C168))</f>
        <v/>
      </c>
      <c r="J168" s="8" t="n"/>
      <c r="K168" s="5" t="n">
        <v>0</v>
      </c>
      <c r="L168" s="5">
        <f>IF(J168="","",K168*J168)</f>
        <v/>
      </c>
      <c r="M168" s="9">
        <f>IF(OR(C168="",I168=""),"",I168/C168-1)</f>
        <v/>
      </c>
      <c r="N168" s="4" t="inlineStr">
        <is>
          <t>بلا سعر — لا سعر أغسطس ولا مشتريات سبتمبر</t>
        </is>
      </c>
    </row>
    <row r="169">
      <c r="A169" s="4" t="inlineStr">
        <is>
          <t>خلطة بانيه B</t>
        </is>
      </c>
      <c r="B169" s="5" t="n">
        <v>0</v>
      </c>
      <c r="C169" s="6" t="n"/>
      <c r="D169" s="5">
        <f>IF(C169="","",B169*C169)</f>
        <v/>
      </c>
      <c r="E169" s="5">
        <f>SUMIF('مشتريات سبتمبر التفصيلية'!$I$4:$I$92,A169,'مشتريات سبتمبر التفصيلية'!$F$4:$F$92)</f>
        <v/>
      </c>
      <c r="F169" s="5">
        <f>SUMIF('مشتريات سبتمبر التفصيلية'!$I$4:$I$92,A169,'مشتريات سبتمبر التفصيلية'!$H$4:$H$92)</f>
        <v/>
      </c>
      <c r="G169" s="5">
        <f>IF(C169="",E169,B169+E169)</f>
        <v/>
      </c>
      <c r="H169" s="5">
        <f>N(D169)+F169</f>
        <v/>
      </c>
      <c r="I169" s="7">
        <f>IF(G169&gt;0,ROUND(H169/G169,4),IF(C169="","",C169))</f>
        <v/>
      </c>
      <c r="J169" s="8" t="n"/>
      <c r="K169" s="5" t="n">
        <v>0</v>
      </c>
      <c r="L169" s="5">
        <f>IF(J169="","",K169*J169)</f>
        <v/>
      </c>
      <c r="M169" s="9">
        <f>IF(OR(C169="",I169=""),"",I169/C169-1)</f>
        <v/>
      </c>
      <c r="N169" s="4" t="inlineStr">
        <is>
          <t>بلا سعر — لا سعر أغسطس ولا مشتريات سبتمبر</t>
        </is>
      </c>
    </row>
    <row r="171">
      <c r="A171" s="12" t="inlineStr">
        <is>
          <t>الإجمالى</t>
        </is>
      </c>
      <c r="D171" s="13">
        <f>SUM(D5:D169)</f>
        <v/>
      </c>
      <c r="F171" s="13">
        <f>SUM(F5:F169)</f>
        <v/>
      </c>
      <c r="H171" s="13">
        <f>SUM(H5:H169)</f>
        <v/>
      </c>
      <c r="L171" s="13">
        <f>SUM(L5:L169)</f>
        <v/>
      </c>
    </row>
    <row r="173">
      <c r="A173" s="14" t="inlineStr">
        <is>
          <t>مجمّع اللحوم الهندى (كتف/رقبه/سن/أرباع) — متوسط واحد للبنود الأربعة</t>
        </is>
      </c>
    </row>
    <row r="174">
      <c r="A174" s="4" t="inlineStr">
        <is>
          <t>@مجمع اللحوم الهندى</t>
        </is>
      </c>
      <c r="B174" s="5">
        <f>B14+B15+B16+B17</f>
        <v/>
      </c>
      <c r="C174" s="6">
        <f>C14</f>
        <v/>
      </c>
      <c r="D174" s="5">
        <f>B174*C174</f>
        <v/>
      </c>
      <c r="E174" s="5">
        <f>SUMIF('مشتريات سبتمبر التفصيلية'!$I$4:$I$92,"@مجمع اللحوم الهندى",'مشتريات سبتمبر التفصيلية'!$F$4:$F$92)</f>
        <v/>
      </c>
      <c r="F174" s="5">
        <f>SUMIF('مشتريات سبتمبر التفصيلية'!$I$4:$I$92,"@مجمع اللحوم الهندى",'مشتريات سبتمبر التفصيلية'!$H$4:$H$92)</f>
        <v/>
      </c>
      <c r="G174" s="5">
        <f>B174+E174</f>
        <v/>
      </c>
      <c r="H174" s="5">
        <f>D174+F174</f>
        <v/>
      </c>
      <c r="I174" s="15">
        <f>ROUND(H174/G174,4)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30" customWidth="1" min="4" max="4"/>
    <col width="7" customWidth="1" min="5" max="5"/>
    <col width="10" customWidth="1" min="6" max="6"/>
    <col width="10" customWidth="1" min="7" max="7"/>
    <col width="13" customWidth="1" min="8" max="8"/>
    <col width="26" customWidth="1" min="9" max="9"/>
    <col width="9" customWidth="1" min="10" max="10"/>
    <col width="60" customWidth="1" min="11" max="11"/>
    <col width="12" customWidth="1" min="12" max="12"/>
  </cols>
  <sheetData>
    <row r="1">
      <c r="A1" s="1" t="inlineStr">
        <is>
          <t>مشتريات الخامات — الفترة 01/09/2026 حتى 30/09/2026 (المصدر: تقرير المشتريات فى الفترة)</t>
        </is>
      </c>
    </row>
    <row r="3" ht="42" customHeight="1">
      <c r="A3" s="3" t="inlineStr">
        <is>
          <t>م</t>
        </is>
      </c>
      <c r="B3" s="3" t="inlineStr">
        <is>
          <t>التاريخ</t>
        </is>
      </c>
      <c r="C3" s="3" t="inlineStr">
        <is>
          <t>كود الصنف</t>
        </is>
      </c>
      <c r="D3" s="3" t="inlineStr">
        <is>
          <t>اسم الصنف بالمشتريات</t>
        </is>
      </c>
      <c r="E3" s="3" t="inlineStr">
        <is>
          <t>الوحدة</t>
        </is>
      </c>
      <c r="F3" s="3" t="inlineStr">
        <is>
          <t>الكمية</t>
        </is>
      </c>
      <c r="G3" s="3" t="inlineStr">
        <is>
          <t>سعر الشراء</t>
        </is>
      </c>
      <c r="H3" s="3" t="inlineStr">
        <is>
          <t>الإجمالى</t>
        </is>
      </c>
      <c r="I3" s="3" t="inlineStr">
        <is>
          <t>الصنف المقابل بالجرد</t>
        </is>
      </c>
      <c r="J3" s="3" t="inlineStr">
        <is>
          <t>درجة الثقة</t>
        </is>
      </c>
      <c r="K3" s="3" t="inlineStr">
        <is>
          <t>أساس المطابقة</t>
        </is>
      </c>
      <c r="L3" s="3" t="inlineStr">
        <is>
          <t>رقم الفاتورة</t>
        </is>
      </c>
    </row>
    <row r="4">
      <c r="A4" s="4" t="n">
        <v>1</v>
      </c>
      <c r="B4" s="4" t="inlineStr">
        <is>
          <t>2026/09/02</t>
        </is>
      </c>
      <c r="C4" s="4" t="inlineStr">
        <is>
          <t>328</t>
        </is>
      </c>
      <c r="D4" s="4" t="inlineStr">
        <is>
          <t>طعم سجق زيت</t>
        </is>
      </c>
      <c r="E4" s="4" t="inlineStr">
        <is>
          <t>طبق</t>
        </is>
      </c>
      <c r="F4" s="5" t="n">
        <v>8</v>
      </c>
      <c r="G4" s="6" t="n">
        <v>580</v>
      </c>
      <c r="H4" s="5" t="n">
        <v>4640</v>
      </c>
      <c r="I4" s="4" t="inlineStr">
        <is>
          <t>زيت سجق</t>
        </is>
      </c>
      <c r="J4" s="4" t="inlineStr">
        <is>
          <t>عالية</t>
        </is>
      </c>
      <c r="K4" s="4" t="inlineStr">
        <is>
          <t>طعم سجق «زيت» = بند «زيت سجق»؛ سعر 580 = متوسط أغسطس 580</t>
        </is>
      </c>
      <c r="L4" s="4" t="inlineStr">
        <is>
          <t>1111115206</t>
        </is>
      </c>
    </row>
    <row r="5">
      <c r="A5" s="4" t="n">
        <v>2</v>
      </c>
      <c r="B5" s="4" t="inlineStr">
        <is>
          <t>2026/09/02</t>
        </is>
      </c>
      <c r="C5" s="4" t="inlineStr">
        <is>
          <t>329</t>
        </is>
      </c>
      <c r="D5" s="4" t="inlineStr">
        <is>
          <t>طعم بسطرمة زيت</t>
        </is>
      </c>
      <c r="E5" s="4" t="inlineStr">
        <is>
          <t>طبق</t>
        </is>
      </c>
      <c r="F5" s="5" t="n">
        <v>4</v>
      </c>
      <c r="G5" s="6" t="n">
        <v>820</v>
      </c>
      <c r="H5" s="5" t="n">
        <v>3280</v>
      </c>
      <c r="I5" s="4" t="inlineStr">
        <is>
          <t>زيوت بسطرمه</t>
        </is>
      </c>
      <c r="J5" s="4" t="inlineStr">
        <is>
          <t>عالية</t>
        </is>
      </c>
      <c r="K5" s="4" t="inlineStr">
        <is>
          <t>طعم بسطرمة «زيت» = بند «زيوت بسطرمه»؛ سعر 820 ≈ 784.14 لأغسطس</t>
        </is>
      </c>
      <c r="L5" s="4" t="inlineStr">
        <is>
          <t>1111115206</t>
        </is>
      </c>
    </row>
    <row r="6">
      <c r="A6" s="4" t="n">
        <v>3</v>
      </c>
      <c r="B6" s="4" t="inlineStr">
        <is>
          <t>2026/09/02</t>
        </is>
      </c>
      <c r="C6" s="4" t="inlineStr">
        <is>
          <t>89</t>
        </is>
      </c>
      <c r="D6" s="4" t="inlineStr">
        <is>
          <t>طعم ليه</t>
        </is>
      </c>
      <c r="E6" s="4" t="inlineStr">
        <is>
          <t>طبق</t>
        </is>
      </c>
      <c r="F6" s="5" t="n">
        <v>50</v>
      </c>
      <c r="G6" s="6" t="n">
        <v>295</v>
      </c>
      <c r="H6" s="5" t="n">
        <v>14750</v>
      </c>
      <c r="I6" s="4" t="inlineStr">
        <is>
          <t>طعم ليه</t>
        </is>
      </c>
      <c r="J6" s="4" t="inlineStr">
        <is>
          <t>عالية</t>
        </is>
      </c>
      <c r="K6" s="4" t="inlineStr">
        <is>
          <t>نفس ربط الكود فى يوليو: تطابق اسمى تام</t>
        </is>
      </c>
      <c r="L6" s="4" t="inlineStr">
        <is>
          <t>1111115206</t>
        </is>
      </c>
    </row>
    <row r="7">
      <c r="A7" s="4" t="n">
        <v>4</v>
      </c>
      <c r="B7" s="4" t="inlineStr">
        <is>
          <t>2026/09/02</t>
        </is>
      </c>
      <c r="C7" s="4" t="inlineStr">
        <is>
          <t>222</t>
        </is>
      </c>
      <c r="D7" s="4" t="inlineStr">
        <is>
          <t>طعم كفته</t>
        </is>
      </c>
      <c r="E7" s="4" t="inlineStr">
        <is>
          <t>طبق</t>
        </is>
      </c>
      <c r="F7" s="5" t="n">
        <v>50</v>
      </c>
      <c r="G7" s="6" t="n">
        <v>190</v>
      </c>
      <c r="H7" s="5" t="n">
        <v>9500</v>
      </c>
      <c r="I7" s="4" t="inlineStr">
        <is>
          <t>طعم كفته</t>
        </is>
      </c>
      <c r="J7" s="4" t="inlineStr">
        <is>
          <t>عالية</t>
        </is>
      </c>
      <c r="K7" s="4" t="inlineStr">
        <is>
          <t>نفس ربط الكود فى أغسطس: تطابق اسمى تام</t>
        </is>
      </c>
      <c r="L7" s="4" t="inlineStr">
        <is>
          <t>1111115206</t>
        </is>
      </c>
    </row>
    <row r="8">
      <c r="A8" s="4" t="n">
        <v>5</v>
      </c>
      <c r="B8" s="4" t="inlineStr">
        <is>
          <t>2026/09/02</t>
        </is>
      </c>
      <c r="C8" s="4" t="inlineStr">
        <is>
          <t>235</t>
        </is>
      </c>
      <c r="D8" s="4" t="inlineStr">
        <is>
          <t>طعم بيف</t>
        </is>
      </c>
      <c r="E8" s="4" t="inlineStr">
        <is>
          <t>طبق</t>
        </is>
      </c>
      <c r="F8" s="5" t="n">
        <v>100</v>
      </c>
      <c r="G8" s="6" t="n">
        <v>310</v>
      </c>
      <c r="H8" s="5" t="n">
        <v>31000</v>
      </c>
      <c r="I8" s="4" t="inlineStr">
        <is>
          <t>طعم بيف</t>
        </is>
      </c>
      <c r="J8" s="4" t="inlineStr">
        <is>
          <t>عالية</t>
        </is>
      </c>
      <c r="K8" s="4" t="inlineStr">
        <is>
          <t>نفس ربط الكود فى يوليو: تطابق اسمى تام</t>
        </is>
      </c>
      <c r="L8" s="4" t="inlineStr">
        <is>
          <t>1111115206</t>
        </is>
      </c>
    </row>
    <row r="9">
      <c r="A9" s="4" t="n">
        <v>6</v>
      </c>
      <c r="B9" s="4" t="inlineStr">
        <is>
          <t>2026/09/02</t>
        </is>
      </c>
      <c r="C9" s="4" t="inlineStr">
        <is>
          <t>244</t>
        </is>
      </c>
      <c r="D9" s="4" t="inlineStr">
        <is>
          <t>طعم شواي</t>
        </is>
      </c>
      <c r="E9" s="4" t="inlineStr">
        <is>
          <t>طبق</t>
        </is>
      </c>
      <c r="F9" s="5" t="n">
        <v>50</v>
      </c>
      <c r="G9" s="6" t="n">
        <v>295</v>
      </c>
      <c r="H9" s="5" t="n">
        <v>14750</v>
      </c>
      <c r="I9" s="4" t="inlineStr">
        <is>
          <t>طعم شواي</t>
        </is>
      </c>
      <c r="J9" s="4" t="inlineStr">
        <is>
          <t>عالية</t>
        </is>
      </c>
      <c r="K9" s="4" t="inlineStr">
        <is>
          <t>نفس ربط الكود فى يوليو: سعر الشراء 295.00 = سعر يونيه 295.00</t>
        </is>
      </c>
      <c r="L9" s="4" t="inlineStr">
        <is>
          <t>1111115206</t>
        </is>
      </c>
    </row>
    <row r="10">
      <c r="A10" s="4" t="n">
        <v>7</v>
      </c>
      <c r="B10" s="4" t="inlineStr">
        <is>
          <t>2026/09/03</t>
        </is>
      </c>
      <c r="C10" s="4" t="inlineStr">
        <is>
          <t>49</t>
        </is>
      </c>
      <c r="D10" s="4" t="inlineStr">
        <is>
          <t>دهن</t>
        </is>
      </c>
      <c r="E10" s="4" t="inlineStr">
        <is>
          <t>طبق</t>
        </is>
      </c>
      <c r="F10" s="5" t="n">
        <v>1450</v>
      </c>
      <c r="G10" s="6" t="n">
        <v>60</v>
      </c>
      <c r="H10" s="5" t="n">
        <v>87000</v>
      </c>
      <c r="I10" s="4" t="inlineStr">
        <is>
          <t>دهن بلدي</t>
        </is>
      </c>
      <c r="J10" s="4" t="inlineStr">
        <is>
          <t>عالية</t>
        </is>
      </c>
      <c r="K10" s="4" t="inlineStr">
        <is>
          <t>نفس ربط الكود فى يوليو: بند الدهن الوحيد بالجرد</t>
        </is>
      </c>
      <c r="L10" s="4" t="inlineStr">
        <is>
          <t>1111115212</t>
        </is>
      </c>
    </row>
    <row r="11">
      <c r="A11" s="4" t="n">
        <v>8</v>
      </c>
      <c r="B11" s="4" t="inlineStr">
        <is>
          <t>2026/09/05</t>
        </is>
      </c>
      <c r="C11" s="4" t="inlineStr">
        <is>
          <t>95</t>
        </is>
      </c>
      <c r="D11" s="4" t="inlineStr">
        <is>
          <t>هانك</t>
        </is>
      </c>
      <c r="E11" s="4" t="inlineStr">
        <is>
          <t>طبق</t>
        </is>
      </c>
      <c r="F11" s="5" t="n">
        <v>400</v>
      </c>
      <c r="G11" s="6" t="n">
        <v>250</v>
      </c>
      <c r="H11" s="5" t="n">
        <v>100000</v>
      </c>
      <c r="I11" s="4" t="inlineStr">
        <is>
          <t>هانك</t>
        </is>
      </c>
      <c r="J11" s="4" t="inlineStr">
        <is>
          <t>عالية</t>
        </is>
      </c>
      <c r="K11" s="4" t="inlineStr">
        <is>
          <t>نفس ربط الكود فى يوليو: تطابق اسمى تام</t>
        </is>
      </c>
      <c r="L11" s="4" t="inlineStr">
        <is>
          <t>1111115207</t>
        </is>
      </c>
    </row>
    <row r="12">
      <c r="A12" s="4" t="n">
        <v>9</v>
      </c>
      <c r="B12" s="4" t="inlineStr">
        <is>
          <t>2026/09/05</t>
        </is>
      </c>
      <c r="C12" s="4" t="inlineStr">
        <is>
          <t>379</t>
        </is>
      </c>
      <c r="D12" s="4" t="inlineStr">
        <is>
          <t>بكرة لزق شفاف</t>
        </is>
      </c>
      <c r="E12" s="4" t="inlineStr">
        <is>
          <t>طبق</t>
        </is>
      </c>
      <c r="F12" s="5" t="n">
        <v>240</v>
      </c>
      <c r="G12" s="6" t="n">
        <v>30.83</v>
      </c>
      <c r="H12" s="5" t="n">
        <v>7400</v>
      </c>
      <c r="I12" s="4" t="inlineStr">
        <is>
          <t>لازق</t>
        </is>
      </c>
      <c r="J12" s="4" t="inlineStr">
        <is>
          <t>عالية</t>
        </is>
      </c>
      <c r="K12" s="4" t="inlineStr">
        <is>
          <t>بكرة لزق شفاف = «لازق»؛ سعر 30.83 ≈ 30.22 لأغسطس</t>
        </is>
      </c>
      <c r="L12" s="4" t="inlineStr">
        <is>
          <t>1111115208</t>
        </is>
      </c>
    </row>
    <row r="13">
      <c r="A13" s="4" t="n">
        <v>10</v>
      </c>
      <c r="B13" s="4" t="inlineStr">
        <is>
          <t>2026/09/05</t>
        </is>
      </c>
      <c r="C13" s="4" t="inlineStr">
        <is>
          <t>443</t>
        </is>
      </c>
      <c r="D13" s="4" t="inlineStr">
        <is>
          <t>اكياس تغليف استربس اسبشيال صغير</t>
        </is>
      </c>
      <c r="E13" s="4" t="inlineStr">
        <is>
          <t>كيلو</t>
        </is>
      </c>
      <c r="F13" s="5" t="n">
        <v>124.8</v>
      </c>
      <c r="G13" s="6" t="n">
        <v>125</v>
      </c>
      <c r="H13" s="5" t="n">
        <v>15600</v>
      </c>
      <c r="I13" s="4" t="inlineStr">
        <is>
          <t>أكياس استربس اسبيشيال ص</t>
        </is>
      </c>
      <c r="J13" s="4" t="inlineStr">
        <is>
          <t>عالية</t>
        </is>
      </c>
      <c r="K13" s="4" t="inlineStr">
        <is>
          <t>أكياس تغليف استربس اسبشيال صغير = «أكياس استربس اسبيشيال ص»؛ بلا سعر سابق</t>
        </is>
      </c>
      <c r="L13" s="4" t="inlineStr">
        <is>
          <t>1111115209</t>
        </is>
      </c>
    </row>
    <row r="14">
      <c r="A14" s="4" t="n">
        <v>11</v>
      </c>
      <c r="B14" s="4" t="inlineStr">
        <is>
          <t>2026/09/05</t>
        </is>
      </c>
      <c r="C14" s="4" t="inlineStr">
        <is>
          <t>50</t>
        </is>
      </c>
      <c r="D14" s="4" t="inlineStr">
        <is>
          <t>بصل</t>
        </is>
      </c>
      <c r="E14" s="4" t="inlineStr">
        <is>
          <t>طبق</t>
        </is>
      </c>
      <c r="F14" s="5" t="n">
        <v>740</v>
      </c>
      <c r="G14" s="6" t="n">
        <v>15</v>
      </c>
      <c r="H14" s="5" t="n">
        <v>11100</v>
      </c>
      <c r="I14" s="4" t="inlineStr">
        <is>
          <t>بصل</t>
        </is>
      </c>
      <c r="J14" s="4" t="inlineStr">
        <is>
          <t>عالية</t>
        </is>
      </c>
      <c r="K14" s="4" t="inlineStr">
        <is>
          <t>نفس ربط الكود فى يوليو: تطابق اسمى تام</t>
        </is>
      </c>
      <c r="L14" s="4" t="inlineStr">
        <is>
          <t>1111115210</t>
        </is>
      </c>
    </row>
    <row r="15">
      <c r="A15" s="4" t="n">
        <v>12</v>
      </c>
      <c r="B15" s="4" t="inlineStr">
        <is>
          <t>2026/09/05</t>
        </is>
      </c>
      <c r="C15" s="4" t="inlineStr">
        <is>
          <t>334</t>
        </is>
      </c>
      <c r="D15" s="4" t="inlineStr">
        <is>
          <t>فلنك</t>
        </is>
      </c>
      <c r="E15" s="4" t="inlineStr">
        <is>
          <t>طبق</t>
        </is>
      </c>
      <c r="F15" s="5" t="n">
        <v>200</v>
      </c>
      <c r="G15" s="6" t="n">
        <v>208</v>
      </c>
      <c r="H15" s="5" t="n">
        <v>41600</v>
      </c>
      <c r="I15" s="4" t="inlineStr">
        <is>
          <t>فلانك</t>
        </is>
      </c>
      <c r="J15" s="4" t="inlineStr">
        <is>
          <t>عالية</t>
        </is>
      </c>
      <c r="K15" s="4" t="inlineStr">
        <is>
          <t>نفس ربط الكود فى يوليو: فرق إملائى فقط (فلنك/فلانك) + نفس نطاق السعر</t>
        </is>
      </c>
      <c r="L15" s="4" t="inlineStr">
        <is>
          <t>1111115211</t>
        </is>
      </c>
    </row>
    <row r="16">
      <c r="A16" s="4" t="n">
        <v>13</v>
      </c>
      <c r="B16" s="4" t="inlineStr">
        <is>
          <t>2026/09/06</t>
        </is>
      </c>
      <c r="C16" s="4" t="inlineStr">
        <is>
          <t>191</t>
        </is>
      </c>
      <c r="D16" s="4" t="inlineStr">
        <is>
          <t>نشا</t>
        </is>
      </c>
      <c r="E16" s="4" t="inlineStr">
        <is>
          <t>طبق</t>
        </is>
      </c>
      <c r="F16" s="5" t="n">
        <v>100</v>
      </c>
      <c r="G16" s="6" t="n">
        <v>32</v>
      </c>
      <c r="H16" s="5" t="n">
        <v>3200</v>
      </c>
      <c r="I16" s="4" t="inlineStr">
        <is>
          <t>نشا</t>
        </is>
      </c>
      <c r="J16" s="4" t="inlineStr">
        <is>
          <t>عالية</t>
        </is>
      </c>
      <c r="K16" s="4" t="inlineStr">
        <is>
          <t>نفس ربط الكود فى يوليو: تطابق اسمى تام</t>
        </is>
      </c>
      <c r="L16" s="4" t="inlineStr">
        <is>
          <t>1111115213</t>
        </is>
      </c>
    </row>
    <row r="17">
      <c r="A17" s="10" t="n">
        <v>14</v>
      </c>
      <c r="B17" s="10" t="inlineStr">
        <is>
          <t>2026/09/06</t>
        </is>
      </c>
      <c r="C17" s="10" t="inlineStr">
        <is>
          <t>14</t>
        </is>
      </c>
      <c r="D17" s="10" t="inlineStr">
        <is>
          <t>تشكيله هندى امامى</t>
        </is>
      </c>
      <c r="E17" s="10" t="inlineStr">
        <is>
          <t>كيلو</t>
        </is>
      </c>
      <c r="F17" s="16" t="n">
        <v>160</v>
      </c>
      <c r="G17" s="17" t="n">
        <v>262</v>
      </c>
      <c r="H17" s="16" t="n">
        <v>41920</v>
      </c>
      <c r="I17" s="10" t="inlineStr">
        <is>
          <t>@مجمع اللحوم الهندى</t>
        </is>
      </c>
      <c r="J17" s="10" t="inlineStr">
        <is>
          <t>متوسطة</t>
        </is>
      </c>
      <c r="K17" s="10" t="inlineStr">
        <is>
          <t>نفس ربط الكود فى يوليو: لحوم هندى مجمَّعة: بنود (كتف/رقبه/سن/أرباع) بسعر يونيه موحَّد 253</t>
        </is>
      </c>
      <c r="L17" s="10" t="inlineStr">
        <is>
          <t>1111115214</t>
        </is>
      </c>
    </row>
    <row r="18">
      <c r="A18" s="4" t="n">
        <v>15</v>
      </c>
      <c r="B18" s="4" t="inlineStr">
        <is>
          <t>2026/09/06</t>
        </is>
      </c>
      <c r="C18" s="4" t="inlineStr">
        <is>
          <t>16</t>
        </is>
      </c>
      <c r="D18" s="4" t="inlineStr">
        <is>
          <t>كرتونه كبده امريكى</t>
        </is>
      </c>
      <c r="E18" s="4" t="inlineStr">
        <is>
          <t>كيلو</t>
        </is>
      </c>
      <c r="F18" s="5" t="n">
        <v>159.61</v>
      </c>
      <c r="G18" s="6" t="n">
        <v>168</v>
      </c>
      <c r="H18" s="5" t="n">
        <v>26814.48</v>
      </c>
      <c r="I18" s="4" t="inlineStr">
        <is>
          <t>كبده</t>
        </is>
      </c>
      <c r="J18" s="4" t="inlineStr">
        <is>
          <t>عالية</t>
        </is>
      </c>
      <c r="K18" s="4" t="inlineStr">
        <is>
          <t>نفس ربط الكود فى يوليو: بند الكبدة الوحيد بالجرد + سعر 158 ≈ 169.49 ليونيه</t>
        </is>
      </c>
      <c r="L18" s="4" t="inlineStr">
        <is>
          <t>1111115214</t>
        </is>
      </c>
    </row>
    <row r="19">
      <c r="A19" s="4" t="n">
        <v>16</v>
      </c>
      <c r="B19" s="4" t="inlineStr">
        <is>
          <t>2026/09/07</t>
        </is>
      </c>
      <c r="C19" s="4" t="inlineStr">
        <is>
          <t>191</t>
        </is>
      </c>
      <c r="D19" s="4" t="inlineStr">
        <is>
          <t>نشا</t>
        </is>
      </c>
      <c r="E19" s="4" t="inlineStr">
        <is>
          <t>طبق</t>
        </is>
      </c>
      <c r="F19" s="5" t="n">
        <v>1000</v>
      </c>
      <c r="G19" s="6" t="n">
        <v>28.5</v>
      </c>
      <c r="H19" s="5" t="n">
        <v>28500</v>
      </c>
      <c r="I19" s="4" t="inlineStr">
        <is>
          <t>نشا</t>
        </is>
      </c>
      <c r="J19" s="4" t="inlineStr">
        <is>
          <t>عالية</t>
        </is>
      </c>
      <c r="K19" s="4" t="inlineStr">
        <is>
          <t>نفس ربط الكود فى يوليو: تطابق اسمى تام</t>
        </is>
      </c>
      <c r="L19" s="4" t="inlineStr">
        <is>
          <t>1111115215</t>
        </is>
      </c>
    </row>
    <row r="20">
      <c r="A20" s="10" t="n">
        <v>17</v>
      </c>
      <c r="B20" s="10" t="inlineStr">
        <is>
          <t>2026/09/07</t>
        </is>
      </c>
      <c r="C20" s="10" t="inlineStr">
        <is>
          <t>40</t>
        </is>
      </c>
      <c r="D20" s="10" t="inlineStr">
        <is>
          <t>علب شفاف</t>
        </is>
      </c>
      <c r="E20" s="10" t="inlineStr">
        <is>
          <t>طبق</t>
        </is>
      </c>
      <c r="F20" s="16" t="n">
        <v>1500</v>
      </c>
      <c r="G20" s="17" t="n">
        <v>2.52</v>
      </c>
      <c r="H20" s="16" t="n">
        <v>3785</v>
      </c>
      <c r="I20" s="10" t="inlineStr">
        <is>
          <t>علب بلاستيك شفاف</t>
        </is>
      </c>
      <c r="J20" s="10" t="inlineStr">
        <is>
          <t>متوسطة</t>
        </is>
      </c>
      <c r="K20" s="10" t="inlineStr">
        <is>
          <t>نفس ربط الكود فى يوليو: تطابق اسمى؛ رصيد أول المدة كان بلا سعر ⇒ السعر = سعر الشراء</t>
        </is>
      </c>
      <c r="L20" s="10" t="inlineStr">
        <is>
          <t>1111115216</t>
        </is>
      </c>
    </row>
    <row r="21">
      <c r="A21" s="10" t="n">
        <v>18</v>
      </c>
      <c r="B21" s="10" t="inlineStr">
        <is>
          <t>2026/09/07</t>
        </is>
      </c>
      <c r="C21" s="10" t="inlineStr">
        <is>
          <t>409</t>
        </is>
      </c>
      <c r="D21" s="10" t="inlineStr">
        <is>
          <t>طبق شفاف كيلو</t>
        </is>
      </c>
      <c r="E21" s="10" t="inlineStr">
        <is>
          <t>طبق</t>
        </is>
      </c>
      <c r="F21" s="16" t="n">
        <v>600</v>
      </c>
      <c r="G21" s="17" t="n">
        <v>1.91</v>
      </c>
      <c r="H21" s="16" t="n">
        <v>1144</v>
      </c>
      <c r="I21" s="10" t="inlineStr">
        <is>
          <t>طبق مسطح 1 ك شفاف</t>
        </is>
      </c>
      <c r="J21" s="10" t="inlineStr">
        <is>
          <t>متوسطة</t>
        </is>
      </c>
      <c r="K21" s="10" t="inlineStr">
        <is>
          <t>طبق شفاف كيلو = البند الشفاف الوحيد مقاس 1 ك بالجرد؛ بلا سعر سابق — يُراجَع</t>
        </is>
      </c>
      <c r="L21" s="10" t="inlineStr">
        <is>
          <t>1111115216</t>
        </is>
      </c>
    </row>
    <row r="22">
      <c r="A22" s="10" t="n">
        <v>19</v>
      </c>
      <c r="B22" s="10" t="inlineStr">
        <is>
          <t>2026/09/08</t>
        </is>
      </c>
      <c r="C22" s="10" t="inlineStr">
        <is>
          <t>14</t>
        </is>
      </c>
      <c r="D22" s="10" t="inlineStr">
        <is>
          <t>تشكيله هندى امامى</t>
        </is>
      </c>
      <c r="E22" s="10" t="inlineStr">
        <is>
          <t>كيلو</t>
        </is>
      </c>
      <c r="F22" s="16" t="n">
        <v>160</v>
      </c>
      <c r="G22" s="17" t="n">
        <v>262</v>
      </c>
      <c r="H22" s="16" t="n">
        <v>41920</v>
      </c>
      <c r="I22" s="10" t="inlineStr">
        <is>
          <t>@مجمع اللحوم الهندى</t>
        </is>
      </c>
      <c r="J22" s="10" t="inlineStr">
        <is>
          <t>متوسطة</t>
        </is>
      </c>
      <c r="K22" s="10" t="inlineStr">
        <is>
          <t>نفس ربط الكود فى يوليو: لحوم هندى مجمَّعة: بنود (كتف/رقبه/سن/أرباع) بسعر يونيه موحَّد 253</t>
        </is>
      </c>
      <c r="L22" s="10" t="inlineStr">
        <is>
          <t>1111115230</t>
        </is>
      </c>
    </row>
    <row r="23">
      <c r="A23" s="4" t="n">
        <v>20</v>
      </c>
      <c r="B23" s="4" t="inlineStr">
        <is>
          <t>2026/09/08</t>
        </is>
      </c>
      <c r="C23" s="4" t="inlineStr">
        <is>
          <t>334</t>
        </is>
      </c>
      <c r="D23" s="4" t="inlineStr">
        <is>
          <t>فلنك</t>
        </is>
      </c>
      <c r="E23" s="4" t="inlineStr">
        <is>
          <t>طبق</t>
        </is>
      </c>
      <c r="F23" s="5" t="n">
        <v>200</v>
      </c>
      <c r="G23" s="6" t="n">
        <v>210</v>
      </c>
      <c r="H23" s="5" t="n">
        <v>42000</v>
      </c>
      <c r="I23" s="4" t="inlineStr">
        <is>
          <t>فلانك</t>
        </is>
      </c>
      <c r="J23" s="4" t="inlineStr">
        <is>
          <t>عالية</t>
        </is>
      </c>
      <c r="K23" s="4" t="inlineStr">
        <is>
          <t>نفس ربط الكود فى يوليو: فرق إملائى فقط (فلنك/فلانك) + نفس نطاق السعر</t>
        </is>
      </c>
      <c r="L23" s="4" t="inlineStr">
        <is>
          <t>1111115230</t>
        </is>
      </c>
    </row>
    <row r="24">
      <c r="A24" s="10" t="n">
        <v>21</v>
      </c>
      <c r="B24" s="10" t="inlineStr">
        <is>
          <t>2026/09/08</t>
        </is>
      </c>
      <c r="C24" s="10" t="inlineStr">
        <is>
          <t>51</t>
        </is>
      </c>
      <c r="D24" s="10" t="inlineStr">
        <is>
          <t>صويا مصرى</t>
        </is>
      </c>
      <c r="E24" s="10" t="inlineStr">
        <is>
          <t>طبق</t>
        </is>
      </c>
      <c r="F24" s="16" t="n">
        <v>1000</v>
      </c>
      <c r="G24" s="17" t="n">
        <v>37</v>
      </c>
      <c r="H24" s="16" t="n">
        <v>37000</v>
      </c>
      <c r="I24" s="10" t="inlineStr">
        <is>
          <t>صويا لحمه</t>
        </is>
      </c>
      <c r="J24" s="10" t="inlineStr">
        <is>
          <t>متوسطة</t>
        </is>
      </c>
      <c r="K24" s="10" t="inlineStr">
        <is>
          <t>نفس ربط الكود فى يوليو: الصويا العامة تُحمَّل على «صويا لحمه» (سعر 32–40 ≈ 39.44) — نفس افتراض ملف يونيه</t>
        </is>
      </c>
      <c r="L24" s="10" t="inlineStr">
        <is>
          <t>1111115231</t>
        </is>
      </c>
    </row>
    <row r="25">
      <c r="A25" s="10" t="n">
        <v>22</v>
      </c>
      <c r="B25" s="10" t="inlineStr">
        <is>
          <t>2026/09/08</t>
        </is>
      </c>
      <c r="C25" s="10" t="inlineStr">
        <is>
          <t>40</t>
        </is>
      </c>
      <c r="D25" s="10" t="inlineStr">
        <is>
          <t>علب شفاف</t>
        </is>
      </c>
      <c r="E25" s="10" t="inlineStr">
        <is>
          <t>طبق</t>
        </is>
      </c>
      <c r="F25" s="16" t="n">
        <v>1500</v>
      </c>
      <c r="G25" s="17" t="n">
        <v>2.64</v>
      </c>
      <c r="H25" s="16" t="n">
        <v>3955</v>
      </c>
      <c r="I25" s="10" t="inlineStr">
        <is>
          <t>علب بلاستيك شفاف</t>
        </is>
      </c>
      <c r="J25" s="10" t="inlineStr">
        <is>
          <t>متوسطة</t>
        </is>
      </c>
      <c r="K25" s="10" t="inlineStr">
        <is>
          <t>نفس ربط الكود فى يوليو: تطابق اسمى؛ رصيد أول المدة كان بلا سعر ⇒ السعر = سعر الشراء</t>
        </is>
      </c>
      <c r="L25" s="10" t="inlineStr">
        <is>
          <t>1111115239</t>
        </is>
      </c>
    </row>
    <row r="26">
      <c r="A26" s="4" t="n">
        <v>23</v>
      </c>
      <c r="B26" s="4" t="inlineStr">
        <is>
          <t>2026/09/08</t>
        </is>
      </c>
      <c r="C26" s="4" t="inlineStr">
        <is>
          <t>351</t>
        </is>
      </c>
      <c r="D26" s="4" t="inlineStr">
        <is>
          <t>علب ثلجة اسود</t>
        </is>
      </c>
      <c r="E26" s="4" t="inlineStr">
        <is>
          <t>طبق</t>
        </is>
      </c>
      <c r="F26" s="5" t="n">
        <v>1500</v>
      </c>
      <c r="G26" s="6" t="n">
        <v>3.87</v>
      </c>
      <c r="H26" s="5" t="n">
        <v>5810</v>
      </c>
      <c r="I26" s="4" t="inlineStr">
        <is>
          <t>علب سوداء</t>
        </is>
      </c>
      <c r="J26" s="4" t="inlineStr">
        <is>
          <t>عالية</t>
        </is>
      </c>
      <c r="K26" s="4" t="inlineStr">
        <is>
          <t>نفس ربط الكود فى يوليو: العلب السوداء (ثلجة) — بند واحد بالجرد</t>
        </is>
      </c>
      <c r="L26" s="4" t="inlineStr">
        <is>
          <t>1111115239</t>
        </is>
      </c>
    </row>
    <row r="27">
      <c r="A27" s="10" t="n">
        <v>24</v>
      </c>
      <c r="B27" s="10" t="inlineStr">
        <is>
          <t>2026/09/09</t>
        </is>
      </c>
      <c r="C27" s="10" t="inlineStr">
        <is>
          <t>372</t>
        </is>
      </c>
      <c r="D27" s="10" t="inlineStr">
        <is>
          <t>مفروم فراخ C</t>
        </is>
      </c>
      <c r="E27" s="10" t="inlineStr">
        <is>
          <t>طبق</t>
        </is>
      </c>
      <c r="F27" s="16" t="n">
        <v>1500</v>
      </c>
      <c r="G27" s="17" t="n">
        <v>57</v>
      </c>
      <c r="H27" s="16" t="n">
        <v>85500</v>
      </c>
      <c r="I27" s="10" t="inlineStr">
        <is>
          <t>مفروم فراخ شعبي</t>
        </is>
      </c>
      <c r="J27" s="10" t="inlineStr">
        <is>
          <t>عالية</t>
        </is>
      </c>
      <c r="K27" s="10" t="inlineStr">
        <is>
          <t>نفس ربط الكود فى يوليو: الرتبة C = الدرجة الشعبية (سعر 28 مقابل 34.7 ليونيه) | ⚠ سعر يبدو معكوسًا مع السطر الآخر بنفس الفاتورة — الصنف تُرك سعره دون تغيير</t>
        </is>
      </c>
      <c r="L27" s="10" t="inlineStr">
        <is>
          <t>1111115217</t>
        </is>
      </c>
    </row>
    <row r="28">
      <c r="A28" s="10" t="n">
        <v>25</v>
      </c>
      <c r="B28" s="10" t="inlineStr">
        <is>
          <t>2026/09/09</t>
        </is>
      </c>
      <c r="C28" s="10" t="inlineStr">
        <is>
          <t>370</t>
        </is>
      </c>
      <c r="D28" s="10" t="inlineStr">
        <is>
          <t>مفروم فراخ A</t>
        </is>
      </c>
      <c r="E28" s="10" t="inlineStr">
        <is>
          <t>طبق</t>
        </is>
      </c>
      <c r="F28" s="16" t="n">
        <v>450</v>
      </c>
      <c r="G28" s="17" t="n">
        <v>30</v>
      </c>
      <c r="H28" s="16" t="n">
        <v>13500</v>
      </c>
      <c r="I28" s="10" t="inlineStr">
        <is>
          <t>مفروم فراخ فاخر</t>
        </is>
      </c>
      <c r="J28" s="10" t="inlineStr">
        <is>
          <t>عالية</t>
        </is>
      </c>
      <c r="K28" s="10" t="inlineStr">
        <is>
          <t>نفس ربط الكود فى يوليو: الرتبة A = الدرجة الفاخرة (سعر 55–57 ≈ 58.50 ليونيه) | ⚠ سعر يبدو معكوسًا مع السطر الآخر بنفس الفاتورة — الصنف تُرك سعره دون تغيير</t>
        </is>
      </c>
      <c r="L28" s="10" t="inlineStr">
        <is>
          <t>1111115217</t>
        </is>
      </c>
    </row>
    <row r="29">
      <c r="A29" s="10" t="n">
        <v>26</v>
      </c>
      <c r="B29" s="10" t="inlineStr">
        <is>
          <t>2026/09/12</t>
        </is>
      </c>
      <c r="C29" s="10" t="inlineStr">
        <is>
          <t>51</t>
        </is>
      </c>
      <c r="D29" s="10" t="inlineStr">
        <is>
          <t>صويا مصرى</t>
        </is>
      </c>
      <c r="E29" s="10" t="inlineStr">
        <is>
          <t>طبق</t>
        </is>
      </c>
      <c r="F29" s="16" t="n">
        <v>1000</v>
      </c>
      <c r="G29" s="17" t="n">
        <v>39</v>
      </c>
      <c r="H29" s="16" t="n">
        <v>39000</v>
      </c>
      <c r="I29" s="10" t="inlineStr">
        <is>
          <t>صويا لحمه</t>
        </is>
      </c>
      <c r="J29" s="10" t="inlineStr">
        <is>
          <t>متوسطة</t>
        </is>
      </c>
      <c r="K29" s="10" t="inlineStr">
        <is>
          <t>نفس ربط الكود فى يوليو: الصويا العامة تُحمَّل على «صويا لحمه» (سعر 32–40 ≈ 39.44) — نفس افتراض ملف يونيه</t>
        </is>
      </c>
      <c r="L29" s="10" t="inlineStr">
        <is>
          <t>1111115234</t>
        </is>
      </c>
    </row>
    <row r="30">
      <c r="A30" s="4" t="n">
        <v>27</v>
      </c>
      <c r="B30" s="4" t="inlineStr">
        <is>
          <t>2026/09/12</t>
        </is>
      </c>
      <c r="C30" s="4" t="inlineStr">
        <is>
          <t>299</t>
        </is>
      </c>
      <c r="D30" s="4" t="inlineStr">
        <is>
          <t>جلد فراخ</t>
        </is>
      </c>
      <c r="E30" s="4" t="inlineStr">
        <is>
          <t>طبق</t>
        </is>
      </c>
      <c r="F30" s="5" t="n">
        <v>1020</v>
      </c>
      <c r="G30" s="6" t="n">
        <v>28</v>
      </c>
      <c r="H30" s="5" t="n">
        <v>28560</v>
      </c>
      <c r="I30" s="4" t="inlineStr">
        <is>
          <t>جلد</t>
        </is>
      </c>
      <c r="J30" s="4" t="inlineStr">
        <is>
          <t>عالية</t>
        </is>
      </c>
      <c r="K30" s="4" t="inlineStr">
        <is>
          <t>نفس ربط الكود فى أغسطس: جلد الفراخ هو «جلد» بالوصفات؛ سعر 28 ≈ 29.66 ليوليو</t>
        </is>
      </c>
      <c r="L30" s="4" t="inlineStr">
        <is>
          <t>1111115235</t>
        </is>
      </c>
    </row>
    <row r="31">
      <c r="A31" s="4" t="n">
        <v>28</v>
      </c>
      <c r="B31" s="4" t="inlineStr">
        <is>
          <t>2026/09/12</t>
        </is>
      </c>
      <c r="C31" s="4" t="inlineStr">
        <is>
          <t>325</t>
        </is>
      </c>
      <c r="D31" s="4" t="inlineStr">
        <is>
          <t>دوبريه</t>
        </is>
      </c>
      <c r="E31" s="4" t="inlineStr">
        <is>
          <t>طبق</t>
        </is>
      </c>
      <c r="F31" s="5" t="n">
        <v>350</v>
      </c>
      <c r="G31" s="6" t="n">
        <v>90</v>
      </c>
      <c r="H31" s="5" t="n">
        <v>31500</v>
      </c>
      <c r="I31" s="4" t="inlineStr">
        <is>
          <t>دوبريه</t>
        </is>
      </c>
      <c r="J31" s="4" t="inlineStr">
        <is>
          <t>عالية</t>
        </is>
      </c>
      <c r="K31" s="4" t="inlineStr">
        <is>
          <t>نفس ربط الكود فى يوليو: تطابق اسمى تام</t>
        </is>
      </c>
      <c r="L31" s="4" t="inlineStr">
        <is>
          <t>1111115235</t>
        </is>
      </c>
    </row>
    <row r="32">
      <c r="A32" s="4" t="n">
        <v>29</v>
      </c>
      <c r="B32" s="4" t="inlineStr">
        <is>
          <t>2026/09/12</t>
        </is>
      </c>
      <c r="C32" s="4" t="inlineStr">
        <is>
          <t>95</t>
        </is>
      </c>
      <c r="D32" s="4" t="inlineStr">
        <is>
          <t>هانك</t>
        </is>
      </c>
      <c r="E32" s="4" t="inlineStr">
        <is>
          <t>طبق</t>
        </is>
      </c>
      <c r="F32" s="5" t="n">
        <v>150</v>
      </c>
      <c r="G32" s="6" t="n">
        <v>250</v>
      </c>
      <c r="H32" s="5" t="n">
        <v>37500</v>
      </c>
      <c r="I32" s="4" t="inlineStr">
        <is>
          <t>هانك</t>
        </is>
      </c>
      <c r="J32" s="4" t="inlineStr">
        <is>
          <t>عالية</t>
        </is>
      </c>
      <c r="K32" s="4" t="inlineStr">
        <is>
          <t>نفس ربط الكود فى يوليو: تطابق اسمى تام</t>
        </is>
      </c>
      <c r="L32" s="4" t="inlineStr">
        <is>
          <t>1111115220</t>
        </is>
      </c>
    </row>
    <row r="33">
      <c r="A33" s="4" t="n">
        <v>30</v>
      </c>
      <c r="B33" s="4" t="inlineStr">
        <is>
          <t>2026/09/13</t>
        </is>
      </c>
      <c r="C33" s="4" t="inlineStr">
        <is>
          <t>187</t>
        </is>
      </c>
      <c r="D33" s="4" t="inlineStr">
        <is>
          <t>فلفل احمر</t>
        </is>
      </c>
      <c r="E33" s="4" t="inlineStr">
        <is>
          <t>طبق</t>
        </is>
      </c>
      <c r="F33" s="5" t="n">
        <v>488</v>
      </c>
      <c r="G33" s="6" t="n">
        <v>10.5</v>
      </c>
      <c r="H33" s="5" t="n">
        <v>5124</v>
      </c>
      <c r="I33" s="4" t="inlineStr">
        <is>
          <t>فلفل رومي حامي</t>
        </is>
      </c>
      <c r="J33" s="4" t="inlineStr">
        <is>
          <t>منخفضة</t>
        </is>
      </c>
      <c r="K33" s="4" t="inlineStr">
        <is>
          <t>نفس ربط الكود فى يوليو: البند الوحيد المتبقى من عائلة الفلفل الطازج؛ القيمة 70 ج.م (غير جوهرية)</t>
        </is>
      </c>
      <c r="L33" s="4" t="inlineStr">
        <is>
          <t>1111115222</t>
        </is>
      </c>
    </row>
    <row r="34">
      <c r="A34" s="10" t="n">
        <v>31</v>
      </c>
      <c r="B34" s="10" t="inlineStr">
        <is>
          <t>2026/09/13</t>
        </is>
      </c>
      <c r="C34" s="10" t="inlineStr">
        <is>
          <t>344</t>
        </is>
      </c>
      <c r="D34" s="10" t="inlineStr">
        <is>
          <t>فلفل حامى</t>
        </is>
      </c>
      <c r="E34" s="10" t="inlineStr">
        <is>
          <t>طبق</t>
        </is>
      </c>
      <c r="F34" s="16" t="n">
        <v>115</v>
      </c>
      <c r="G34" s="17" t="n">
        <v>15</v>
      </c>
      <c r="H34" s="16" t="n">
        <v>1725</v>
      </c>
      <c r="I34" s="10" t="inlineStr">
        <is>
          <t>فلفل رومي حامي</t>
        </is>
      </c>
      <c r="J34" s="10" t="inlineStr">
        <is>
          <t>متوسطة</t>
        </is>
      </c>
      <c r="K34" s="10" t="inlineStr">
        <is>
          <t>فلفل حامى = عائلة الفلفل الحار الوحيدة بالجرد (نفس معالجة «فلفل احمر» كود 187)</t>
        </is>
      </c>
      <c r="L34" s="10" t="inlineStr">
        <is>
          <t>1111115222</t>
        </is>
      </c>
    </row>
    <row r="35">
      <c r="A35" s="4" t="n">
        <v>32</v>
      </c>
      <c r="B35" s="4" t="inlineStr">
        <is>
          <t>2026/09/14</t>
        </is>
      </c>
      <c r="C35" s="4" t="inlineStr">
        <is>
          <t>372</t>
        </is>
      </c>
      <c r="D35" s="4" t="inlineStr">
        <is>
          <t>مفروم فراخ C</t>
        </is>
      </c>
      <c r="E35" s="4" t="inlineStr">
        <is>
          <t>طبق</t>
        </is>
      </c>
      <c r="F35" s="5" t="n">
        <v>1500</v>
      </c>
      <c r="G35" s="6" t="n">
        <v>30</v>
      </c>
      <c r="H35" s="5" t="n">
        <v>45000</v>
      </c>
      <c r="I35" s="4" t="inlineStr">
        <is>
          <t>مفروم فراخ شعبي</t>
        </is>
      </c>
      <c r="J35" s="4" t="inlineStr">
        <is>
          <t>عالية</t>
        </is>
      </c>
      <c r="K35" s="4" t="inlineStr">
        <is>
          <t>نفس ربط الكود فى يوليو: الرتبة C = الدرجة الشعبية (سعر 28 مقابل 34.7 ليونيه)</t>
        </is>
      </c>
      <c r="L35" s="4" t="inlineStr">
        <is>
          <t>1111115223</t>
        </is>
      </c>
    </row>
    <row r="36">
      <c r="A36" s="4" t="n">
        <v>33</v>
      </c>
      <c r="B36" s="4" t="inlineStr">
        <is>
          <t>2026/09/14</t>
        </is>
      </c>
      <c r="C36" s="4" t="inlineStr">
        <is>
          <t>334</t>
        </is>
      </c>
      <c r="D36" s="4" t="inlineStr">
        <is>
          <t>فلنك</t>
        </is>
      </c>
      <c r="E36" s="4" t="inlineStr">
        <is>
          <t>طبق</t>
        </is>
      </c>
      <c r="F36" s="5" t="n">
        <v>200</v>
      </c>
      <c r="G36" s="6" t="n">
        <v>210</v>
      </c>
      <c r="H36" s="5" t="n">
        <v>42000</v>
      </c>
      <c r="I36" s="4" t="inlineStr">
        <is>
          <t>فلانك</t>
        </is>
      </c>
      <c r="J36" s="4" t="inlineStr">
        <is>
          <t>عالية</t>
        </is>
      </c>
      <c r="K36" s="4" t="inlineStr">
        <is>
          <t>نفس ربط الكود فى يوليو: فرق إملائى فقط (فلنك/فلانك) + نفس نطاق السعر</t>
        </is>
      </c>
      <c r="L36" s="4" t="inlineStr">
        <is>
          <t>1111115236</t>
        </is>
      </c>
    </row>
    <row r="37">
      <c r="A37" s="10" t="n">
        <v>34</v>
      </c>
      <c r="B37" s="10" t="inlineStr">
        <is>
          <t>2026/09/14</t>
        </is>
      </c>
      <c r="C37" s="10" t="inlineStr">
        <is>
          <t>14</t>
        </is>
      </c>
      <c r="D37" s="10" t="inlineStr">
        <is>
          <t>تشكيله هندى امامى</t>
        </is>
      </c>
      <c r="E37" s="10" t="inlineStr">
        <is>
          <t>كيلو</t>
        </is>
      </c>
      <c r="F37" s="16" t="n">
        <v>160</v>
      </c>
      <c r="G37" s="17" t="n">
        <v>262</v>
      </c>
      <c r="H37" s="16" t="n">
        <v>41920</v>
      </c>
      <c r="I37" s="10" t="inlineStr">
        <is>
          <t>@مجمع اللحوم الهندى</t>
        </is>
      </c>
      <c r="J37" s="10" t="inlineStr">
        <is>
          <t>متوسطة</t>
        </is>
      </c>
      <c r="K37" s="10" t="inlineStr">
        <is>
          <t>نفس ربط الكود فى يوليو: لحوم هندى مجمَّعة: بنود (كتف/رقبه/سن/أرباع) بسعر يونيه موحَّد 253</t>
        </is>
      </c>
      <c r="L37" s="10" t="inlineStr">
        <is>
          <t>1111115236</t>
        </is>
      </c>
    </row>
    <row r="38">
      <c r="A38" s="4" t="n">
        <v>35</v>
      </c>
      <c r="B38" s="4" t="inlineStr">
        <is>
          <t>2026/09/14</t>
        </is>
      </c>
      <c r="C38" s="4" t="inlineStr">
        <is>
          <t>16</t>
        </is>
      </c>
      <c r="D38" s="4" t="inlineStr">
        <is>
          <t>كرتونه كبده امريكى</t>
        </is>
      </c>
      <c r="E38" s="4" t="inlineStr">
        <is>
          <t>كيلو</t>
        </is>
      </c>
      <c r="F38" s="5" t="n">
        <v>162.57</v>
      </c>
      <c r="G38" s="6" t="n">
        <v>168</v>
      </c>
      <c r="H38" s="5" t="n">
        <v>27311.76</v>
      </c>
      <c r="I38" s="4" t="inlineStr">
        <is>
          <t>كبده</t>
        </is>
      </c>
      <c r="J38" s="4" t="inlineStr">
        <is>
          <t>عالية</t>
        </is>
      </c>
      <c r="K38" s="4" t="inlineStr">
        <is>
          <t>نفس ربط الكود فى يوليو: بند الكبدة الوحيد بالجرد + سعر 158 ≈ 169.49 ليونيه</t>
        </is>
      </c>
      <c r="L38" s="4" t="inlineStr">
        <is>
          <t>1111115236</t>
        </is>
      </c>
    </row>
    <row r="39">
      <c r="A39" s="4" t="n">
        <v>36</v>
      </c>
      <c r="B39" s="4" t="inlineStr">
        <is>
          <t>2026/09/14</t>
        </is>
      </c>
      <c r="C39" s="4" t="inlineStr">
        <is>
          <t>50</t>
        </is>
      </c>
      <c r="D39" s="4" t="inlineStr">
        <is>
          <t>بصل</t>
        </is>
      </c>
      <c r="E39" s="4" t="inlineStr">
        <is>
          <t>طبق</t>
        </is>
      </c>
      <c r="F39" s="5" t="n">
        <v>490</v>
      </c>
      <c r="G39" s="6" t="n">
        <v>20</v>
      </c>
      <c r="H39" s="5" t="n">
        <v>9800</v>
      </c>
      <c r="I39" s="4" t="inlineStr">
        <is>
          <t>بصل</t>
        </is>
      </c>
      <c r="J39" s="4" t="inlineStr">
        <is>
          <t>عالية</t>
        </is>
      </c>
      <c r="K39" s="4" t="inlineStr">
        <is>
          <t>نفس ربط الكود فى يوليو: تطابق اسمى تام</t>
        </is>
      </c>
      <c r="L39" s="4" t="inlineStr">
        <is>
          <t>1111115221</t>
        </is>
      </c>
    </row>
    <row r="40">
      <c r="A40" s="4" t="n">
        <v>37</v>
      </c>
      <c r="B40" s="4" t="inlineStr">
        <is>
          <t>2026/09/15</t>
        </is>
      </c>
      <c r="C40" s="4" t="inlineStr">
        <is>
          <t>190</t>
        </is>
      </c>
      <c r="D40" s="4" t="inlineStr">
        <is>
          <t>صميد</t>
        </is>
      </c>
      <c r="E40" s="4" t="inlineStr">
        <is>
          <t>طبق</t>
        </is>
      </c>
      <c r="F40" s="5" t="n">
        <v>1500</v>
      </c>
      <c r="G40" s="6" t="n">
        <v>16.25</v>
      </c>
      <c r="H40" s="5" t="n">
        <v>24375</v>
      </c>
      <c r="I40" s="4" t="inlineStr">
        <is>
          <t>صميد</t>
        </is>
      </c>
      <c r="J40" s="4" t="inlineStr">
        <is>
          <t>عالية</t>
        </is>
      </c>
      <c r="K40" s="4" t="inlineStr">
        <is>
          <t>نفس ربط الكود فى يوليو: تطابق اسمى تام</t>
        </is>
      </c>
      <c r="L40" s="4" t="inlineStr">
        <is>
          <t>1111115225</t>
        </is>
      </c>
    </row>
    <row r="41">
      <c r="A41" s="4" t="n">
        <v>38</v>
      </c>
      <c r="B41" s="4" t="inlineStr">
        <is>
          <t>2026/09/15</t>
        </is>
      </c>
      <c r="C41" s="4" t="inlineStr">
        <is>
          <t>361</t>
        </is>
      </c>
      <c r="D41" s="4" t="inlineStr">
        <is>
          <t>دقيق ابيض</t>
        </is>
      </c>
      <c r="E41" s="4" t="inlineStr">
        <is>
          <t>طبق</t>
        </is>
      </c>
      <c r="F41" s="5" t="n">
        <v>300</v>
      </c>
      <c r="G41" s="6" t="n">
        <v>20</v>
      </c>
      <c r="H41" s="5" t="n">
        <v>6000</v>
      </c>
      <c r="I41" s="4" t="inlineStr">
        <is>
          <t>دقيق</t>
        </is>
      </c>
      <c r="J41" s="4" t="inlineStr">
        <is>
          <t>عالية</t>
        </is>
      </c>
      <c r="K41" s="4" t="inlineStr">
        <is>
          <t>نفس ربط الكود فى يوليو: بند الدقيق الوحيد بالجرد + سعر 17 ≈ 17.19 ليونيه</t>
        </is>
      </c>
      <c r="L41" s="4" t="inlineStr">
        <is>
          <t>1111115237</t>
        </is>
      </c>
    </row>
    <row r="42">
      <c r="A42" s="4" t="n">
        <v>39</v>
      </c>
      <c r="B42" s="4" t="inlineStr">
        <is>
          <t>2026/09/15</t>
        </is>
      </c>
      <c r="C42" s="4" t="inlineStr">
        <is>
          <t>360</t>
        </is>
      </c>
      <c r="D42" s="4" t="inlineStr">
        <is>
          <t>كرسبى اصفر</t>
        </is>
      </c>
      <c r="E42" s="4" t="inlineStr">
        <is>
          <t>طبق</t>
        </is>
      </c>
      <c r="F42" s="5" t="n">
        <v>450</v>
      </c>
      <c r="G42" s="6" t="n">
        <v>39.5</v>
      </c>
      <c r="H42" s="5" t="n">
        <v>17775</v>
      </c>
      <c r="I42" s="4" t="inlineStr">
        <is>
          <t>بقسماط اصفر</t>
        </is>
      </c>
      <c r="J42" s="4" t="inlineStr">
        <is>
          <t>عالية</t>
        </is>
      </c>
      <c r="K42" s="4" t="inlineStr">
        <is>
          <t>نفس ربط الكود فى يوليو: سعر الشراء 38.00 = سعر يونيه 38.00 بالضبط</t>
        </is>
      </c>
      <c r="L42" s="4" t="inlineStr">
        <is>
          <t>1111115238</t>
        </is>
      </c>
    </row>
    <row r="43">
      <c r="A43" s="4" t="n">
        <v>40</v>
      </c>
      <c r="B43" s="4" t="inlineStr">
        <is>
          <t>2026/09/17</t>
        </is>
      </c>
      <c r="C43" s="4" t="inlineStr">
        <is>
          <t>38</t>
        </is>
      </c>
      <c r="D43" s="4" t="inlineStr">
        <is>
          <t>اطباق نص كيلو</t>
        </is>
      </c>
      <c r="E43" s="4" t="inlineStr">
        <is>
          <t>طبق</t>
        </is>
      </c>
      <c r="F43" s="5" t="n">
        <v>10000</v>
      </c>
      <c r="G43" s="6" t="n">
        <v>0.43</v>
      </c>
      <c r="H43" s="5" t="n">
        <v>4300</v>
      </c>
      <c r="I43" s="4" t="inlineStr">
        <is>
          <t>اطباق 1/2</t>
        </is>
      </c>
      <c r="J43" s="4" t="inlineStr">
        <is>
          <t>عالية</t>
        </is>
      </c>
      <c r="K43" s="4" t="inlineStr">
        <is>
          <t>نفس ربط الكود فى يوليو: طبق النصف كيلو = أطباق 1/2</t>
        </is>
      </c>
      <c r="L43" s="4" t="inlineStr">
        <is>
          <t>1111115227</t>
        </is>
      </c>
    </row>
    <row r="44">
      <c r="A44" s="4" t="n">
        <v>41</v>
      </c>
      <c r="B44" s="4" t="inlineStr">
        <is>
          <t>2026/09/18</t>
        </is>
      </c>
      <c r="C44" s="4" t="inlineStr">
        <is>
          <t>60</t>
        </is>
      </c>
      <c r="D44" s="4" t="inlineStr">
        <is>
          <t>فلفل اسمر</t>
        </is>
      </c>
      <c r="E44" s="4" t="inlineStr">
        <is>
          <t>كيلو</t>
        </is>
      </c>
      <c r="F44" s="5" t="n">
        <v>30</v>
      </c>
      <c r="G44" s="6" t="n">
        <v>340</v>
      </c>
      <c r="H44" s="5" t="n">
        <v>10200</v>
      </c>
      <c r="I44" s="4" t="inlineStr">
        <is>
          <t>فلفل اسود</t>
        </is>
      </c>
      <c r="J44" s="4" t="inlineStr">
        <is>
          <t>عالية</t>
        </is>
      </c>
      <c r="K44" s="4" t="inlineStr">
        <is>
          <t>نفس ربط الكود فى يوليو: توابل مطحونة سعرها 340–350 ≈ 379.49 ليونيه</t>
        </is>
      </c>
      <c r="L44" s="4" t="inlineStr">
        <is>
          <t>1111115226</t>
        </is>
      </c>
    </row>
    <row r="45">
      <c r="A45" s="4" t="n">
        <v>42</v>
      </c>
      <c r="B45" s="4" t="inlineStr">
        <is>
          <t>2026/09/18</t>
        </is>
      </c>
      <c r="C45" s="4" t="inlineStr">
        <is>
          <t>74</t>
        </is>
      </c>
      <c r="D45" s="4" t="inlineStr">
        <is>
          <t>كسبره</t>
        </is>
      </c>
      <c r="E45" s="4" t="inlineStr">
        <is>
          <t>طبق</t>
        </is>
      </c>
      <c r="F45" s="5" t="n">
        <v>75</v>
      </c>
      <c r="G45" s="6" t="n">
        <v>85</v>
      </c>
      <c r="H45" s="5" t="n">
        <v>6375</v>
      </c>
      <c r="I45" s="4" t="inlineStr">
        <is>
          <t>كزبره</t>
        </is>
      </c>
      <c r="J45" s="4" t="inlineStr">
        <is>
          <t>عالية</t>
        </is>
      </c>
      <c r="K45" s="4" t="inlineStr">
        <is>
          <t>نفس ربط الكود فى يوليو: فرق نطق (كسبرة/كزبرة)</t>
        </is>
      </c>
      <c r="L45" s="4" t="inlineStr">
        <is>
          <t>1111115226</t>
        </is>
      </c>
    </row>
    <row r="46">
      <c r="A46" s="4" t="n">
        <v>43</v>
      </c>
      <c r="B46" s="4" t="inlineStr">
        <is>
          <t>2026/09/18</t>
        </is>
      </c>
      <c r="C46" s="4" t="inlineStr">
        <is>
          <t>85</t>
        </is>
      </c>
      <c r="D46" s="4" t="inlineStr">
        <is>
          <t>شطه</t>
        </is>
      </c>
      <c r="E46" s="4" t="inlineStr">
        <is>
          <t>طبق</t>
        </is>
      </c>
      <c r="F46" s="5" t="n">
        <v>50</v>
      </c>
      <c r="G46" s="6" t="n">
        <v>75</v>
      </c>
      <c r="H46" s="5" t="n">
        <v>3750</v>
      </c>
      <c r="I46" s="4" t="inlineStr">
        <is>
          <t>شطه</t>
        </is>
      </c>
      <c r="J46" s="4" t="inlineStr">
        <is>
          <t>عالية</t>
        </is>
      </c>
      <c r="K46" s="4" t="inlineStr">
        <is>
          <t>نفس ربط الكود فى يوليو: تطابق اسمى تام</t>
        </is>
      </c>
      <c r="L46" s="4" t="inlineStr">
        <is>
          <t>1111115226</t>
        </is>
      </c>
    </row>
    <row r="47">
      <c r="A47" s="4" t="n">
        <v>44</v>
      </c>
      <c r="B47" s="4" t="inlineStr">
        <is>
          <t>2026/09/18</t>
        </is>
      </c>
      <c r="C47" s="4" t="inlineStr">
        <is>
          <t>322</t>
        </is>
      </c>
      <c r="D47" s="4" t="inlineStr">
        <is>
          <t>قرنفل</t>
        </is>
      </c>
      <c r="E47" s="4" t="inlineStr">
        <is>
          <t>طبق</t>
        </is>
      </c>
      <c r="F47" s="5" t="n">
        <v>10</v>
      </c>
      <c r="G47" s="6" t="n">
        <v>510</v>
      </c>
      <c r="H47" s="5" t="n">
        <v>5100</v>
      </c>
      <c r="I47" s="4" t="inlineStr">
        <is>
          <t>قرنفل</t>
        </is>
      </c>
      <c r="J47" s="4" t="inlineStr">
        <is>
          <t>عالية</t>
        </is>
      </c>
      <c r="K47" s="4" t="inlineStr">
        <is>
          <t>نفس ربط الكود فى يوليو: تطابق اسمى تام</t>
        </is>
      </c>
      <c r="L47" s="4" t="inlineStr">
        <is>
          <t>1111115226</t>
        </is>
      </c>
    </row>
    <row r="48">
      <c r="A48" s="4" t="n">
        <v>45</v>
      </c>
      <c r="B48" s="4" t="inlineStr">
        <is>
          <t>2026/09/18</t>
        </is>
      </c>
      <c r="C48" s="4" t="inlineStr">
        <is>
          <t>64</t>
        </is>
      </c>
      <c r="D48" s="4" t="inlineStr">
        <is>
          <t>حبهان</t>
        </is>
      </c>
      <c r="E48" s="4" t="inlineStr">
        <is>
          <t>طبق</t>
        </is>
      </c>
      <c r="F48" s="5" t="n">
        <v>10</v>
      </c>
      <c r="G48" s="6" t="n">
        <v>1200</v>
      </c>
      <c r="H48" s="5" t="n">
        <v>12000</v>
      </c>
      <c r="I48" s="4" t="inlineStr">
        <is>
          <t>حبهان</t>
        </is>
      </c>
      <c r="J48" s="4" t="inlineStr">
        <is>
          <t>عالية</t>
        </is>
      </c>
      <c r="K48" s="4" t="inlineStr">
        <is>
          <t>نفس ربط الكود فى يوليو: تطابق اسمى تام</t>
        </is>
      </c>
      <c r="L48" s="4" t="inlineStr">
        <is>
          <t>1111115226</t>
        </is>
      </c>
    </row>
    <row r="49">
      <c r="A49" s="4" t="n">
        <v>46</v>
      </c>
      <c r="B49" s="4" t="inlineStr">
        <is>
          <t>2026/09/18</t>
        </is>
      </c>
      <c r="C49" s="4" t="inlineStr">
        <is>
          <t>199</t>
        </is>
      </c>
      <c r="D49" s="4" t="inlineStr">
        <is>
          <t>لورا</t>
        </is>
      </c>
      <c r="E49" s="4" t="inlineStr">
        <is>
          <t>طبق</t>
        </is>
      </c>
      <c r="F49" s="5" t="n">
        <v>10</v>
      </c>
      <c r="G49" s="6" t="n">
        <v>140</v>
      </c>
      <c r="H49" s="5" t="n">
        <v>1400</v>
      </c>
      <c r="I49" s="4" t="inlineStr">
        <is>
          <t>لورا</t>
        </is>
      </c>
      <c r="J49" s="4" t="inlineStr">
        <is>
          <t>عالية</t>
        </is>
      </c>
      <c r="K49" s="4" t="inlineStr">
        <is>
          <t>نفس ربط الكود فى يوليو: تطابق اسمى تام</t>
        </is>
      </c>
      <c r="L49" s="4" t="inlineStr">
        <is>
          <t>1111115226</t>
        </is>
      </c>
    </row>
    <row r="50">
      <c r="A50" s="4" t="n">
        <v>47</v>
      </c>
      <c r="B50" s="4" t="inlineStr">
        <is>
          <t>2026/09/18</t>
        </is>
      </c>
      <c r="C50" s="4" t="inlineStr">
        <is>
          <t>62</t>
        </is>
      </c>
      <c r="D50" s="4" t="inlineStr">
        <is>
          <t>قرفه</t>
        </is>
      </c>
      <c r="E50" s="4" t="inlineStr">
        <is>
          <t>كيلو</t>
        </is>
      </c>
      <c r="F50" s="5" t="n">
        <v>50</v>
      </c>
      <c r="G50" s="6" t="n">
        <v>130</v>
      </c>
      <c r="H50" s="5" t="n">
        <v>6500</v>
      </c>
      <c r="I50" s="4" t="inlineStr">
        <is>
          <t>قرفه</t>
        </is>
      </c>
      <c r="J50" s="4" t="inlineStr">
        <is>
          <t>عالية</t>
        </is>
      </c>
      <c r="K50" s="4" t="inlineStr">
        <is>
          <t>نفس ربط الكود فى يوليو: تطابق اسمى تام</t>
        </is>
      </c>
      <c r="L50" s="4" t="inlineStr">
        <is>
          <t>1111115226</t>
        </is>
      </c>
    </row>
    <row r="51">
      <c r="A51" s="10" t="n">
        <v>48</v>
      </c>
      <c r="B51" s="10" t="inlineStr">
        <is>
          <t>2026/09/18</t>
        </is>
      </c>
      <c r="C51" s="10" t="inlineStr">
        <is>
          <t>453</t>
        </is>
      </c>
      <c r="D51" s="10" t="inlineStr">
        <is>
          <t>ببريكا مدخنه</t>
        </is>
      </c>
      <c r="E51" s="10" t="inlineStr">
        <is>
          <t>كيلو</t>
        </is>
      </c>
      <c r="F51" s="16" t="n">
        <v>40</v>
      </c>
      <c r="G51" s="17" t="n">
        <v>140</v>
      </c>
      <c r="H51" s="16" t="n">
        <v>5600</v>
      </c>
      <c r="I51" s="10" t="inlineStr">
        <is>
          <t>— بلا مقابل —</t>
        </is>
      </c>
      <c r="J51" s="10" t="inlineStr">
        <is>
          <t>—</t>
        </is>
      </c>
      <c r="K51" s="10" t="inlineStr">
        <is>
          <t>بابريكا مدخنة صنف مختلف عن «بابريكا» العادية ولا يوجد له بند بالجرد — لم تُحمَّل على أى صنف</t>
        </is>
      </c>
      <c r="L51" s="10" t="inlineStr">
        <is>
          <t>1111115226</t>
        </is>
      </c>
    </row>
    <row r="52">
      <c r="A52" s="4" t="n">
        <v>49</v>
      </c>
      <c r="B52" s="4" t="inlineStr">
        <is>
          <t>2026/09/18</t>
        </is>
      </c>
      <c r="C52" s="4" t="inlineStr">
        <is>
          <t>156</t>
        </is>
      </c>
      <c r="D52" s="4" t="inlineStr">
        <is>
          <t>ينسون</t>
        </is>
      </c>
      <c r="E52" s="4" t="inlineStr">
        <is>
          <t>طبق</t>
        </is>
      </c>
      <c r="F52" s="5" t="n">
        <v>10</v>
      </c>
      <c r="G52" s="6" t="n">
        <v>120</v>
      </c>
      <c r="H52" s="5" t="n">
        <v>1200</v>
      </c>
      <c r="I52" s="4" t="inlineStr">
        <is>
          <t>ينسون</t>
        </is>
      </c>
      <c r="J52" s="4" t="inlineStr">
        <is>
          <t>عالية</t>
        </is>
      </c>
      <c r="K52" s="4" t="inlineStr">
        <is>
          <t>نفس ربط الكود فى يوليو: تطابق اسمى تام</t>
        </is>
      </c>
      <c r="L52" s="4" t="inlineStr">
        <is>
          <t>1111115226</t>
        </is>
      </c>
    </row>
    <row r="53">
      <c r="A53" s="4" t="n">
        <v>50</v>
      </c>
      <c r="B53" s="4" t="inlineStr">
        <is>
          <t>2026/09/18</t>
        </is>
      </c>
      <c r="C53" s="4" t="inlineStr">
        <is>
          <t>219</t>
        </is>
      </c>
      <c r="D53" s="4" t="inlineStr">
        <is>
          <t>جنزبيل</t>
        </is>
      </c>
      <c r="E53" s="4" t="inlineStr">
        <is>
          <t>طبق</t>
        </is>
      </c>
      <c r="F53" s="5" t="n">
        <v>5</v>
      </c>
      <c r="G53" s="6" t="n">
        <v>220</v>
      </c>
      <c r="H53" s="5" t="n">
        <v>1100</v>
      </c>
      <c r="I53" s="4" t="inlineStr">
        <is>
          <t>جنزبيل</t>
        </is>
      </c>
      <c r="J53" s="4" t="inlineStr">
        <is>
          <t>عالية</t>
        </is>
      </c>
      <c r="K53" s="4" t="inlineStr">
        <is>
          <t>تطابق اسمى؛ سعر 220 ≈ 211.31 لأغسطس</t>
        </is>
      </c>
      <c r="L53" s="4" t="inlineStr">
        <is>
          <t>1111115226</t>
        </is>
      </c>
    </row>
    <row r="54">
      <c r="A54" s="4" t="n">
        <v>51</v>
      </c>
      <c r="B54" s="4" t="inlineStr">
        <is>
          <t>2026/09/19</t>
        </is>
      </c>
      <c r="C54" s="4" t="inlineStr">
        <is>
          <t>50</t>
        </is>
      </c>
      <c r="D54" s="4" t="inlineStr">
        <is>
          <t>بصل</t>
        </is>
      </c>
      <c r="E54" s="4" t="inlineStr">
        <is>
          <t>طبق</t>
        </is>
      </c>
      <c r="F54" s="5" t="n">
        <v>490</v>
      </c>
      <c r="G54" s="6" t="n">
        <v>20</v>
      </c>
      <c r="H54" s="5" t="n">
        <v>9800</v>
      </c>
      <c r="I54" s="4" t="inlineStr">
        <is>
          <t>بصل</t>
        </is>
      </c>
      <c r="J54" s="4" t="inlineStr">
        <is>
          <t>عالية</t>
        </is>
      </c>
      <c r="K54" s="4" t="inlineStr">
        <is>
          <t>نفس ربط الكود فى يوليو: تطابق اسمى تام</t>
        </is>
      </c>
      <c r="L54" s="4" t="inlineStr">
        <is>
          <t>1111115228</t>
        </is>
      </c>
    </row>
    <row r="55">
      <c r="A55" s="4" t="n">
        <v>52</v>
      </c>
      <c r="B55" s="4" t="inlineStr">
        <is>
          <t>2026/09/19</t>
        </is>
      </c>
      <c r="C55" s="4" t="inlineStr">
        <is>
          <t>372</t>
        </is>
      </c>
      <c r="D55" s="4" t="inlineStr">
        <is>
          <t>مفروم فراخ C</t>
        </is>
      </c>
      <c r="E55" s="4" t="inlineStr">
        <is>
          <t>طبق</t>
        </is>
      </c>
      <c r="F55" s="5" t="n">
        <v>690</v>
      </c>
      <c r="G55" s="6" t="n">
        <v>35</v>
      </c>
      <c r="H55" s="5" t="n">
        <v>24150</v>
      </c>
      <c r="I55" s="4" t="inlineStr">
        <is>
          <t>مفروم فراخ شعبي</t>
        </is>
      </c>
      <c r="J55" s="4" t="inlineStr">
        <is>
          <t>عالية</t>
        </is>
      </c>
      <c r="K55" s="4" t="inlineStr">
        <is>
          <t>نفس ربط الكود فى يوليو: الرتبة C = الدرجة الشعبية (سعر 28 مقابل 34.7 ليونيه)</t>
        </is>
      </c>
      <c r="L55" s="4" t="inlineStr">
        <is>
          <t>1111115229</t>
        </is>
      </c>
    </row>
    <row r="56">
      <c r="A56" s="4" t="n">
        <v>53</v>
      </c>
      <c r="B56" s="4" t="inlineStr">
        <is>
          <t>2026/09/19</t>
        </is>
      </c>
      <c r="C56" s="4" t="inlineStr">
        <is>
          <t>370</t>
        </is>
      </c>
      <c r="D56" s="4" t="inlineStr">
        <is>
          <t>مفروم فراخ A</t>
        </is>
      </c>
      <c r="E56" s="4" t="inlineStr">
        <is>
          <t>طبق</t>
        </is>
      </c>
      <c r="F56" s="5" t="n">
        <v>450</v>
      </c>
      <c r="G56" s="6" t="n">
        <v>60</v>
      </c>
      <c r="H56" s="5" t="n">
        <v>27000</v>
      </c>
      <c r="I56" s="4" t="inlineStr">
        <is>
          <t>مفروم فراخ فاخر</t>
        </is>
      </c>
      <c r="J56" s="4" t="inlineStr">
        <is>
          <t>عالية</t>
        </is>
      </c>
      <c r="K56" s="4" t="inlineStr">
        <is>
          <t>نفس ربط الكود فى يوليو: الرتبة A = الدرجة الفاخرة (سعر 55–57 ≈ 58.50 ليونيه)</t>
        </is>
      </c>
      <c r="L56" s="4" t="inlineStr">
        <is>
          <t>1111115229</t>
        </is>
      </c>
    </row>
    <row r="57">
      <c r="A57" s="10" t="n">
        <v>54</v>
      </c>
      <c r="B57" s="10" t="inlineStr">
        <is>
          <t>2026/09/20</t>
        </is>
      </c>
      <c r="C57" s="10" t="inlineStr">
        <is>
          <t>14</t>
        </is>
      </c>
      <c r="D57" s="10" t="inlineStr">
        <is>
          <t>تشكيله هندى امامى</t>
        </is>
      </c>
      <c r="E57" s="10" t="inlineStr">
        <is>
          <t>كيلو</t>
        </is>
      </c>
      <c r="F57" s="16" t="n">
        <v>80</v>
      </c>
      <c r="G57" s="17" t="n">
        <v>261</v>
      </c>
      <c r="H57" s="16" t="n">
        <v>20880</v>
      </c>
      <c r="I57" s="10" t="inlineStr">
        <is>
          <t>@مجمع اللحوم الهندى</t>
        </is>
      </c>
      <c r="J57" s="10" t="inlineStr">
        <is>
          <t>متوسطة</t>
        </is>
      </c>
      <c r="K57" s="10" t="inlineStr">
        <is>
          <t>نفس ربط الكود فى يوليو: لحوم هندى مجمَّعة: بنود (كتف/رقبه/سن/أرباع) بسعر يونيه موحَّد 253</t>
        </is>
      </c>
      <c r="L57" s="10" t="inlineStr">
        <is>
          <t>1111115243</t>
        </is>
      </c>
    </row>
    <row r="58">
      <c r="A58" s="4" t="n">
        <v>55</v>
      </c>
      <c r="B58" s="4" t="inlineStr">
        <is>
          <t>2026/09/20</t>
        </is>
      </c>
      <c r="C58" s="4" t="inlineStr">
        <is>
          <t>49</t>
        </is>
      </c>
      <c r="D58" s="4" t="inlineStr">
        <is>
          <t>دهن</t>
        </is>
      </c>
      <c r="E58" s="4" t="inlineStr">
        <is>
          <t>طبق</t>
        </is>
      </c>
      <c r="F58" s="5" t="n">
        <v>1185</v>
      </c>
      <c r="G58" s="6" t="n">
        <v>70</v>
      </c>
      <c r="H58" s="5" t="n">
        <v>82950</v>
      </c>
      <c r="I58" s="4" t="inlineStr">
        <is>
          <t>دهن بلدي</t>
        </is>
      </c>
      <c r="J58" s="4" t="inlineStr">
        <is>
          <t>عالية</t>
        </is>
      </c>
      <c r="K58" s="4" t="inlineStr">
        <is>
          <t>نفس ربط الكود فى يوليو: بند الدهن الوحيد بالجرد</t>
        </is>
      </c>
      <c r="L58" s="4" t="inlineStr">
        <is>
          <t>1111115263</t>
        </is>
      </c>
    </row>
    <row r="59">
      <c r="A59" s="10" t="n">
        <v>56</v>
      </c>
      <c r="B59" s="10" t="inlineStr">
        <is>
          <t>2026/09/20</t>
        </is>
      </c>
      <c r="C59" s="10" t="inlineStr">
        <is>
          <t>51</t>
        </is>
      </c>
      <c r="D59" s="10" t="inlineStr">
        <is>
          <t>صويا مصرى</t>
        </is>
      </c>
      <c r="E59" s="10" t="inlineStr">
        <is>
          <t>طبق</t>
        </is>
      </c>
      <c r="F59" s="16" t="n">
        <v>1000</v>
      </c>
      <c r="G59" s="17" t="n">
        <v>39</v>
      </c>
      <c r="H59" s="16" t="n">
        <v>39000</v>
      </c>
      <c r="I59" s="10" t="inlineStr">
        <is>
          <t>صويا لحمه</t>
        </is>
      </c>
      <c r="J59" s="10" t="inlineStr">
        <is>
          <t>متوسطة</t>
        </is>
      </c>
      <c r="K59" s="10" t="inlineStr">
        <is>
          <t>نفس ربط الكود فى يوليو: الصويا العامة تُحمَّل على «صويا لحمه» (سعر 32–40 ≈ 39.44) — نفس افتراض ملف يونيه</t>
        </is>
      </c>
      <c r="L59" s="10" t="inlineStr">
        <is>
          <t>1111115244</t>
        </is>
      </c>
    </row>
    <row r="60">
      <c r="A60" s="4" t="n">
        <v>57</v>
      </c>
      <c r="B60" s="4" t="inlineStr">
        <is>
          <t>2026/09/20</t>
        </is>
      </c>
      <c r="C60" s="4" t="inlineStr">
        <is>
          <t>334</t>
        </is>
      </c>
      <c r="D60" s="4" t="inlineStr">
        <is>
          <t>فلنك</t>
        </is>
      </c>
      <c r="E60" s="4" t="inlineStr">
        <is>
          <t>طبق</t>
        </is>
      </c>
      <c r="F60" s="5" t="n">
        <v>200</v>
      </c>
      <c r="G60" s="6" t="n">
        <v>210</v>
      </c>
      <c r="H60" s="5" t="n">
        <v>42000</v>
      </c>
      <c r="I60" s="4" t="inlineStr">
        <is>
          <t>فلانك</t>
        </is>
      </c>
      <c r="J60" s="4" t="inlineStr">
        <is>
          <t>عالية</t>
        </is>
      </c>
      <c r="K60" s="4" t="inlineStr">
        <is>
          <t>نفس ربط الكود فى يوليو: فرق إملائى فقط (فلنك/فلانك) + نفس نطاق السعر</t>
        </is>
      </c>
      <c r="L60" s="4" t="inlineStr">
        <is>
          <t>1111115245</t>
        </is>
      </c>
    </row>
    <row r="61">
      <c r="A61" s="10" t="n">
        <v>58</v>
      </c>
      <c r="B61" s="10" t="inlineStr">
        <is>
          <t>2026/09/21</t>
        </is>
      </c>
      <c r="C61" s="10" t="inlineStr">
        <is>
          <t>87</t>
        </is>
      </c>
      <c r="D61" s="10" t="inlineStr">
        <is>
          <t>جلتومات الصوديوم</t>
        </is>
      </c>
      <c r="E61" s="10" t="inlineStr">
        <is>
          <t>طبق</t>
        </is>
      </c>
      <c r="F61" s="16" t="n">
        <v>25</v>
      </c>
      <c r="G61" s="17" t="n">
        <v>132</v>
      </c>
      <c r="H61" s="16" t="n">
        <v>3300</v>
      </c>
      <c r="I61" s="10" t="inlineStr">
        <is>
          <t>جلتومات</t>
        </is>
      </c>
      <c r="J61" s="10" t="inlineStr">
        <is>
          <t>عالية</t>
        </is>
      </c>
      <c r="K61" s="10" t="inlineStr">
        <is>
          <t>نفس ربط الكود فى أغسطس: جلوتامات الصوديوم = «جلتومات/مونوصوديم» بالوصفات؛ سعر 88 مقابل 104.00 ليوليو | ⚠ جلتومات 25 كجم بسعر 132 مقابل 80 لسطر الشراء الآخر</t>
        </is>
      </c>
      <c r="L61" s="10" t="inlineStr">
        <is>
          <t>1111115249</t>
        </is>
      </c>
    </row>
    <row r="62">
      <c r="A62" s="4" t="n">
        <v>59</v>
      </c>
      <c r="B62" s="4" t="inlineStr">
        <is>
          <t>2026/09/21</t>
        </is>
      </c>
      <c r="C62" s="4" t="inlineStr">
        <is>
          <t>68</t>
        </is>
      </c>
      <c r="D62" s="4" t="inlineStr">
        <is>
          <t>شيكاره نشا</t>
        </is>
      </c>
      <c r="E62" s="4" t="inlineStr">
        <is>
          <t>طبق</t>
        </is>
      </c>
      <c r="F62" s="5" t="n">
        <v>1000</v>
      </c>
      <c r="G62" s="6" t="n">
        <v>28.5</v>
      </c>
      <c r="H62" s="5" t="n">
        <v>28500</v>
      </c>
      <c r="I62" s="4" t="inlineStr">
        <is>
          <t>نشا</t>
        </is>
      </c>
      <c r="J62" s="4" t="inlineStr">
        <is>
          <t>عالية</t>
        </is>
      </c>
      <c r="K62" s="4" t="inlineStr">
        <is>
          <t>شيكارة نشا = «نشا»؛ سعر 28.5 = سعر كود 191 فى نفس الشهر</t>
        </is>
      </c>
      <c r="L62" s="4" t="inlineStr">
        <is>
          <t>1111115255</t>
        </is>
      </c>
    </row>
    <row r="63">
      <c r="A63" s="4" t="n">
        <v>60</v>
      </c>
      <c r="B63" s="4" t="inlineStr">
        <is>
          <t>2026/09/21</t>
        </is>
      </c>
      <c r="C63" s="4" t="inlineStr">
        <is>
          <t>16</t>
        </is>
      </c>
      <c r="D63" s="4" t="inlineStr">
        <is>
          <t>كرتونه كبده امريكى</t>
        </is>
      </c>
      <c r="E63" s="4" t="inlineStr">
        <is>
          <t>كيلو</t>
        </is>
      </c>
      <c r="F63" s="5" t="n">
        <v>173.09</v>
      </c>
      <c r="G63" s="6" t="n">
        <v>165</v>
      </c>
      <c r="H63" s="5" t="n">
        <v>28560.51</v>
      </c>
      <c r="I63" s="4" t="inlineStr">
        <is>
          <t>كبده</t>
        </is>
      </c>
      <c r="J63" s="4" t="inlineStr">
        <is>
          <t>عالية</t>
        </is>
      </c>
      <c r="K63" s="4" t="inlineStr">
        <is>
          <t>نفس ربط الكود فى يوليو: بند الكبدة الوحيد بالجرد + سعر 158 ≈ 169.49 ليونيه</t>
        </is>
      </c>
      <c r="L63" s="4" t="inlineStr">
        <is>
          <t>1111115251</t>
        </is>
      </c>
    </row>
    <row r="64">
      <c r="A64" s="4" t="n">
        <v>61</v>
      </c>
      <c r="B64" s="4" t="inlineStr">
        <is>
          <t>2026/09/21</t>
        </is>
      </c>
      <c r="C64" s="4" t="inlineStr">
        <is>
          <t>38</t>
        </is>
      </c>
      <c r="D64" s="4" t="inlineStr">
        <is>
          <t>اطباق نص كيلو</t>
        </is>
      </c>
      <c r="E64" s="4" t="inlineStr">
        <is>
          <t>طبق</t>
        </is>
      </c>
      <c r="F64" s="5" t="n">
        <v>20000</v>
      </c>
      <c r="G64" s="6" t="n">
        <v>0.43</v>
      </c>
      <c r="H64" s="5" t="n">
        <v>8600</v>
      </c>
      <c r="I64" s="4" t="inlineStr">
        <is>
          <t>اطباق 1/2</t>
        </is>
      </c>
      <c r="J64" s="4" t="inlineStr">
        <is>
          <t>عالية</t>
        </is>
      </c>
      <c r="K64" s="4" t="inlineStr">
        <is>
          <t>نفس ربط الكود فى يوليو: طبق النصف كيلو = أطباق 1/2</t>
        </is>
      </c>
      <c r="L64" s="4" t="inlineStr">
        <is>
          <t>1111115252</t>
        </is>
      </c>
    </row>
    <row r="65">
      <c r="A65" s="4" t="n">
        <v>62</v>
      </c>
      <c r="B65" s="4" t="inlineStr">
        <is>
          <t>2026/09/21</t>
        </is>
      </c>
      <c r="C65" s="4" t="inlineStr">
        <is>
          <t>95445</t>
        </is>
      </c>
      <c r="D65" s="4" t="inlineStr">
        <is>
          <t>اطباق 4/3عام عام</t>
        </is>
      </c>
      <c r="E65" s="4" t="inlineStr">
        <is>
          <t>طبق</t>
        </is>
      </c>
      <c r="F65" s="5" t="n">
        <v>20000</v>
      </c>
      <c r="G65" s="6" t="n">
        <v>0.62</v>
      </c>
      <c r="H65" s="5" t="n">
        <v>12400</v>
      </c>
      <c r="I65" s="4" t="inlineStr">
        <is>
          <t>اطباق 3/4</t>
        </is>
      </c>
      <c r="J65" s="4" t="inlineStr">
        <is>
          <t>عالية</t>
        </is>
      </c>
      <c r="K65" s="4" t="inlineStr">
        <is>
          <t>نفس ربط الكود فى يوليو: تطابق اسمى تام</t>
        </is>
      </c>
      <c r="L65" s="4" t="inlineStr">
        <is>
          <t>1111115252</t>
        </is>
      </c>
    </row>
    <row r="66">
      <c r="A66" s="4" t="n">
        <v>63</v>
      </c>
      <c r="B66" s="4" t="inlineStr">
        <is>
          <t>2026/09/21</t>
        </is>
      </c>
      <c r="C66" s="4" t="inlineStr">
        <is>
          <t>50</t>
        </is>
      </c>
      <c r="D66" s="4" t="inlineStr">
        <is>
          <t>بصل</t>
        </is>
      </c>
      <c r="E66" s="4" t="inlineStr">
        <is>
          <t>طبق</t>
        </is>
      </c>
      <c r="F66" s="5" t="n">
        <v>990</v>
      </c>
      <c r="G66" s="6" t="n">
        <v>20</v>
      </c>
      <c r="H66" s="5" t="n">
        <v>19800</v>
      </c>
      <c r="I66" s="4" t="inlineStr">
        <is>
          <t>بصل</t>
        </is>
      </c>
      <c r="J66" s="4" t="inlineStr">
        <is>
          <t>عالية</t>
        </is>
      </c>
      <c r="K66" s="4" t="inlineStr">
        <is>
          <t>نفس ربط الكود فى يوليو: تطابق اسمى تام</t>
        </is>
      </c>
      <c r="L66" s="4" t="inlineStr">
        <is>
          <t>1111115259</t>
        </is>
      </c>
    </row>
    <row r="67">
      <c r="A67" s="4" t="n">
        <v>64</v>
      </c>
      <c r="B67" s="4" t="inlineStr">
        <is>
          <t>2026/09/21</t>
        </is>
      </c>
      <c r="C67" s="4" t="inlineStr">
        <is>
          <t>372</t>
        </is>
      </c>
      <c r="D67" s="4" t="inlineStr">
        <is>
          <t>مفروم فراخ C</t>
        </is>
      </c>
      <c r="E67" s="4" t="inlineStr">
        <is>
          <t>طبق</t>
        </is>
      </c>
      <c r="F67" s="5" t="n">
        <v>1500</v>
      </c>
      <c r="G67" s="6" t="n">
        <v>34</v>
      </c>
      <c r="H67" s="5" t="n">
        <v>51000</v>
      </c>
      <c r="I67" s="4" t="inlineStr">
        <is>
          <t>مفروم فراخ شعبي</t>
        </is>
      </c>
      <c r="J67" s="4" t="inlineStr">
        <is>
          <t>عالية</t>
        </is>
      </c>
      <c r="K67" s="4" t="inlineStr">
        <is>
          <t>نفس ربط الكود فى يوليو: الرتبة C = الدرجة الشعبية (سعر 28 مقابل 34.7 ليونيه)</t>
        </is>
      </c>
      <c r="L67" s="4" t="inlineStr">
        <is>
          <t>1111115260</t>
        </is>
      </c>
    </row>
    <row r="68">
      <c r="A68" s="4" t="n">
        <v>65</v>
      </c>
      <c r="B68" s="4" t="inlineStr">
        <is>
          <t>2026/09/22</t>
        </is>
      </c>
      <c r="C68" s="4" t="inlineStr">
        <is>
          <t>95</t>
        </is>
      </c>
      <c r="D68" s="4" t="inlineStr">
        <is>
          <t>هانك</t>
        </is>
      </c>
      <c r="E68" s="4" t="inlineStr">
        <is>
          <t>طبق</t>
        </is>
      </c>
      <c r="F68" s="5" t="n">
        <v>325</v>
      </c>
      <c r="G68" s="6" t="n">
        <v>250</v>
      </c>
      <c r="H68" s="5" t="n">
        <v>81250</v>
      </c>
      <c r="I68" s="4" t="inlineStr">
        <is>
          <t>هانك</t>
        </is>
      </c>
      <c r="J68" s="4" t="inlineStr">
        <is>
          <t>عالية</t>
        </is>
      </c>
      <c r="K68" s="4" t="inlineStr">
        <is>
          <t>نفس ربط الكود فى يوليو: تطابق اسمى تام</t>
        </is>
      </c>
      <c r="L68" s="4" t="inlineStr">
        <is>
          <t>1111115233</t>
        </is>
      </c>
    </row>
    <row r="69">
      <c r="A69" s="4" t="n">
        <v>66</v>
      </c>
      <c r="B69" s="4" t="inlineStr">
        <is>
          <t>2026/09/24</t>
        </is>
      </c>
      <c r="C69" s="4" t="inlineStr">
        <is>
          <t>87</t>
        </is>
      </c>
      <c r="D69" s="4" t="inlineStr">
        <is>
          <t>جلتومات الصوديوم</t>
        </is>
      </c>
      <c r="E69" s="4" t="inlineStr">
        <is>
          <t>طبق</t>
        </is>
      </c>
      <c r="F69" s="5" t="n">
        <v>250</v>
      </c>
      <c r="G69" s="6" t="n">
        <v>80</v>
      </c>
      <c r="H69" s="5" t="n">
        <v>20000</v>
      </c>
      <c r="I69" s="4" t="inlineStr">
        <is>
          <t>جلتومات</t>
        </is>
      </c>
      <c r="J69" s="4" t="inlineStr">
        <is>
          <t>عالية</t>
        </is>
      </c>
      <c r="K69" s="4" t="inlineStr">
        <is>
          <t>نفس ربط الكود فى أغسطس: جلوتامات الصوديوم = «جلتومات/مونوصوديم» بالوصفات؛ سعر 88 مقابل 104.00 ليوليو</t>
        </is>
      </c>
      <c r="L69" s="4" t="inlineStr">
        <is>
          <t>1111115261</t>
        </is>
      </c>
    </row>
    <row r="70">
      <c r="A70" s="4" t="n">
        <v>67</v>
      </c>
      <c r="B70" s="4" t="inlineStr">
        <is>
          <t>2026/09/24</t>
        </is>
      </c>
      <c r="C70" s="4" t="inlineStr">
        <is>
          <t>78</t>
        </is>
      </c>
      <c r="D70" s="4" t="inlineStr">
        <is>
          <t>فوسفات</t>
        </is>
      </c>
      <c r="E70" s="4" t="inlineStr">
        <is>
          <t>طبق</t>
        </is>
      </c>
      <c r="F70" s="5" t="n">
        <v>250</v>
      </c>
      <c r="G70" s="6" t="n">
        <v>150</v>
      </c>
      <c r="H70" s="5" t="n">
        <v>37500</v>
      </c>
      <c r="I70" s="4" t="inlineStr">
        <is>
          <t>فوسفات</t>
        </is>
      </c>
      <c r="J70" s="4" t="inlineStr">
        <is>
          <t>عالية</t>
        </is>
      </c>
      <c r="K70" s="4" t="inlineStr">
        <is>
          <t>نفس ربط الكود فى أغسطس: تطابق اسمى تام</t>
        </is>
      </c>
      <c r="L70" s="4" t="inlineStr">
        <is>
          <t>1111115261</t>
        </is>
      </c>
    </row>
    <row r="71">
      <c r="A71" s="4" t="n">
        <v>68</v>
      </c>
      <c r="B71" s="4" t="inlineStr">
        <is>
          <t>2026/09/24</t>
        </is>
      </c>
      <c r="C71" s="4" t="inlineStr">
        <is>
          <t>77</t>
        </is>
      </c>
      <c r="D71" s="4" t="inlineStr">
        <is>
          <t>صويا ايزوليت</t>
        </is>
      </c>
      <c r="E71" s="4" t="inlineStr">
        <is>
          <t>طبق</t>
        </is>
      </c>
      <c r="F71" s="5" t="n">
        <v>260</v>
      </c>
      <c r="G71" s="6" t="n">
        <v>165</v>
      </c>
      <c r="H71" s="5" t="n">
        <v>42900</v>
      </c>
      <c r="I71" s="4" t="inlineStr">
        <is>
          <t>صويا اوزيليت</t>
        </is>
      </c>
      <c r="J71" s="4" t="inlineStr">
        <is>
          <t>عالية</t>
        </is>
      </c>
      <c r="K71" s="4" t="inlineStr">
        <is>
          <t>نفس ربط الكود فى يوليو: فرق إملائى فقط (Isolate)</t>
        </is>
      </c>
      <c r="L71" s="4" t="inlineStr">
        <is>
          <t>1111115261</t>
        </is>
      </c>
    </row>
    <row r="72">
      <c r="A72" s="10" t="n">
        <v>69</v>
      </c>
      <c r="B72" s="10" t="inlineStr">
        <is>
          <t>2026/09/24</t>
        </is>
      </c>
      <c r="C72" s="10" t="inlineStr">
        <is>
          <t>51</t>
        </is>
      </c>
      <c r="D72" s="10" t="inlineStr">
        <is>
          <t>صويا مصرى</t>
        </is>
      </c>
      <c r="E72" s="10" t="inlineStr">
        <is>
          <t>طبق</t>
        </is>
      </c>
      <c r="F72" s="16" t="n">
        <v>1000</v>
      </c>
      <c r="G72" s="17" t="n">
        <v>39</v>
      </c>
      <c r="H72" s="16" t="n">
        <v>39000</v>
      </c>
      <c r="I72" s="10" t="inlineStr">
        <is>
          <t>صويا لحمه</t>
        </is>
      </c>
      <c r="J72" s="10" t="inlineStr">
        <is>
          <t>متوسطة</t>
        </is>
      </c>
      <c r="K72" s="10" t="inlineStr">
        <is>
          <t>نفس ربط الكود فى يوليو: الصويا العامة تُحمَّل على «صويا لحمه» (سعر 32–40 ≈ 39.44) — نفس افتراض ملف يونيه</t>
        </is>
      </c>
      <c r="L72" s="10" t="inlineStr">
        <is>
          <t>1111115256</t>
        </is>
      </c>
    </row>
    <row r="73">
      <c r="A73" s="10" t="n">
        <v>70</v>
      </c>
      <c r="B73" s="10" t="inlineStr">
        <is>
          <t>2026/09/24</t>
        </is>
      </c>
      <c r="C73" s="10" t="inlineStr">
        <is>
          <t>154</t>
        </is>
      </c>
      <c r="D73" s="10" t="inlineStr">
        <is>
          <t>فلفل اخضر عام عام</t>
        </is>
      </c>
      <c r="E73" s="10" t="inlineStr">
        <is>
          <t>طبق</t>
        </is>
      </c>
      <c r="F73" s="16" t="n">
        <v>725</v>
      </c>
      <c r="G73" s="17" t="n">
        <v>11</v>
      </c>
      <c r="H73" s="16" t="n">
        <v>7975</v>
      </c>
      <c r="I73" s="10" t="inlineStr">
        <is>
          <t>فلفل بارد</t>
        </is>
      </c>
      <c r="J73" s="10" t="inlineStr">
        <is>
          <t>متوسطة</t>
        </is>
      </c>
      <c r="K73" s="10" t="inlineStr">
        <is>
          <t>نفس ربط الكود فى يوليو: الفلفل الأخضر غير الحار = «البارد»؛ سعر 12–14 ≈ 14.92 ليونيه</t>
        </is>
      </c>
      <c r="L73" s="10" t="inlineStr">
        <is>
          <t>1111115257</t>
        </is>
      </c>
    </row>
    <row r="74">
      <c r="A74" s="10" t="n">
        <v>71</v>
      </c>
      <c r="B74" s="10" t="inlineStr">
        <is>
          <t>2026/09/24</t>
        </is>
      </c>
      <c r="C74" s="10" t="inlineStr">
        <is>
          <t>344</t>
        </is>
      </c>
      <c r="D74" s="10" t="inlineStr">
        <is>
          <t>فلفل حامى</t>
        </is>
      </c>
      <c r="E74" s="10" t="inlineStr">
        <is>
          <t>طبق</t>
        </is>
      </c>
      <c r="F74" s="16" t="n">
        <v>100</v>
      </c>
      <c r="G74" s="17" t="n">
        <v>9</v>
      </c>
      <c r="H74" s="16" t="n">
        <v>900</v>
      </c>
      <c r="I74" s="10" t="inlineStr">
        <is>
          <t>فلفل رومي حامي</t>
        </is>
      </c>
      <c r="J74" s="10" t="inlineStr">
        <is>
          <t>متوسطة</t>
        </is>
      </c>
      <c r="K74" s="10" t="inlineStr">
        <is>
          <t>فلفل حامى = عائلة الفلفل الحار الوحيدة بالجرد (نفس معالجة «فلفل احمر» كود 187)</t>
        </is>
      </c>
      <c r="L74" s="10" t="inlineStr">
        <is>
          <t>1111115257</t>
        </is>
      </c>
    </row>
    <row r="75">
      <c r="A75" s="4" t="n">
        <v>72</v>
      </c>
      <c r="B75" s="4" t="inlineStr">
        <is>
          <t>2026/09/24</t>
        </is>
      </c>
      <c r="C75" s="4" t="inlineStr">
        <is>
          <t>334</t>
        </is>
      </c>
      <c r="D75" s="4" t="inlineStr">
        <is>
          <t>فلنك</t>
        </is>
      </c>
      <c r="E75" s="4" t="inlineStr">
        <is>
          <t>طبق</t>
        </is>
      </c>
      <c r="F75" s="5" t="n">
        <v>200</v>
      </c>
      <c r="G75" s="6" t="n">
        <v>212</v>
      </c>
      <c r="H75" s="5" t="n">
        <v>42400</v>
      </c>
      <c r="I75" s="4" t="inlineStr">
        <is>
          <t>فلانك</t>
        </is>
      </c>
      <c r="J75" s="4" t="inlineStr">
        <is>
          <t>عالية</t>
        </is>
      </c>
      <c r="K75" s="4" t="inlineStr">
        <is>
          <t>نفس ربط الكود فى يوليو: فرق إملائى فقط (فلنك/فلانك) + نفس نطاق السعر</t>
        </is>
      </c>
      <c r="L75" s="4" t="inlineStr">
        <is>
          <t>1111115258</t>
        </is>
      </c>
    </row>
    <row r="76">
      <c r="A76" s="10" t="n">
        <v>73</v>
      </c>
      <c r="B76" s="10" t="inlineStr">
        <is>
          <t>2026/09/24</t>
        </is>
      </c>
      <c r="C76" s="10" t="inlineStr">
        <is>
          <t>371</t>
        </is>
      </c>
      <c r="D76" s="10" t="inlineStr">
        <is>
          <t>مفروم فراخ B</t>
        </is>
      </c>
      <c r="E76" s="10" t="inlineStr">
        <is>
          <t>طبق</t>
        </is>
      </c>
      <c r="F76" s="16" t="n">
        <v>1800</v>
      </c>
      <c r="G76" s="17" t="n">
        <v>34</v>
      </c>
      <c r="H76" s="16" t="n">
        <v>61200</v>
      </c>
      <c r="I76" s="10" t="inlineStr">
        <is>
          <t>مفروم فراخ شعبي</t>
        </is>
      </c>
      <c r="J76" s="10" t="inlineStr">
        <is>
          <t>متوسطة</t>
        </is>
      </c>
      <c r="K76" s="10" t="inlineStr">
        <is>
          <t>الرتبة B غير موجودة بالجرد؛ سعرها 34 داخل نطاق الرتبة C (30–35) فحُمّلت على «شعبي» — يُراجَع</t>
        </is>
      </c>
      <c r="L76" s="10" t="inlineStr">
        <is>
          <t>1111115232</t>
        </is>
      </c>
    </row>
    <row r="77">
      <c r="A77" s="4" t="n">
        <v>74</v>
      </c>
      <c r="B77" s="4" t="inlineStr">
        <is>
          <t>2026/09/27</t>
        </is>
      </c>
      <c r="C77" s="4" t="inlineStr">
        <is>
          <t>188</t>
        </is>
      </c>
      <c r="D77" s="4" t="inlineStr">
        <is>
          <t>برغل</t>
        </is>
      </c>
      <c r="E77" s="4" t="inlineStr">
        <is>
          <t>طبق</t>
        </is>
      </c>
      <c r="F77" s="5" t="n">
        <v>2000</v>
      </c>
      <c r="G77" s="6" t="n">
        <v>21.5</v>
      </c>
      <c r="H77" s="5" t="n">
        <v>43000</v>
      </c>
      <c r="I77" s="4" t="inlineStr">
        <is>
          <t>برغل</t>
        </is>
      </c>
      <c r="J77" s="4" t="inlineStr">
        <is>
          <t>عالية</t>
        </is>
      </c>
      <c r="K77" s="4" t="inlineStr">
        <is>
          <t>نفس ربط الكود فى يوليو: تطابق اسمى + سعر يونيه 21.3641 ≈ سعر الشراء 21.50</t>
        </is>
      </c>
      <c r="L77" s="4" t="inlineStr">
        <is>
          <t>1111115240</t>
        </is>
      </c>
    </row>
    <row r="78">
      <c r="A78" s="4" t="n">
        <v>75</v>
      </c>
      <c r="B78" s="4" t="inlineStr">
        <is>
          <t>2026/09/27</t>
        </is>
      </c>
      <c r="C78" s="4" t="inlineStr">
        <is>
          <t>49</t>
        </is>
      </c>
      <c r="D78" s="4" t="inlineStr">
        <is>
          <t>دهن</t>
        </is>
      </c>
      <c r="E78" s="4" t="inlineStr">
        <is>
          <t>طبق</t>
        </is>
      </c>
      <c r="F78" s="5" t="n">
        <v>765</v>
      </c>
      <c r="G78" s="6" t="n">
        <v>75</v>
      </c>
      <c r="H78" s="5" t="n">
        <v>57375</v>
      </c>
      <c r="I78" s="4" t="inlineStr">
        <is>
          <t>دهن بلدي</t>
        </is>
      </c>
      <c r="J78" s="4" t="inlineStr">
        <is>
          <t>عالية</t>
        </is>
      </c>
      <c r="K78" s="4" t="inlineStr">
        <is>
          <t>نفس ربط الكود فى يوليو: بند الدهن الوحيد بالجرد</t>
        </is>
      </c>
      <c r="L78" s="4" t="inlineStr">
        <is>
          <t>1111115246</t>
        </is>
      </c>
    </row>
    <row r="79">
      <c r="A79" s="10" t="n">
        <v>76</v>
      </c>
      <c r="B79" s="10" t="inlineStr">
        <is>
          <t>2026/09/27</t>
        </is>
      </c>
      <c r="C79" s="10" t="inlineStr">
        <is>
          <t>190</t>
        </is>
      </c>
      <c r="D79" s="10" t="inlineStr">
        <is>
          <t>صميد</t>
        </is>
      </c>
      <c r="E79" s="10" t="inlineStr">
        <is>
          <t>طبق</t>
        </is>
      </c>
      <c r="F79" s="16" t="n">
        <v>50</v>
      </c>
      <c r="G79" s="17" t="n">
        <v>26.4</v>
      </c>
      <c r="H79" s="16" t="n">
        <v>1320</v>
      </c>
      <c r="I79" s="10" t="inlineStr">
        <is>
          <t>صميد</t>
        </is>
      </c>
      <c r="J79" s="10" t="inlineStr">
        <is>
          <t>عالية</t>
        </is>
      </c>
      <c r="K79" s="10" t="inlineStr">
        <is>
          <t>نفس ربط الكود فى يوليو: تطابق اسمى تام | ⚠ صميد 50 كجم بسعر 26.40 مقابل 16.25–17.00 لباقى الأسطر</t>
        </is>
      </c>
      <c r="L79" s="10" t="inlineStr">
        <is>
          <t>1111115247</t>
        </is>
      </c>
    </row>
    <row r="80">
      <c r="A80" s="4" t="n">
        <v>77</v>
      </c>
      <c r="B80" s="4" t="inlineStr">
        <is>
          <t>2026/09/27</t>
        </is>
      </c>
      <c r="C80" s="4" t="inlineStr">
        <is>
          <t>189</t>
        </is>
      </c>
      <c r="D80" s="4" t="inlineStr">
        <is>
          <t>ملح</t>
        </is>
      </c>
      <c r="E80" s="4" t="inlineStr">
        <is>
          <t>طبق</t>
        </is>
      </c>
      <c r="F80" s="5" t="n">
        <v>100</v>
      </c>
      <c r="G80" s="6" t="n">
        <v>3</v>
      </c>
      <c r="H80" s="5" t="n">
        <v>300</v>
      </c>
      <c r="I80" s="4" t="inlineStr">
        <is>
          <t>الملح</t>
        </is>
      </c>
      <c r="J80" s="4" t="inlineStr">
        <is>
          <t>عالية</t>
        </is>
      </c>
      <c r="K80" s="4" t="inlineStr">
        <is>
          <t>تطابق اسمى؛ سعر 2.3–3.0 ≈ 2.06 لأغسطس</t>
        </is>
      </c>
      <c r="L80" s="4" t="inlineStr">
        <is>
          <t>1111115264</t>
        </is>
      </c>
    </row>
    <row r="81">
      <c r="A81" s="4" t="n">
        <v>78</v>
      </c>
      <c r="B81" s="4" t="inlineStr">
        <is>
          <t>2026/09/27</t>
        </is>
      </c>
      <c r="C81" s="4" t="inlineStr">
        <is>
          <t>189</t>
        </is>
      </c>
      <c r="D81" s="4" t="inlineStr">
        <is>
          <t>ملح</t>
        </is>
      </c>
      <c r="E81" s="4" t="inlineStr">
        <is>
          <t>طبق</t>
        </is>
      </c>
      <c r="F81" s="5" t="n">
        <v>2000</v>
      </c>
      <c r="G81" s="6" t="n">
        <v>2.3</v>
      </c>
      <c r="H81" s="5" t="n">
        <v>4600</v>
      </c>
      <c r="I81" s="4" t="inlineStr">
        <is>
          <t>الملح</t>
        </is>
      </c>
      <c r="J81" s="4" t="inlineStr">
        <is>
          <t>عالية</t>
        </is>
      </c>
      <c r="K81" s="4" t="inlineStr">
        <is>
          <t>تطابق اسمى؛ سعر 2.3–3.0 ≈ 2.06 لأغسطس</t>
        </is>
      </c>
      <c r="L81" s="4" t="inlineStr">
        <is>
          <t>1111115265</t>
        </is>
      </c>
    </row>
    <row r="82">
      <c r="A82" s="4" t="n">
        <v>79</v>
      </c>
      <c r="B82" s="4" t="inlineStr">
        <is>
          <t>2026/09/28</t>
        </is>
      </c>
      <c r="C82" s="4" t="inlineStr">
        <is>
          <t>351</t>
        </is>
      </c>
      <c r="D82" s="4" t="inlineStr">
        <is>
          <t>علب ثلجة اسود</t>
        </is>
      </c>
      <c r="E82" s="4" t="inlineStr">
        <is>
          <t>طبق</t>
        </is>
      </c>
      <c r="F82" s="5" t="n">
        <v>1500</v>
      </c>
      <c r="G82" s="6" t="n">
        <v>4.33</v>
      </c>
      <c r="H82" s="5" t="n">
        <v>6495</v>
      </c>
      <c r="I82" s="4" t="inlineStr">
        <is>
          <t>علب سوداء</t>
        </is>
      </c>
      <c r="J82" s="4" t="inlineStr">
        <is>
          <t>عالية</t>
        </is>
      </c>
      <c r="K82" s="4" t="inlineStr">
        <is>
          <t>نفس ربط الكود فى يوليو: العلب السوداء (ثلجة) — بند واحد بالجرد</t>
        </is>
      </c>
      <c r="L82" s="4" t="inlineStr">
        <is>
          <t>1111115262</t>
        </is>
      </c>
    </row>
    <row r="83">
      <c r="A83" s="4" t="n">
        <v>80</v>
      </c>
      <c r="B83" s="4" t="inlineStr">
        <is>
          <t>2026/09/28</t>
        </is>
      </c>
      <c r="C83" s="4" t="inlineStr">
        <is>
          <t>50</t>
        </is>
      </c>
      <c r="D83" s="4" t="inlineStr">
        <is>
          <t>بصل</t>
        </is>
      </c>
      <c r="E83" s="4" t="inlineStr">
        <is>
          <t>طبق</t>
        </is>
      </c>
      <c r="F83" s="5" t="n">
        <v>2265</v>
      </c>
      <c r="G83" s="6" t="n">
        <v>20</v>
      </c>
      <c r="H83" s="5" t="n">
        <v>45300</v>
      </c>
      <c r="I83" s="4" t="inlineStr">
        <is>
          <t>بصل</t>
        </is>
      </c>
      <c r="J83" s="4" t="inlineStr">
        <is>
          <t>عالية</t>
        </is>
      </c>
      <c r="K83" s="4" t="inlineStr">
        <is>
          <t>نفس ربط الكود فى يوليو: تطابق اسمى تام</t>
        </is>
      </c>
      <c r="L83" s="4" t="inlineStr">
        <is>
          <t>1111115281</t>
        </is>
      </c>
    </row>
    <row r="84">
      <c r="A84" s="4" t="n">
        <v>81</v>
      </c>
      <c r="B84" s="4" t="inlineStr">
        <is>
          <t>2026/09/28</t>
        </is>
      </c>
      <c r="C84" s="4" t="inlineStr">
        <is>
          <t>190</t>
        </is>
      </c>
      <c r="D84" s="4" t="inlineStr">
        <is>
          <t>صميد</t>
        </is>
      </c>
      <c r="E84" s="4" t="inlineStr">
        <is>
          <t>طبق</t>
        </is>
      </c>
      <c r="F84" s="5" t="n">
        <v>2000</v>
      </c>
      <c r="G84" s="6" t="n">
        <v>17</v>
      </c>
      <c r="H84" s="5" t="n">
        <v>34000</v>
      </c>
      <c r="I84" s="4" t="inlineStr">
        <is>
          <t>صميد</t>
        </is>
      </c>
      <c r="J84" s="4" t="inlineStr">
        <is>
          <t>عالية</t>
        </is>
      </c>
      <c r="K84" s="4" t="inlineStr">
        <is>
          <t>نفس ربط الكود فى يوليو: تطابق اسمى تام</t>
        </is>
      </c>
      <c r="L84" s="4" t="inlineStr">
        <is>
          <t>1111115242</t>
        </is>
      </c>
    </row>
    <row r="85">
      <c r="A85" s="4" t="n">
        <v>82</v>
      </c>
      <c r="B85" s="4" t="inlineStr">
        <is>
          <t>2026/09/28</t>
        </is>
      </c>
      <c r="C85" s="4" t="inlineStr">
        <is>
          <t>372</t>
        </is>
      </c>
      <c r="D85" s="4" t="inlineStr">
        <is>
          <t>مفروم فراخ C</t>
        </is>
      </c>
      <c r="E85" s="4" t="inlineStr">
        <is>
          <t>طبق</t>
        </is>
      </c>
      <c r="F85" s="5" t="n">
        <v>1500</v>
      </c>
      <c r="G85" s="6" t="n">
        <v>34</v>
      </c>
      <c r="H85" s="5" t="n">
        <v>51000</v>
      </c>
      <c r="I85" s="4" t="inlineStr">
        <is>
          <t>مفروم فراخ شعبي</t>
        </is>
      </c>
      <c r="J85" s="4" t="inlineStr">
        <is>
          <t>عالية</t>
        </is>
      </c>
      <c r="K85" s="4" t="inlineStr">
        <is>
          <t>نفس ربط الكود فى يوليو: الرتبة C = الدرجة الشعبية (سعر 28 مقابل 34.7 ليونيه)</t>
        </is>
      </c>
      <c r="L85" s="4" t="inlineStr">
        <is>
          <t>1111115248</t>
        </is>
      </c>
    </row>
    <row r="86">
      <c r="A86" s="4" t="n">
        <v>83</v>
      </c>
      <c r="B86" s="4" t="inlineStr">
        <is>
          <t>2026/09/28</t>
        </is>
      </c>
      <c r="C86" s="4" t="inlineStr">
        <is>
          <t>370</t>
        </is>
      </c>
      <c r="D86" s="4" t="inlineStr">
        <is>
          <t>مفروم فراخ A</t>
        </is>
      </c>
      <c r="E86" s="4" t="inlineStr">
        <is>
          <t>طبق</t>
        </is>
      </c>
      <c r="F86" s="5" t="n">
        <v>300</v>
      </c>
      <c r="G86" s="6" t="n">
        <v>60</v>
      </c>
      <c r="H86" s="5" t="n">
        <v>18000</v>
      </c>
      <c r="I86" s="4" t="inlineStr">
        <is>
          <t>مفروم فراخ فاخر</t>
        </is>
      </c>
      <c r="J86" s="4" t="inlineStr">
        <is>
          <t>عالية</t>
        </is>
      </c>
      <c r="K86" s="4" t="inlineStr">
        <is>
          <t>نفس ربط الكود فى يوليو: الرتبة A = الدرجة الفاخرة (سعر 55–57 ≈ 58.50 ليونيه)</t>
        </is>
      </c>
      <c r="L86" s="4" t="inlineStr">
        <is>
          <t>1111115248</t>
        </is>
      </c>
    </row>
    <row r="87">
      <c r="A87" s="4" t="n">
        <v>84</v>
      </c>
      <c r="B87" s="4" t="inlineStr">
        <is>
          <t>2026/09/29</t>
        </is>
      </c>
      <c r="C87" s="4" t="inlineStr">
        <is>
          <t>16</t>
        </is>
      </c>
      <c r="D87" s="4" t="inlineStr">
        <is>
          <t>كرتونه كبده امريكى</t>
        </is>
      </c>
      <c r="E87" s="4" t="inlineStr">
        <is>
          <t>كيلو</t>
        </is>
      </c>
      <c r="F87" s="5" t="n">
        <v>169.4</v>
      </c>
      <c r="G87" s="6" t="n">
        <v>175</v>
      </c>
      <c r="H87" s="5" t="n">
        <v>29644.3</v>
      </c>
      <c r="I87" s="4" t="inlineStr">
        <is>
          <t>كبده</t>
        </is>
      </c>
      <c r="J87" s="4" t="inlineStr">
        <is>
          <t>عالية</t>
        </is>
      </c>
      <c r="K87" s="4" t="inlineStr">
        <is>
          <t>نفس ربط الكود فى يوليو: بند الكبدة الوحيد بالجرد + سعر 158 ≈ 169.49 ليونيه</t>
        </is>
      </c>
      <c r="L87" s="4" t="inlineStr">
        <is>
          <t>1111115253</t>
        </is>
      </c>
    </row>
    <row r="88">
      <c r="A88" s="10" t="n">
        <v>85</v>
      </c>
      <c r="B88" s="10" t="inlineStr">
        <is>
          <t>2026/09/29</t>
        </is>
      </c>
      <c r="C88" s="10" t="inlineStr">
        <is>
          <t>442</t>
        </is>
      </c>
      <c r="D88" s="10" t="inlineStr">
        <is>
          <t>اكياس تغليف مقطعات 5ك</t>
        </is>
      </c>
      <c r="E88" s="10" t="inlineStr">
        <is>
          <t>كيلو</t>
        </is>
      </c>
      <c r="F88" s="16" t="n">
        <v>113.7</v>
      </c>
      <c r="G88" s="17" t="n">
        <v>124.97</v>
      </c>
      <c r="H88" s="16" t="n">
        <v>14209.09</v>
      </c>
      <c r="I88" s="10" t="inlineStr">
        <is>
          <t>— بلا مقابل —</t>
        </is>
      </c>
      <c r="J88" s="10" t="inlineStr">
        <is>
          <t>—</t>
        </is>
      </c>
      <c r="K88" s="10" t="inlineStr">
        <is>
          <t>أكياس تغليف «مقطعات» 5 ك — لا يوجد بند مقابل بالجرد (أكياس 5 ك الموجودة مخصصة لسجق/بانيه/عجينة) — لم تُحمَّل</t>
        </is>
      </c>
      <c r="L88" s="10" t="inlineStr">
        <is>
          <t>1111115254</t>
        </is>
      </c>
    </row>
    <row r="89">
      <c r="A89" s="4" t="n">
        <v>86</v>
      </c>
      <c r="B89" s="4" t="inlineStr">
        <is>
          <t>2026/09/29</t>
        </is>
      </c>
      <c r="C89" s="4" t="inlineStr">
        <is>
          <t>334</t>
        </is>
      </c>
      <c r="D89" s="4" t="inlineStr">
        <is>
          <t>فلنك</t>
        </is>
      </c>
      <c r="E89" s="4" t="inlineStr">
        <is>
          <t>طبق</t>
        </is>
      </c>
      <c r="F89" s="5" t="n">
        <v>200</v>
      </c>
      <c r="G89" s="6" t="n">
        <v>215</v>
      </c>
      <c r="H89" s="5" t="n">
        <v>43000</v>
      </c>
      <c r="I89" s="4" t="inlineStr">
        <is>
          <t>فلانك</t>
        </is>
      </c>
      <c r="J89" s="4" t="inlineStr">
        <is>
          <t>عالية</t>
        </is>
      </c>
      <c r="K89" s="4" t="inlineStr">
        <is>
          <t>نفس ربط الكود فى يوليو: فرق إملائى فقط (فلنك/فلانك) + نفس نطاق السعر</t>
        </is>
      </c>
      <c r="L89" s="4" t="inlineStr">
        <is>
          <t>1111115253</t>
        </is>
      </c>
    </row>
    <row r="90">
      <c r="A90" s="10" t="n">
        <v>87</v>
      </c>
      <c r="B90" s="10" t="inlineStr">
        <is>
          <t>2026/09/29</t>
        </is>
      </c>
      <c r="C90" s="10" t="inlineStr">
        <is>
          <t>14</t>
        </is>
      </c>
      <c r="D90" s="10" t="inlineStr">
        <is>
          <t>تشكيله هندى امامى</t>
        </is>
      </c>
      <c r="E90" s="10" t="inlineStr">
        <is>
          <t>كيلو</t>
        </is>
      </c>
      <c r="F90" s="16" t="n">
        <v>80</v>
      </c>
      <c r="G90" s="17" t="n">
        <v>262</v>
      </c>
      <c r="H90" s="16" t="n">
        <v>20960</v>
      </c>
      <c r="I90" s="10" t="inlineStr">
        <is>
          <t>@مجمع اللحوم الهندى</t>
        </is>
      </c>
      <c r="J90" s="10" t="inlineStr">
        <is>
          <t>متوسطة</t>
        </is>
      </c>
      <c r="K90" s="10" t="inlineStr">
        <is>
          <t>نفس ربط الكود فى يوليو: لحوم هندى مجمَّعة: بنود (كتف/رقبه/سن/أرباع) بسعر يونيه موحَّد 253</t>
        </is>
      </c>
      <c r="L90" s="10" t="inlineStr">
        <is>
          <t>1111115253</t>
        </is>
      </c>
    </row>
    <row r="91">
      <c r="A91" s="4" t="n">
        <v>88</v>
      </c>
      <c r="B91" s="4" t="inlineStr">
        <is>
          <t>2026/09/30</t>
        </is>
      </c>
      <c r="C91" s="4" t="inlineStr">
        <is>
          <t>38</t>
        </is>
      </c>
      <c r="D91" s="4" t="inlineStr">
        <is>
          <t>اطباق نص كيلو</t>
        </is>
      </c>
      <c r="E91" s="4" t="inlineStr">
        <is>
          <t>طبق</t>
        </is>
      </c>
      <c r="F91" s="5" t="n">
        <v>25000</v>
      </c>
      <c r="G91" s="6" t="n">
        <v>0.51</v>
      </c>
      <c r="H91" s="5" t="n">
        <v>12750</v>
      </c>
      <c r="I91" s="4" t="inlineStr">
        <is>
          <t>اطباق 1/2</t>
        </is>
      </c>
      <c r="J91" s="4" t="inlineStr">
        <is>
          <t>عالية</t>
        </is>
      </c>
      <c r="K91" s="4" t="inlineStr">
        <is>
          <t>نفس ربط الكود فى يوليو: طبق النصف كيلو = أطباق 1/2</t>
        </is>
      </c>
      <c r="L91" s="4" t="inlineStr">
        <is>
          <t>1111115274</t>
        </is>
      </c>
    </row>
    <row r="92">
      <c r="A92" s="4" t="n">
        <v>89</v>
      </c>
      <c r="B92" s="4" t="inlineStr">
        <is>
          <t>2026/09/30</t>
        </is>
      </c>
      <c r="C92" s="4" t="inlineStr">
        <is>
          <t>95445</t>
        </is>
      </c>
      <c r="D92" s="4" t="inlineStr">
        <is>
          <t>اطباق 4/3عام عام</t>
        </is>
      </c>
      <c r="E92" s="4" t="inlineStr">
        <is>
          <t>طبق</t>
        </is>
      </c>
      <c r="F92" s="5" t="n">
        <v>20000</v>
      </c>
      <c r="G92" s="6" t="n">
        <v>0.7</v>
      </c>
      <c r="H92" s="5" t="n">
        <v>14000</v>
      </c>
      <c r="I92" s="4" t="inlineStr">
        <is>
          <t>اطباق 3/4</t>
        </is>
      </c>
      <c r="J92" s="4" t="inlineStr">
        <is>
          <t>عالية</t>
        </is>
      </c>
      <c r="K92" s="4" t="inlineStr">
        <is>
          <t>نفس ربط الكود فى يوليو: تطابق اسمى تام</t>
        </is>
      </c>
      <c r="L92" s="4" t="inlineStr">
        <is>
          <t>1111115274</t>
        </is>
      </c>
    </row>
    <row r="94">
      <c r="D94" s="12" t="inlineStr">
        <is>
          <t>إجمالى مشتريات سبتمبر</t>
        </is>
      </c>
      <c r="H94" s="13">
        <f>SUM(H4:H92)</f>
        <v/>
      </c>
    </row>
    <row r="95">
      <c r="D95" s="18" t="inlineStr">
        <is>
          <t>الإجمالى المطبوع بالتقرير</t>
        </is>
      </c>
      <c r="H95" s="19" t="n">
        <v>2217803.14</v>
      </c>
    </row>
    <row r="96">
      <c r="D96" s="18" t="inlineStr">
        <is>
          <t>منها: بلا مقابل بالجرد (مستبعدة)</t>
        </is>
      </c>
      <c r="H96" s="19">
        <f>SUMIF(I4:I92,"— بلا مقابل —",H4:H92)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4" customWidth="1" min="4" max="4"/>
    <col width="13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رصيد أول المدة لسبتمبر = الجرد الفعلى المعدَّل 31/8 («جر د شهر 8.xlsx») × متوسط أغسطس</t>
        </is>
      </c>
    </row>
    <row r="2">
      <c r="A2" s="2" t="inlineStr">
        <is>
          <t>متوسط أغسطس أُعيد احتسابه من مصادره (جرد 31/7 × متوسط يوليو + مشتريات أغسطس) وطوبق مع ملف «تسعير جرد اخر شهر ٨ -2».</t>
        </is>
      </c>
    </row>
    <row r="4" ht="42" customHeight="1">
      <c r="A4" s="3" t="inlineStr">
        <is>
          <t>الصنف بجرد 31/8</t>
        </is>
      </c>
      <c r="B4" s="3" t="inlineStr">
        <is>
          <t>كمية الجرد 31/8</t>
        </is>
      </c>
      <c r="C4" s="3" t="inlineStr">
        <is>
          <t>متوسط أغسطس (إعادة احتساب)</t>
        </is>
      </c>
      <c r="D4" s="3" t="inlineStr">
        <is>
          <t>متوسط أغسطس بملف «-2»</t>
        </is>
      </c>
      <c r="E4" s="3" t="inlineStr">
        <is>
          <t>كمية الصنف بملف «-2»</t>
        </is>
      </c>
      <c r="F4" s="3" t="inlineStr">
        <is>
          <t>قيمة أول المدة</t>
        </is>
      </c>
      <c r="G4" s="3" t="inlineStr">
        <is>
          <t>مطابقة السعر</t>
        </is>
      </c>
      <c r="H4" s="3" t="inlineStr">
        <is>
          <t>ملاحظة</t>
        </is>
      </c>
    </row>
    <row r="5">
      <c r="A5" s="4" t="inlineStr">
        <is>
          <t>بصل</t>
        </is>
      </c>
      <c r="B5" s="5" t="n">
        <v>500</v>
      </c>
      <c r="C5" s="6" t="n">
        <v>13.7773</v>
      </c>
      <c r="D5" s="6" t="n">
        <v>13.7773</v>
      </c>
      <c r="E5" s="5" t="n">
        <v>500</v>
      </c>
      <c r="F5" s="5">
        <f>IF(C5="","",B5*C5)</f>
        <v/>
      </c>
      <c r="G5" s="20">
        <f>IF(OR(C5="",D5=""),"",IF(ABS(C5-D5)&lt;0.00005,"✔","✘"))</f>
        <v/>
      </c>
      <c r="H5" s="4" t="inlineStr"/>
    </row>
    <row r="6">
      <c r="A6" s="4" t="inlineStr">
        <is>
          <t>ثوم</t>
        </is>
      </c>
      <c r="B6" s="5" t="n">
        <v>1249.55</v>
      </c>
      <c r="C6" s="6" t="n">
        <v>25.0724</v>
      </c>
      <c r="D6" s="6" t="n">
        <v>25.0724</v>
      </c>
      <c r="E6" s="5" t="n">
        <v>1249.3</v>
      </c>
      <c r="F6" s="5">
        <f>IF(C6="","",B6*C6)</f>
        <v/>
      </c>
      <c r="G6" s="20">
        <f>IF(OR(C6="",D6=""),"",IF(ABS(C6-D6)&lt;0.00005,"✔","✘"))</f>
        <v/>
      </c>
      <c r="H6" s="4" t="inlineStr"/>
    </row>
    <row r="7">
      <c r="A7" s="4" t="inlineStr">
        <is>
          <t>فلفل بارد</t>
        </is>
      </c>
      <c r="B7" s="5" t="n">
        <v>320</v>
      </c>
      <c r="C7" s="6" t="n">
        <v>9.117100000000001</v>
      </c>
      <c r="D7" s="6" t="n">
        <v>9.117100000000001</v>
      </c>
      <c r="E7" s="5" t="n">
        <v>320</v>
      </c>
      <c r="F7" s="5">
        <f>IF(C7="","",B7*C7)</f>
        <v/>
      </c>
      <c r="G7" s="20">
        <f>IF(OR(C7="",D7=""),"",IF(ABS(C7-D7)&lt;0.00005,"✔","✘"))</f>
        <v/>
      </c>
      <c r="H7" s="4" t="inlineStr"/>
    </row>
    <row r="8">
      <c r="A8" s="4" t="inlineStr">
        <is>
          <t>مفروم فراخ شعبي</t>
        </is>
      </c>
      <c r="B8" s="5" t="n">
        <v>2120</v>
      </c>
      <c r="C8" s="6" t="n">
        <v>28.386</v>
      </c>
      <c r="D8" s="6" t="n">
        <v>28.386</v>
      </c>
      <c r="E8" s="5" t="n">
        <v>2120</v>
      </c>
      <c r="F8" s="5">
        <f>IF(C8="","",B8*C8)</f>
        <v/>
      </c>
      <c r="G8" s="20">
        <f>IF(OR(C8="",D8=""),"",IF(ABS(C8-D8)&lt;0.00005,"✔","✘"))</f>
        <v/>
      </c>
      <c r="H8" s="4" t="inlineStr"/>
    </row>
    <row r="9">
      <c r="A9" s="4" t="inlineStr">
        <is>
          <t>صميد</t>
        </is>
      </c>
      <c r="B9" s="5" t="n">
        <v>1241</v>
      </c>
      <c r="C9" s="6" t="n">
        <v>16.1708</v>
      </c>
      <c r="D9" s="6" t="n">
        <v>16.1708</v>
      </c>
      <c r="E9" s="5" t="n">
        <v>1241</v>
      </c>
      <c r="F9" s="5">
        <f>IF(C9="","",B9*C9)</f>
        <v/>
      </c>
      <c r="G9" s="20">
        <f>IF(OR(C9="",D9=""),"",IF(ABS(C9-D9)&lt;0.00005,"✔","✘"))</f>
        <v/>
      </c>
      <c r="H9" s="4" t="inlineStr"/>
    </row>
    <row r="10">
      <c r="A10" s="4" t="inlineStr">
        <is>
          <t>صويا لحمه</t>
        </is>
      </c>
      <c r="B10" s="5" t="n">
        <v>777</v>
      </c>
      <c r="C10" s="6" t="n">
        <v>36.8234</v>
      </c>
      <c r="D10" s="6" t="n">
        <v>36.8234</v>
      </c>
      <c r="E10" s="5" t="n">
        <v>777</v>
      </c>
      <c r="F10" s="5">
        <f>IF(C10="","",B10*C10)</f>
        <v/>
      </c>
      <c r="G10" s="20">
        <f>IF(OR(C10="",D10=""),"",IF(ABS(C10-D10)&lt;0.00005,"✔","✘"))</f>
        <v/>
      </c>
      <c r="H10" s="4" t="inlineStr"/>
    </row>
    <row r="11">
      <c r="A11" s="4" t="inlineStr">
        <is>
          <t>صويا اوزيليت</t>
        </is>
      </c>
      <c r="B11" s="5" t="n">
        <v>151.5</v>
      </c>
      <c r="C11" s="6" t="n">
        <v>168.445</v>
      </c>
      <c r="D11" s="6" t="n">
        <v>168.445</v>
      </c>
      <c r="E11" s="5" t="n">
        <v>151.5</v>
      </c>
      <c r="F11" s="5">
        <f>IF(C11="","",B11*C11)</f>
        <v/>
      </c>
      <c r="G11" s="20">
        <f>IF(OR(C11="",D11=""),"",IF(ABS(C11-D11)&lt;0.00005,"✔","✘"))</f>
        <v/>
      </c>
      <c r="H11" s="4" t="inlineStr"/>
    </row>
    <row r="12">
      <c r="A12" s="4" t="inlineStr">
        <is>
          <t>مفروم فراخ فاخر</t>
        </is>
      </c>
      <c r="B12" s="5" t="n">
        <v>415</v>
      </c>
      <c r="C12" s="6" t="n">
        <v>55.082</v>
      </c>
      <c r="D12" s="6" t="n">
        <v>55.082</v>
      </c>
      <c r="E12" s="5" t="n">
        <v>415</v>
      </c>
      <c r="F12" s="5">
        <f>IF(C12="","",B12*C12)</f>
        <v/>
      </c>
      <c r="G12" s="20">
        <f>IF(OR(C12="",D12=""),"",IF(ABS(C12-D12)&lt;0.00005,"✔","✘"))</f>
        <v/>
      </c>
      <c r="H12" s="4" t="inlineStr"/>
    </row>
    <row r="13">
      <c r="A13" s="4" t="inlineStr">
        <is>
          <t>دهن بلدي</t>
        </is>
      </c>
      <c r="B13" s="5" t="n">
        <v>1754.85</v>
      </c>
      <c r="C13" s="6" t="n">
        <v>53.8106</v>
      </c>
      <c r="D13" s="6" t="n">
        <v>53.8106</v>
      </c>
      <c r="E13" s="5" t="n">
        <v>1754.85</v>
      </c>
      <c r="F13" s="5">
        <f>IF(C13="","",B13*C13)</f>
        <v/>
      </c>
      <c r="G13" s="20">
        <f>IF(OR(C13="",D13=""),"",IF(ABS(C13-D13)&lt;0.00005,"✔","✘"))</f>
        <v/>
      </c>
      <c r="H13" s="4" t="inlineStr"/>
    </row>
    <row r="14">
      <c r="A14" s="4" t="inlineStr">
        <is>
          <t>لحم كتف</t>
        </is>
      </c>
      <c r="B14" s="5" t="n">
        <v>40</v>
      </c>
      <c r="C14" s="6" t="n">
        <v>253.0246</v>
      </c>
      <c r="D14" s="6" t="n">
        <v>253.0246</v>
      </c>
      <c r="E14" s="5" t="n">
        <v>40</v>
      </c>
      <c r="F14" s="5">
        <f>IF(C14="","",B14*C14)</f>
        <v/>
      </c>
      <c r="G14" s="20">
        <f>IF(OR(C14="",D14=""),"",IF(ABS(C14-D14)&lt;0.00005,"✔","✘"))</f>
        <v/>
      </c>
      <c r="H14" s="4" t="inlineStr"/>
    </row>
    <row r="15">
      <c r="A15" s="4" t="inlineStr">
        <is>
          <t>لحم رقبه</t>
        </is>
      </c>
      <c r="B15" s="5" t="n">
        <v>60</v>
      </c>
      <c r="C15" s="6" t="n">
        <v>253.0246</v>
      </c>
      <c r="D15" s="6" t="n">
        <v>253.0246</v>
      </c>
      <c r="E15" s="5" t="n">
        <v>60</v>
      </c>
      <c r="F15" s="5">
        <f>IF(C15="","",B15*C15)</f>
        <v/>
      </c>
      <c r="G15" s="20">
        <f>IF(OR(C15="",D15=""),"",IF(ABS(C15-D15)&lt;0.00005,"✔","✘"))</f>
        <v/>
      </c>
      <c r="H15" s="4" t="inlineStr"/>
    </row>
    <row r="16">
      <c r="A16" s="4" t="inlineStr">
        <is>
          <t>لحم سن</t>
        </is>
      </c>
      <c r="B16" s="5" t="n">
        <v>20</v>
      </c>
      <c r="C16" s="6" t="n">
        <v>253.0246</v>
      </c>
      <c r="D16" s="6" t="n">
        <v>253.0246</v>
      </c>
      <c r="E16" s="5" t="n">
        <v>20</v>
      </c>
      <c r="F16" s="5">
        <f>IF(C16="","",B16*C16)</f>
        <v/>
      </c>
      <c r="G16" s="20">
        <f>IF(OR(C16="",D16=""),"",IF(ABS(C16-D16)&lt;0.00005,"✔","✘"))</f>
        <v/>
      </c>
      <c r="H16" s="4" t="inlineStr"/>
    </row>
    <row r="17">
      <c r="A17" s="4" t="inlineStr">
        <is>
          <t>لحمه ارباع</t>
        </is>
      </c>
      <c r="B17" s="5" t="n">
        <v>25</v>
      </c>
      <c r="C17" s="6" t="n">
        <v>253.0246</v>
      </c>
      <c r="D17" s="6" t="n">
        <v>253.0246</v>
      </c>
      <c r="E17" s="5" t="n">
        <v>25</v>
      </c>
      <c r="F17" s="5">
        <f>IF(C17="","",B17*C17)</f>
        <v/>
      </c>
      <c r="G17" s="20">
        <f>IF(OR(C17="",D17=""),"",IF(ABS(C17-D17)&lt;0.00005,"✔","✘"))</f>
        <v/>
      </c>
      <c r="H17" s="4" t="inlineStr"/>
    </row>
    <row r="18">
      <c r="A18" s="4" t="inlineStr">
        <is>
          <t>سمانة هندي</t>
        </is>
      </c>
      <c r="B18" s="5" t="n">
        <v>0</v>
      </c>
      <c r="C18" s="6" t="n"/>
      <c r="D18" s="6" t="n"/>
      <c r="E18" s="5" t="n">
        <v>0</v>
      </c>
      <c r="F18" s="5">
        <f>IF(C18="","",B18*C18)</f>
        <v/>
      </c>
      <c r="G18" s="20">
        <f>IF(OR(C18="",D18=""),"",IF(ABS(C18-D18)&lt;0.00005,"✔","✘"))</f>
        <v/>
      </c>
      <c r="H18" s="4" t="inlineStr"/>
    </row>
    <row r="19">
      <c r="A19" s="4" t="inlineStr">
        <is>
          <t>فلانك</t>
        </is>
      </c>
      <c r="B19" s="5" t="n">
        <v>110</v>
      </c>
      <c r="C19" s="6" t="n">
        <v>198.3869</v>
      </c>
      <c r="D19" s="6" t="n">
        <v>198.3869</v>
      </c>
      <c r="E19" s="5" t="n">
        <v>110</v>
      </c>
      <c r="F19" s="5">
        <f>IF(C19="","",B19*C19)</f>
        <v/>
      </c>
      <c r="G19" s="20">
        <f>IF(OR(C19="",D19=""),"",IF(ABS(C19-D19)&lt;0.00005,"✔","✘"))</f>
        <v/>
      </c>
      <c r="H19" s="4" t="inlineStr">
        <is>
          <t>بملف «-2» وجرد سبتمبر باسم «فلانك + مجمل رصيد اللحمة بالنفق»</t>
        </is>
      </c>
    </row>
    <row r="20">
      <c r="A20" s="4" t="inlineStr">
        <is>
          <t>برغل</t>
        </is>
      </c>
      <c r="B20" s="5" t="n">
        <v>3325</v>
      </c>
      <c r="C20" s="6" t="n">
        <v>21.2509</v>
      </c>
      <c r="D20" s="6" t="n">
        <v>21.2509</v>
      </c>
      <c r="E20" s="5" t="n">
        <v>3325</v>
      </c>
      <c r="F20" s="5">
        <f>IF(C20="","",B20*C20)</f>
        <v/>
      </c>
      <c r="G20" s="20">
        <f>IF(OR(C20="",D20=""),"",IF(ABS(C20-D20)&lt;0.00005,"✔","✘"))</f>
        <v/>
      </c>
      <c r="H20" s="4" t="inlineStr"/>
    </row>
    <row r="21">
      <c r="A21" s="4" t="inlineStr">
        <is>
          <t>صويا فراخ</t>
        </is>
      </c>
      <c r="B21" s="5" t="n">
        <v>180</v>
      </c>
      <c r="C21" s="6" t="n">
        <v>46.8182</v>
      </c>
      <c r="D21" s="6" t="n">
        <v>46.8182</v>
      </c>
      <c r="E21" s="5" t="n">
        <v>180</v>
      </c>
      <c r="F21" s="5">
        <f>IF(C21="","",B21*C21)</f>
        <v/>
      </c>
      <c r="G21" s="20">
        <f>IF(OR(C21="",D21=""),"",IF(ABS(C21-D21)&lt;0.00005,"✔","✘"))</f>
        <v/>
      </c>
      <c r="H21" s="4" t="inlineStr"/>
    </row>
    <row r="22">
      <c r="A22" s="4" t="inlineStr">
        <is>
          <t>كبده</t>
        </is>
      </c>
      <c r="B22" s="5" t="n">
        <v>63.30400000000003</v>
      </c>
      <c r="C22" s="6" t="n">
        <v>164.7217</v>
      </c>
      <c r="D22" s="6" t="n">
        <v>164.7217</v>
      </c>
      <c r="E22" s="5" t="n">
        <v>63.3</v>
      </c>
      <c r="F22" s="5">
        <f>IF(C22="","",B22*C22)</f>
        <v/>
      </c>
      <c r="G22" s="20">
        <f>IF(OR(C22="",D22=""),"",IF(ABS(C22-D22)&lt;0.00005,"✔","✘"))</f>
        <v/>
      </c>
      <c r="H22" s="4" t="inlineStr"/>
    </row>
    <row r="23">
      <c r="A23" s="4" t="inlineStr">
        <is>
          <t>جلد</t>
        </is>
      </c>
      <c r="B23" s="5" t="n">
        <v>359</v>
      </c>
      <c r="C23" s="6" t="n">
        <v>28.8872</v>
      </c>
      <c r="D23" s="6" t="n">
        <v>28.8872</v>
      </c>
      <c r="E23" s="5" t="n">
        <v>359</v>
      </c>
      <c r="F23" s="5">
        <f>IF(C23="","",B23*C23)</f>
        <v/>
      </c>
      <c r="G23" s="20">
        <f>IF(OR(C23="",D23=""),"",IF(ABS(C23-D23)&lt;0.00005,"✔","✘"))</f>
        <v/>
      </c>
      <c r="H23" s="4" t="inlineStr"/>
    </row>
    <row r="24">
      <c r="A24" s="4" t="inlineStr">
        <is>
          <t>هانك</t>
        </is>
      </c>
      <c r="B24" s="5" t="n">
        <v>118</v>
      </c>
      <c r="C24" s="6" t="n">
        <v>248.9842</v>
      </c>
      <c r="D24" s="6" t="n">
        <v>248.9842</v>
      </c>
      <c r="E24" s="5" t="n">
        <v>118</v>
      </c>
      <c r="F24" s="5">
        <f>IF(C24="","",B24*C24)</f>
        <v/>
      </c>
      <c r="G24" s="20">
        <f>IF(OR(C24="",D24=""),"",IF(ABS(C24-D24)&lt;0.00005,"✔","✘"))</f>
        <v/>
      </c>
      <c r="H24" s="4" t="inlineStr"/>
    </row>
    <row r="25">
      <c r="A25" s="4" t="inlineStr">
        <is>
          <t>دوبريه</t>
        </is>
      </c>
      <c r="B25" s="5" t="n">
        <v>470</v>
      </c>
      <c r="C25" s="6" t="n">
        <v>95.2993</v>
      </c>
      <c r="D25" s="6" t="n">
        <v>95.2993</v>
      </c>
      <c r="E25" s="5" t="n">
        <v>470</v>
      </c>
      <c r="F25" s="5">
        <f>IF(C25="","",B25*C25)</f>
        <v/>
      </c>
      <c r="G25" s="20">
        <f>IF(OR(C25="",D25=""),"",IF(ABS(C25-D25)&lt;0.00005,"✔","✘"))</f>
        <v/>
      </c>
      <c r="H25" s="4" t="inlineStr"/>
    </row>
    <row r="26">
      <c r="A26" s="4" t="inlineStr">
        <is>
          <t>فلفل رومي حامي</t>
        </is>
      </c>
      <c r="B26" s="5" t="n">
        <v>15.7</v>
      </c>
      <c r="C26" s="6" t="n">
        <v>14.6228</v>
      </c>
      <c r="D26" s="6" t="n">
        <v>14.6228</v>
      </c>
      <c r="E26" s="5" t="n">
        <v>15.7</v>
      </c>
      <c r="F26" s="5">
        <f>IF(C26="","",B26*C26)</f>
        <v/>
      </c>
      <c r="G26" s="20">
        <f>IF(OR(C26="",D26=""),"",IF(ABS(C26-D26)&lt;0.00005,"✔","✘"))</f>
        <v/>
      </c>
      <c r="H26" s="4" t="inlineStr"/>
    </row>
    <row r="27">
      <c r="A27" s="4" t="inlineStr">
        <is>
          <t>فيليه</t>
        </is>
      </c>
      <c r="B27" s="5" t="n">
        <v>0</v>
      </c>
      <c r="C27" s="6" t="n">
        <v>195</v>
      </c>
      <c r="D27" s="6" t="n">
        <v>195</v>
      </c>
      <c r="E27" s="5" t="n">
        <v>0</v>
      </c>
      <c r="F27" s="5">
        <f>IF(C27="","",B27*C27)</f>
        <v/>
      </c>
      <c r="G27" s="20">
        <f>IF(OR(C27="",D27=""),"",IF(ABS(C27-D27)&lt;0.00005,"✔","✘"))</f>
        <v/>
      </c>
      <c r="H27" s="4" t="inlineStr"/>
    </row>
    <row r="28">
      <c r="A28" s="4" t="inlineStr">
        <is>
          <t>بقسماط اصفر</t>
        </is>
      </c>
      <c r="B28" s="5" t="n">
        <v>0</v>
      </c>
      <c r="C28" s="6" t="n">
        <v>38.5</v>
      </c>
      <c r="D28" s="6" t="n">
        <v>38.5</v>
      </c>
      <c r="E28" s="5" t="n">
        <v>0</v>
      </c>
      <c r="F28" s="5">
        <f>IF(C28="","",B28*C28)</f>
        <v/>
      </c>
      <c r="G28" s="20">
        <f>IF(OR(C28="",D28=""),"",IF(ABS(C28-D28)&lt;0.00005,"✔","✘"))</f>
        <v/>
      </c>
      <c r="H28" s="4" t="inlineStr"/>
    </row>
    <row r="29">
      <c r="A29" s="4" t="inlineStr">
        <is>
          <t>بقسماط ابيض</t>
        </is>
      </c>
      <c r="B29" s="5" t="n">
        <v>0</v>
      </c>
      <c r="C29" s="6" t="n"/>
      <c r="D29" s="6" t="n"/>
      <c r="E29" s="5" t="n">
        <v>0</v>
      </c>
      <c r="F29" s="5">
        <f>IF(C29="","",B29*C29)</f>
        <v/>
      </c>
      <c r="G29" s="20">
        <f>IF(OR(C29="",D29=""),"",IF(ABS(C29-D29)&lt;0.00005,"✔","✘"))</f>
        <v/>
      </c>
      <c r="H29" s="4" t="inlineStr"/>
    </row>
    <row r="30">
      <c r="A30" s="4" t="inlineStr">
        <is>
          <t>بطاطس</t>
        </is>
      </c>
      <c r="B30" s="5" t="n">
        <v>0</v>
      </c>
      <c r="C30" s="6" t="n"/>
      <c r="D30" s="6" t="n"/>
      <c r="E30" s="5" t="n">
        <v>0</v>
      </c>
      <c r="F30" s="5">
        <f>IF(C30="","",B30*C30)</f>
        <v/>
      </c>
      <c r="G30" s="20">
        <f>IF(OR(C30="",D30=""),"",IF(ABS(C30-D30)&lt;0.00005,"✔","✘"))</f>
        <v/>
      </c>
      <c r="H30" s="4" t="inlineStr"/>
    </row>
    <row r="31">
      <c r="A31" s="4" t="inlineStr">
        <is>
          <t>دوبرية بسطرمة (لحمة)</t>
        </is>
      </c>
      <c r="B31" s="5" t="n">
        <v>0</v>
      </c>
      <c r="C31" s="6" t="n">
        <v>185</v>
      </c>
      <c r="D31" s="6" t="n">
        <v>185</v>
      </c>
      <c r="E31" s="5" t="n">
        <v>0</v>
      </c>
      <c r="F31" s="5">
        <f>IF(C31="","",B31*C31)</f>
        <v/>
      </c>
      <c r="G31" s="20">
        <f>IF(OR(C31="",D31=""),"",IF(ABS(C31-D31)&lt;0.00005,"✔","✘"))</f>
        <v/>
      </c>
      <c r="H31" s="4" t="inlineStr"/>
    </row>
    <row r="32">
      <c r="A32" s="4" t="inlineStr">
        <is>
          <t>قلب برازيلي</t>
        </is>
      </c>
      <c r="B32" s="5" t="n">
        <v>0</v>
      </c>
      <c r="C32" s="6" t="n">
        <v>245</v>
      </c>
      <c r="D32" s="6" t="n">
        <v>245</v>
      </c>
      <c r="E32" s="5" t="n">
        <v>0</v>
      </c>
      <c r="F32" s="5">
        <f>IF(C32="","",B32*C32)</f>
        <v/>
      </c>
      <c r="G32" s="20">
        <f>IF(OR(C32="",D32=""),"",IF(ABS(C32-D32)&lt;0.00005,"✔","✘"))</f>
        <v/>
      </c>
      <c r="H32" s="4" t="inlineStr"/>
    </row>
    <row r="33">
      <c r="A33" s="4" t="inlineStr">
        <is>
          <t>بوش</t>
        </is>
      </c>
      <c r="B33" s="5" t="n">
        <v>0</v>
      </c>
      <c r="C33" s="6" t="n">
        <v>110</v>
      </c>
      <c r="D33" s="6" t="n">
        <v>110</v>
      </c>
      <c r="E33" s="5" t="n">
        <v>0</v>
      </c>
      <c r="F33" s="5">
        <f>IF(C33="","",B33*C33)</f>
        <v/>
      </c>
      <c r="G33" s="20">
        <f>IF(OR(C33="",D33=""),"",IF(ABS(C33-D33)&lt;0.00005,"✔","✘"))</f>
        <v/>
      </c>
      <c r="H33" s="4" t="inlineStr"/>
    </row>
    <row r="34">
      <c r="A34" s="4" t="inlineStr">
        <is>
          <t>شعريه</t>
        </is>
      </c>
      <c r="B34" s="5" t="n">
        <v>0</v>
      </c>
      <c r="C34" s="6" t="n"/>
      <c r="D34" s="6" t="n"/>
      <c r="E34" s="5" t="n">
        <v>0</v>
      </c>
      <c r="F34" s="5">
        <f>IF(C34="","",B34*C34)</f>
        <v/>
      </c>
      <c r="G34" s="20">
        <f>IF(OR(C34="",D34=""),"",IF(ABS(C34-D34)&lt;0.00005,"✔","✘"))</f>
        <v/>
      </c>
      <c r="H34" s="4" t="inlineStr"/>
    </row>
    <row r="35">
      <c r="A35" s="4" t="inlineStr">
        <is>
          <t>دقيق</t>
        </is>
      </c>
      <c r="B35" s="5" t="n">
        <v>0</v>
      </c>
      <c r="C35" s="6" t="n">
        <v>17.5</v>
      </c>
      <c r="D35" s="6" t="n">
        <v>17.5</v>
      </c>
      <c r="E35" s="5" t="n">
        <v>0</v>
      </c>
      <c r="F35" s="5">
        <f>IF(C35="","",B35*C35)</f>
        <v/>
      </c>
      <c r="G35" s="20">
        <f>IF(OR(C35="",D35=""),"",IF(ABS(C35-D35)&lt;0.00005,"✔","✘"))</f>
        <v/>
      </c>
      <c r="H35" s="4" t="inlineStr"/>
    </row>
    <row r="36">
      <c r="A36" s="4" t="inlineStr">
        <is>
          <t>نشا</t>
        </is>
      </c>
      <c r="B36" s="5" t="n">
        <v>400</v>
      </c>
      <c r="C36" s="6" t="n">
        <v>26.974</v>
      </c>
      <c r="D36" s="6" t="n">
        <v>26.974</v>
      </c>
      <c r="E36" s="5" t="n">
        <v>400</v>
      </c>
      <c r="F36" s="5">
        <f>IF(C36="","",B36*C36)</f>
        <v/>
      </c>
      <c r="G36" s="20">
        <f>IF(OR(C36="",D36=""),"",IF(ABS(C36-D36)&lt;0.00005,"✔","✘"))</f>
        <v/>
      </c>
      <c r="H36" s="4" t="inlineStr"/>
    </row>
    <row r="37">
      <c r="A37" s="4" t="inlineStr">
        <is>
          <t>فلفل اسود</t>
        </is>
      </c>
      <c r="B37" s="5" t="n">
        <v>36.38</v>
      </c>
      <c r="C37" s="6" t="n">
        <v>336.2615</v>
      </c>
      <c r="D37" s="6" t="n">
        <v>336.2615</v>
      </c>
      <c r="E37" s="5" t="n">
        <v>36.38</v>
      </c>
      <c r="F37" s="5">
        <f>IF(C37="","",B37*C37)</f>
        <v/>
      </c>
      <c r="G37" s="20">
        <f>IF(OR(C37="",D37=""),"",IF(ABS(C37-D37)&lt;0.00005,"✔","✘"))</f>
        <v/>
      </c>
      <c r="H37" s="4" t="inlineStr"/>
    </row>
    <row r="38">
      <c r="A38" s="4" t="inlineStr">
        <is>
          <t>قرنفل</t>
        </is>
      </c>
      <c r="B38" s="5" t="n">
        <v>5.1</v>
      </c>
      <c r="C38" s="6" t="n">
        <v>510.4691</v>
      </c>
      <c r="D38" s="6" t="n">
        <v>510.4691</v>
      </c>
      <c r="E38" s="5" t="n">
        <v>5.1</v>
      </c>
      <c r="F38" s="5">
        <f>IF(C38="","",B38*C38)</f>
        <v/>
      </c>
      <c r="G38" s="20">
        <f>IF(OR(C38="",D38=""),"",IF(ABS(C38-D38)&lt;0.00005,"✔","✘"))</f>
        <v/>
      </c>
      <c r="H38" s="4" t="inlineStr"/>
    </row>
    <row r="39">
      <c r="A39" s="4" t="inlineStr">
        <is>
          <t>كمون</t>
        </is>
      </c>
      <c r="B39" s="5" t="n">
        <v>14.9</v>
      </c>
      <c r="C39" s="6" t="n">
        <v>251.5284</v>
      </c>
      <c r="D39" s="6" t="n">
        <v>251.5284</v>
      </c>
      <c r="E39" s="5" t="n">
        <v>14.9</v>
      </c>
      <c r="F39" s="5">
        <f>IF(C39="","",B39*C39)</f>
        <v/>
      </c>
      <c r="G39" s="20">
        <f>IF(OR(C39="",D39=""),"",IF(ABS(C39-D39)&lt;0.00005,"✔","✘"))</f>
        <v/>
      </c>
      <c r="H39" s="4" t="inlineStr"/>
    </row>
    <row r="40">
      <c r="A40" s="4" t="inlineStr">
        <is>
          <t>كرفس</t>
        </is>
      </c>
      <c r="B40" s="5" t="n">
        <v>0</v>
      </c>
      <c r="C40" s="6" t="n">
        <v>140</v>
      </c>
      <c r="D40" s="6" t="n">
        <v>140</v>
      </c>
      <c r="E40" s="5" t="n">
        <v>0</v>
      </c>
      <c r="F40" s="5">
        <f>IF(C40="","",B40*C40)</f>
        <v/>
      </c>
      <c r="G40" s="20">
        <f>IF(OR(C40="",D40=""),"",IF(ABS(C40-D40)&lt;0.00005,"✔","✘"))</f>
        <v/>
      </c>
      <c r="H40" s="4" t="inlineStr"/>
    </row>
    <row r="41">
      <c r="A41" s="4" t="inlineStr">
        <is>
          <t>كبابه</t>
        </is>
      </c>
      <c r="B41" s="5" t="n">
        <v>10.6</v>
      </c>
      <c r="C41" s="6" t="n">
        <v>529.0463999999999</v>
      </c>
      <c r="D41" s="6" t="n">
        <v>529.0463999999999</v>
      </c>
      <c r="E41" s="5" t="n">
        <v>10.6</v>
      </c>
      <c r="F41" s="5">
        <f>IF(C41="","",B41*C41)</f>
        <v/>
      </c>
      <c r="G41" s="20">
        <f>IF(OR(C41="",D41=""),"",IF(ABS(C41-D41)&lt;0.00005,"✔","✘"))</f>
        <v/>
      </c>
      <c r="H41" s="4" t="inlineStr"/>
    </row>
    <row r="42">
      <c r="A42" s="4" t="inlineStr">
        <is>
          <t>بقدونس</t>
        </is>
      </c>
      <c r="B42" s="5" t="n">
        <v>10</v>
      </c>
      <c r="C42" s="6" t="n">
        <v>110</v>
      </c>
      <c r="D42" s="6" t="n">
        <v>110</v>
      </c>
      <c r="E42" s="5" t="n">
        <v>10</v>
      </c>
      <c r="F42" s="5">
        <f>IF(C42="","",B42*C42)</f>
        <v/>
      </c>
      <c r="G42" s="20">
        <f>IF(OR(C42="",D42=""),"",IF(ABS(C42-D42)&lt;0.00005,"✔","✘"))</f>
        <v/>
      </c>
      <c r="H42" s="4" t="inlineStr"/>
    </row>
    <row r="43">
      <c r="A43" s="4" t="inlineStr">
        <is>
          <t>لورا</t>
        </is>
      </c>
      <c r="B43" s="5" t="n">
        <v>12.5</v>
      </c>
      <c r="C43" s="6" t="n">
        <v>140.0911</v>
      </c>
      <c r="D43" s="6" t="n">
        <v>140.0911</v>
      </c>
      <c r="E43" s="5" t="n">
        <v>12.5</v>
      </c>
      <c r="F43" s="5">
        <f>IF(C43="","",B43*C43)</f>
        <v/>
      </c>
      <c r="G43" s="20">
        <f>IF(OR(C43="",D43=""),"",IF(ABS(C43-D43)&lt;0.00005,"✔","✘"))</f>
        <v/>
      </c>
      <c r="H43" s="4" t="inlineStr"/>
    </row>
    <row r="44">
      <c r="A44" s="4" t="inlineStr">
        <is>
          <t>خلنجان</t>
        </is>
      </c>
      <c r="B44" s="5" t="n">
        <v>4.975</v>
      </c>
      <c r="C44" s="6" t="n">
        <v>125.4015</v>
      </c>
      <c r="D44" s="6" t="n">
        <v>125.4015</v>
      </c>
      <c r="E44" s="5" t="n">
        <v>4.97</v>
      </c>
      <c r="F44" s="5">
        <f>IF(C44="","",B44*C44)</f>
        <v/>
      </c>
      <c r="G44" s="20">
        <f>IF(OR(C44="",D44=""),"",IF(ABS(C44-D44)&lt;0.00005,"✔","✘"))</f>
        <v/>
      </c>
      <c r="H44" s="4" t="inlineStr"/>
    </row>
    <row r="45">
      <c r="A45" s="4" t="inlineStr">
        <is>
          <t>كزبره</t>
        </is>
      </c>
      <c r="B45" s="5" t="n">
        <v>55</v>
      </c>
      <c r="C45" s="6" t="n">
        <v>74.8815</v>
      </c>
      <c r="D45" s="6" t="n">
        <v>74.8815</v>
      </c>
      <c r="E45" s="5" t="n">
        <v>55</v>
      </c>
      <c r="F45" s="5">
        <f>IF(C45="","",B45*C45)</f>
        <v/>
      </c>
      <c r="G45" s="20">
        <f>IF(OR(C45="",D45=""),"",IF(ABS(C45-D45)&lt;0.00005,"✔","✘"))</f>
        <v/>
      </c>
      <c r="H45" s="4" t="inlineStr"/>
    </row>
    <row r="46">
      <c r="A46" s="4" t="inlineStr">
        <is>
          <t>قرفه</t>
        </is>
      </c>
      <c r="B46" s="5" t="n">
        <v>23.7</v>
      </c>
      <c r="C46" s="6" t="n">
        <v>130.1035</v>
      </c>
      <c r="D46" s="6" t="n">
        <v>130.1035</v>
      </c>
      <c r="E46" s="5" t="n">
        <v>23.7</v>
      </c>
      <c r="F46" s="5">
        <f>IF(C46="","",B46*C46)</f>
        <v/>
      </c>
      <c r="G46" s="20">
        <f>IF(OR(C46="",D46=""),"",IF(ABS(C46-D46)&lt;0.00005,"✔","✘"))</f>
        <v/>
      </c>
      <c r="H46" s="4" t="inlineStr"/>
    </row>
    <row r="47">
      <c r="A47" s="4" t="inlineStr">
        <is>
          <t>زعتر</t>
        </is>
      </c>
      <c r="B47" s="5" t="n">
        <v>3</v>
      </c>
      <c r="C47" s="6" t="n">
        <v>120</v>
      </c>
      <c r="D47" s="6" t="n">
        <v>120</v>
      </c>
      <c r="E47" s="5" t="n">
        <v>3</v>
      </c>
      <c r="F47" s="5">
        <f>IF(C47="","",B47*C47)</f>
        <v/>
      </c>
      <c r="G47" s="20">
        <f>IF(OR(C47="",D47=""),"",IF(ABS(C47-D47)&lt;0.00005,"✔","✘"))</f>
        <v/>
      </c>
      <c r="H47" s="4" t="inlineStr"/>
    </row>
    <row r="48">
      <c r="A48" s="4" t="inlineStr">
        <is>
          <t>شطه</t>
        </is>
      </c>
      <c r="B48" s="5" t="n">
        <v>63</v>
      </c>
      <c r="C48" s="6" t="n">
        <v>75.042</v>
      </c>
      <c r="D48" s="6" t="n">
        <v>75.042</v>
      </c>
      <c r="E48" s="5" t="n">
        <v>63</v>
      </c>
      <c r="F48" s="5">
        <f>IF(C48="","",B48*C48)</f>
        <v/>
      </c>
      <c r="G48" s="20">
        <f>IF(OR(C48="",D48=""),"",IF(ABS(C48-D48)&lt;0.00005,"✔","✘"))</f>
        <v/>
      </c>
      <c r="H48" s="4" t="inlineStr"/>
    </row>
    <row r="49">
      <c r="A49" s="4" t="inlineStr">
        <is>
          <t>جوزه الطيب</t>
        </is>
      </c>
      <c r="B49" s="5" t="n">
        <v>1.79</v>
      </c>
      <c r="C49" s="6" t="n">
        <v>802.9028</v>
      </c>
      <c r="D49" s="6" t="n">
        <v>802.9028</v>
      </c>
      <c r="E49" s="5" t="n">
        <v>1.79</v>
      </c>
      <c r="F49" s="5">
        <f>IF(C49="","",B49*C49)</f>
        <v/>
      </c>
      <c r="G49" s="20">
        <f>IF(OR(C49="",D49=""),"",IF(ABS(C49-D49)&lt;0.00005,"✔","✘"))</f>
        <v/>
      </c>
      <c r="H49" s="4" t="inlineStr"/>
    </row>
    <row r="50">
      <c r="A50" s="4" t="inlineStr">
        <is>
          <t>ينسون</t>
        </is>
      </c>
      <c r="B50" s="5" t="n">
        <v>10.44</v>
      </c>
      <c r="C50" s="6" t="n">
        <v>120.5075</v>
      </c>
      <c r="D50" s="6" t="n">
        <v>120.5075</v>
      </c>
      <c r="E50" s="5" t="n">
        <v>10.44</v>
      </c>
      <c r="F50" s="5">
        <f>IF(C50="","",B50*C50)</f>
        <v/>
      </c>
      <c r="G50" s="20">
        <f>IF(OR(C50="",D50=""),"",IF(ABS(C50-D50)&lt;0.00005,"✔","✘"))</f>
        <v/>
      </c>
      <c r="H50" s="4" t="inlineStr"/>
    </row>
    <row r="51">
      <c r="A51" s="4" t="inlineStr">
        <is>
          <t>حبهان</t>
        </is>
      </c>
      <c r="B51" s="5" t="n">
        <v>9.199999999999999</v>
      </c>
      <c r="C51" s="6" t="n">
        <v>1231.0948</v>
      </c>
      <c r="D51" s="6" t="n">
        <v>1231.0948</v>
      </c>
      <c r="E51" s="5" t="n">
        <v>9.199999999999999</v>
      </c>
      <c r="F51" s="5">
        <f>IF(C51="","",B51*C51)</f>
        <v/>
      </c>
      <c r="G51" s="20">
        <f>IF(OR(C51="",D51=""),"",IF(ABS(C51-D51)&lt;0.00005,"✔","✘"))</f>
        <v/>
      </c>
      <c r="H51" s="4" t="inlineStr"/>
    </row>
    <row r="52">
      <c r="A52" s="4" t="inlineStr">
        <is>
          <t>روزماري</t>
        </is>
      </c>
      <c r="B52" s="5" t="n">
        <v>0</v>
      </c>
      <c r="C52" s="6" t="n">
        <v>150</v>
      </c>
      <c r="D52" s="6" t="n">
        <v>150</v>
      </c>
      <c r="E52" s="5" t="n">
        <v>0</v>
      </c>
      <c r="F52" s="5">
        <f>IF(C52="","",B52*C52)</f>
        <v/>
      </c>
      <c r="G52" s="20">
        <f>IF(OR(C52="",D52=""),"",IF(ABS(C52-D52)&lt;0.00005,"✔","✘"))</f>
        <v/>
      </c>
      <c r="H52" s="4" t="inlineStr"/>
    </row>
    <row r="53">
      <c r="A53" s="4" t="inlineStr">
        <is>
          <t>بابريكا</t>
        </is>
      </c>
      <c r="B53" s="5" t="n">
        <v>31.7</v>
      </c>
      <c r="C53" s="6" t="n">
        <v>140.0343</v>
      </c>
      <c r="D53" s="6" t="n">
        <v>140.0343</v>
      </c>
      <c r="E53" s="5" t="n">
        <v>31.7</v>
      </c>
      <c r="F53" s="5">
        <f>IF(C53="","",B53*C53)</f>
        <v/>
      </c>
      <c r="G53" s="20">
        <f>IF(OR(C53="",D53=""),"",IF(ABS(C53-D53)&lt;0.00005,"✔","✘"))</f>
        <v/>
      </c>
      <c r="H53" s="4" t="inlineStr"/>
    </row>
    <row r="54">
      <c r="A54" s="4" t="inlineStr">
        <is>
          <t>جنزبيل</t>
        </is>
      </c>
      <c r="B54" s="5" t="n">
        <v>9.5</v>
      </c>
      <c r="C54" s="6" t="n">
        <v>211.3081</v>
      </c>
      <c r="D54" s="6" t="n">
        <v>211.3081</v>
      </c>
      <c r="E54" s="5" t="n">
        <v>9.5</v>
      </c>
      <c r="F54" s="5">
        <f>IF(C54="","",B54*C54)</f>
        <v/>
      </c>
      <c r="G54" s="20">
        <f>IF(OR(C54="",D54=""),"",IF(ABS(C54-D54)&lt;0.00005,"✔","✘"))</f>
        <v/>
      </c>
      <c r="H54" s="4" t="inlineStr"/>
    </row>
    <row r="55">
      <c r="A55" s="4" t="inlineStr">
        <is>
          <t>الملح</t>
        </is>
      </c>
      <c r="B55" s="5" t="n">
        <v>742</v>
      </c>
      <c r="C55" s="6" t="n">
        <v>2.0629</v>
      </c>
      <c r="D55" s="6" t="n">
        <v>2.0629</v>
      </c>
      <c r="E55" s="5" t="n">
        <v>742</v>
      </c>
      <c r="F55" s="5">
        <f>IF(C55="","",B55*C55)</f>
        <v/>
      </c>
      <c r="G55" s="20">
        <f>IF(OR(C55="",D55=""),"",IF(ABS(C55-D55)&lt;0.00005,"✔","✘"))</f>
        <v/>
      </c>
      <c r="H55" s="4" t="inlineStr"/>
    </row>
    <row r="56">
      <c r="A56" s="4" t="inlineStr">
        <is>
          <t>فوسفات</t>
        </is>
      </c>
      <c r="B56" s="5" t="n">
        <v>212</v>
      </c>
      <c r="C56" s="6" t="n">
        <v>151.7276</v>
      </c>
      <c r="D56" s="6" t="n">
        <v>151.7276</v>
      </c>
      <c r="E56" s="5" t="n">
        <v>212</v>
      </c>
      <c r="F56" s="5">
        <f>IF(C56="","",B56*C56)</f>
        <v/>
      </c>
      <c r="G56" s="20">
        <f>IF(OR(C56="",D56=""),"",IF(ABS(C56-D56)&lt;0.00005,"✔","✘"))</f>
        <v/>
      </c>
      <c r="H56" s="4" t="inlineStr"/>
    </row>
    <row r="57">
      <c r="A57" s="4" t="inlineStr">
        <is>
          <t>جلتومات</t>
        </is>
      </c>
      <c r="B57" s="5" t="n">
        <v>127.5</v>
      </c>
      <c r="C57" s="6" t="n">
        <v>90.0864</v>
      </c>
      <c r="D57" s="6" t="n">
        <v>90.0864</v>
      </c>
      <c r="E57" s="5" t="n">
        <v>127.5</v>
      </c>
      <c r="F57" s="5">
        <f>IF(C57="","",B57*C57)</f>
        <v/>
      </c>
      <c r="G57" s="20">
        <f>IF(OR(C57="",D57=""),"",IF(ABS(C57-D57)&lt;0.00005,"✔","✘"))</f>
        <v/>
      </c>
      <c r="H57" s="4" t="inlineStr"/>
    </row>
    <row r="58">
      <c r="A58" s="4" t="inlineStr">
        <is>
          <t>طعم سجق بودر</t>
        </is>
      </c>
      <c r="B58" s="5" t="n">
        <v>5.25</v>
      </c>
      <c r="C58" s="6" t="n">
        <v>285</v>
      </c>
      <c r="D58" s="6" t="n">
        <v>285</v>
      </c>
      <c r="E58" s="5" t="n">
        <v>5.25</v>
      </c>
      <c r="F58" s="5">
        <f>IF(C58="","",B58*C58)</f>
        <v/>
      </c>
      <c r="G58" s="20">
        <f>IF(OR(C58="",D58=""),"",IF(ABS(C58-D58)&lt;0.00005,"✔","✘"))</f>
        <v/>
      </c>
      <c r="H58" s="4" t="inlineStr"/>
    </row>
    <row r="59">
      <c r="A59" s="4" t="inlineStr">
        <is>
          <t>بصل بودر</t>
        </is>
      </c>
      <c r="B59" s="5" t="n">
        <v>0</v>
      </c>
      <c r="C59" s="6" t="n">
        <v>125</v>
      </c>
      <c r="D59" s="6" t="n">
        <v>125</v>
      </c>
      <c r="E59" s="5" t="n">
        <v>0</v>
      </c>
      <c r="F59" s="5">
        <f>IF(C59="","",B59*C59)</f>
        <v/>
      </c>
      <c r="G59" s="20">
        <f>IF(OR(C59="",D59=""),"",IF(ABS(C59-D59)&lt;0.00005,"✔","✘"))</f>
        <v/>
      </c>
      <c r="H59" s="4" t="inlineStr"/>
    </row>
    <row r="60">
      <c r="A60" s="4" t="inlineStr">
        <is>
          <t>طعم ليه</t>
        </is>
      </c>
      <c r="B60" s="5" t="n">
        <v>19.305</v>
      </c>
      <c r="C60" s="6" t="n">
        <v>293.7369</v>
      </c>
      <c r="D60" s="6" t="n">
        <v>293.7369</v>
      </c>
      <c r="E60" s="5" t="n">
        <v>19.3</v>
      </c>
      <c r="F60" s="5">
        <f>IF(C60="","",B60*C60)</f>
        <v/>
      </c>
      <c r="G60" s="20">
        <f>IF(OR(C60="",D60=""),"",IF(ABS(C60-D60)&lt;0.00005,"✔","✘"))</f>
        <v/>
      </c>
      <c r="H60" s="4" t="inlineStr"/>
    </row>
    <row r="61">
      <c r="A61" s="4" t="inlineStr">
        <is>
          <t>طعم كفته</t>
        </is>
      </c>
      <c r="B61" s="5" t="n">
        <v>31.5</v>
      </c>
      <c r="C61" s="6" t="n">
        <v>182.5277</v>
      </c>
      <c r="D61" s="6" t="n">
        <v>182.5277</v>
      </c>
      <c r="E61" s="5" t="n">
        <v>31.5</v>
      </c>
      <c r="F61" s="5">
        <f>IF(C61="","",B61*C61)</f>
        <v/>
      </c>
      <c r="G61" s="20">
        <f>IF(OR(C61="",D61=""),"",IF(ABS(C61-D61)&lt;0.00005,"✔","✘"))</f>
        <v/>
      </c>
      <c r="H61" s="4" t="inlineStr"/>
    </row>
    <row r="62">
      <c r="A62" s="4" t="inlineStr">
        <is>
          <t>طعم برجر</t>
        </is>
      </c>
      <c r="B62" s="5" t="n">
        <v>7.2</v>
      </c>
      <c r="C62" s="6" t="n">
        <v>297.554</v>
      </c>
      <c r="D62" s="6" t="n">
        <v>297.554</v>
      </c>
      <c r="E62" s="5" t="n">
        <v>7.2</v>
      </c>
      <c r="F62" s="5">
        <f>IF(C62="","",B62*C62)</f>
        <v/>
      </c>
      <c r="G62" s="20">
        <f>IF(OR(C62="",D62=""),"",IF(ABS(C62-D62)&lt;0.00005,"✔","✘"))</f>
        <v/>
      </c>
      <c r="H62" s="4" t="inlineStr"/>
    </row>
    <row r="63">
      <c r="A63" s="4" t="inlineStr">
        <is>
          <t>طعم بيف</t>
        </is>
      </c>
      <c r="B63" s="5" t="n">
        <v>9.5</v>
      </c>
      <c r="C63" s="6" t="n">
        <v>307.8482</v>
      </c>
      <c r="D63" s="6" t="n">
        <v>307.8482</v>
      </c>
      <c r="E63" s="5" t="n">
        <v>9.5</v>
      </c>
      <c r="F63" s="5">
        <f>IF(C63="","",B63*C63)</f>
        <v/>
      </c>
      <c r="G63" s="20">
        <f>IF(OR(C63="",D63=""),"",IF(ABS(C63-D63)&lt;0.00005,"✔","✘"))</f>
        <v/>
      </c>
      <c r="H63" s="4" t="inlineStr"/>
    </row>
    <row r="64">
      <c r="A64" s="4" t="inlineStr">
        <is>
          <t>طعم شواي</t>
        </is>
      </c>
      <c r="B64" s="5" t="n">
        <v>17.5</v>
      </c>
      <c r="C64" s="6" t="n">
        <v>295</v>
      </c>
      <c r="D64" s="6" t="n">
        <v>295</v>
      </c>
      <c r="E64" s="5" t="n">
        <v>17.5</v>
      </c>
      <c r="F64" s="5">
        <f>IF(C64="","",B64*C64)</f>
        <v/>
      </c>
      <c r="G64" s="20">
        <f>IF(OR(C64="",D64=""),"",IF(ABS(C64-D64)&lt;0.00005,"✔","✘"))</f>
        <v/>
      </c>
      <c r="H64" s="4" t="inlineStr"/>
    </row>
    <row r="65">
      <c r="A65" s="4" t="inlineStr">
        <is>
          <t>طعم دخان</t>
        </is>
      </c>
      <c r="B65" s="5" t="n">
        <v>0</v>
      </c>
      <c r="C65" s="6" t="n"/>
      <c r="D65" s="6" t="n"/>
      <c r="E65" s="5" t="n">
        <v>0</v>
      </c>
      <c r="F65" s="5">
        <f>IF(C65="","",B65*C65)</f>
        <v/>
      </c>
      <c r="G65" s="20">
        <f>IF(OR(C65="",D65=""),"",IF(ABS(C65-D65)&lt;0.00005,"✔","✘"))</f>
        <v/>
      </c>
      <c r="H65" s="4" t="inlineStr"/>
    </row>
    <row r="66">
      <c r="A66" s="4" t="inlineStr">
        <is>
          <t>كربوناتو</t>
        </is>
      </c>
      <c r="B66" s="5" t="n">
        <v>1.35</v>
      </c>
      <c r="C66" s="6" t="n">
        <v>35</v>
      </c>
      <c r="D66" s="6" t="n">
        <v>35</v>
      </c>
      <c r="E66" s="5" t="n">
        <v>1.35</v>
      </c>
      <c r="F66" s="5">
        <f>IF(C66="","",B66*C66)</f>
        <v/>
      </c>
      <c r="G66" s="20">
        <f>IF(OR(C66="",D66=""),"",IF(ABS(C66-D66)&lt;0.00005,"✔","✘"))</f>
        <v/>
      </c>
      <c r="H66" s="4" t="inlineStr"/>
    </row>
    <row r="67">
      <c r="A67" s="4" t="inlineStr">
        <is>
          <t>شرش بودر</t>
        </is>
      </c>
      <c r="B67" s="5" t="n">
        <v>21.95</v>
      </c>
      <c r="C67" s="6" t="n">
        <v>85</v>
      </c>
      <c r="D67" s="6" t="n">
        <v>85</v>
      </c>
      <c r="E67" s="5" t="n">
        <v>21.95</v>
      </c>
      <c r="F67" s="5">
        <f>IF(C67="","",B67*C67)</f>
        <v/>
      </c>
      <c r="G67" s="20">
        <f>IF(OR(C67="",D67=""),"",IF(ABS(C67-D67)&lt;0.00005,"✔","✘"))</f>
        <v/>
      </c>
      <c r="H67" s="4" t="inlineStr"/>
    </row>
    <row r="68">
      <c r="A68" s="4" t="inlineStr">
        <is>
          <t>سكر</t>
        </is>
      </c>
      <c r="B68" s="5" t="n">
        <v>3.495</v>
      </c>
      <c r="C68" s="6" t="n">
        <v>28.2146</v>
      </c>
      <c r="D68" s="6" t="n">
        <v>28.2146</v>
      </c>
      <c r="E68" s="5" t="n">
        <v>3.49</v>
      </c>
      <c r="F68" s="5">
        <f>IF(C68="","",B68*C68)</f>
        <v/>
      </c>
      <c r="G68" s="20">
        <f>IF(OR(C68="",D68=""),"",IF(ABS(C68-D68)&lt;0.00005,"✔","✘"))</f>
        <v/>
      </c>
      <c r="H68" s="4" t="inlineStr"/>
    </row>
    <row r="69">
      <c r="A69" s="4" t="inlineStr">
        <is>
          <t>فلفل ابيض</t>
        </is>
      </c>
      <c r="B69" s="5" t="n">
        <v>0</v>
      </c>
      <c r="C69" s="6" t="n">
        <v>78.65170000000001</v>
      </c>
      <c r="D69" s="6" t="n">
        <v>78.65170000000001</v>
      </c>
      <c r="E69" s="5" t="n">
        <v>0</v>
      </c>
      <c r="F69" s="5">
        <f>IF(C69="","",B69*C69)</f>
        <v/>
      </c>
      <c r="G69" s="20">
        <f>IF(OR(C69="",D69=""),"",IF(ABS(C69-D69)&lt;0.00005,"✔","✘"))</f>
        <v/>
      </c>
      <c r="H69" s="4" t="inlineStr"/>
    </row>
    <row r="70">
      <c r="A70" s="4" t="inlineStr">
        <is>
          <t>لون طبيعي</t>
        </is>
      </c>
      <c r="B70" s="5" t="n">
        <v>10.665</v>
      </c>
      <c r="C70" s="6" t="n">
        <v>2971.0926</v>
      </c>
      <c r="D70" s="6" t="n">
        <v>2971.0926</v>
      </c>
      <c r="E70" s="5" t="n">
        <v>10.66</v>
      </c>
      <c r="F70" s="5">
        <f>IF(C70="","",B70*C70)</f>
        <v/>
      </c>
      <c r="G70" s="20">
        <f>IF(OR(C70="",D70=""),"",IF(ABS(C70-D70)&lt;0.00005,"✔","✘"))</f>
        <v/>
      </c>
      <c r="H70" s="4" t="inlineStr"/>
    </row>
    <row r="71">
      <c r="A71" s="4" t="inlineStr">
        <is>
          <t>طعم فراخ</t>
        </is>
      </c>
      <c r="B71" s="5" t="n">
        <v>0</v>
      </c>
      <c r="C71" s="6" t="n"/>
      <c r="D71" s="6" t="n"/>
      <c r="E71" s="5" t="n">
        <v>0</v>
      </c>
      <c r="F71" s="5">
        <f>IF(C71="","",B71*C71)</f>
        <v/>
      </c>
      <c r="G71" s="20">
        <f>IF(OR(C71="",D71=""),"",IF(ABS(C71-D71)&lt;0.00005,"✔","✘"))</f>
        <v/>
      </c>
      <c r="H71" s="4" t="inlineStr"/>
    </row>
    <row r="72">
      <c r="A72" s="4" t="inlineStr">
        <is>
          <t>زيوت بسطرمه</t>
        </is>
      </c>
      <c r="B72" s="5" t="n">
        <v>6</v>
      </c>
      <c r="C72" s="6" t="n">
        <v>784.1353</v>
      </c>
      <c r="D72" s="6" t="n">
        <v>784.1353</v>
      </c>
      <c r="E72" s="5" t="n">
        <v>6</v>
      </c>
      <c r="F72" s="5">
        <f>IF(C72="","",B72*C72)</f>
        <v/>
      </c>
      <c r="G72" s="20">
        <f>IF(OR(C72="",D72=""),"",IF(ABS(C72-D72)&lt;0.00005,"✔","✘"))</f>
        <v/>
      </c>
      <c r="H72" s="4" t="inlineStr"/>
    </row>
    <row r="73">
      <c r="A73" s="4" t="inlineStr">
        <is>
          <t>ثوم بودر</t>
        </is>
      </c>
      <c r="B73" s="5" t="n">
        <v>0</v>
      </c>
      <c r="C73" s="6" t="n">
        <v>100</v>
      </c>
      <c r="D73" s="6" t="n">
        <v>100</v>
      </c>
      <c r="E73" s="5" t="n">
        <v>0</v>
      </c>
      <c r="F73" s="5">
        <f>IF(C73="","",B73*C73)</f>
        <v/>
      </c>
      <c r="G73" s="20">
        <f>IF(OR(C73="",D73=""),"",IF(ABS(C73-D73)&lt;0.00005,"✔","✘"))</f>
        <v/>
      </c>
      <c r="H73" s="4" t="inlineStr"/>
    </row>
    <row r="74">
      <c r="A74" s="4" t="inlineStr">
        <is>
          <t>كامينا</t>
        </is>
      </c>
      <c r="B74" s="5" t="n">
        <v>4.33</v>
      </c>
      <c r="C74" s="6" t="n">
        <v>450</v>
      </c>
      <c r="D74" s="6" t="n">
        <v>450</v>
      </c>
      <c r="E74" s="5" t="n">
        <v>4.33</v>
      </c>
      <c r="F74" s="5">
        <f>IF(C74="","",B74*C74)</f>
        <v/>
      </c>
      <c r="G74" s="20">
        <f>IF(OR(C74="",D74=""),"",IF(ABS(C74-D74)&lt;0.00005,"✔","✘"))</f>
        <v/>
      </c>
      <c r="H74" s="4" t="inlineStr"/>
    </row>
    <row r="75">
      <c r="A75" s="4" t="inlineStr">
        <is>
          <t>MX</t>
        </is>
      </c>
      <c r="B75" s="5" t="n">
        <v>34.6</v>
      </c>
      <c r="C75" s="6" t="n">
        <v>867.7283</v>
      </c>
      <c r="D75" s="6" t="n">
        <v>867.7283</v>
      </c>
      <c r="E75" s="5" t="n">
        <v>34.6</v>
      </c>
      <c r="F75" s="5">
        <f>IF(C75="","",B75*C75)</f>
        <v/>
      </c>
      <c r="G75" s="20">
        <f>IF(OR(C75="",D75=""),"",IF(ABS(C75-D75)&lt;0.00005,"✔","✘"))</f>
        <v/>
      </c>
      <c r="H75" s="4" t="inlineStr"/>
    </row>
    <row r="76">
      <c r="A76" s="4" t="inlineStr">
        <is>
          <t>زيت سجق</t>
        </is>
      </c>
      <c r="B76" s="5" t="n">
        <v>2.399999999999999</v>
      </c>
      <c r="C76" s="6" t="n">
        <v>580</v>
      </c>
      <c r="D76" s="6" t="n">
        <v>580</v>
      </c>
      <c r="E76" s="5" t="n">
        <v>2.4</v>
      </c>
      <c r="F76" s="5">
        <f>IF(C76="","",B76*C76)</f>
        <v/>
      </c>
      <c r="G76" s="20">
        <f>IF(OR(C76="",D76=""),"",IF(ABS(C76-D76)&lt;0.00005,"✔","✘"))</f>
        <v/>
      </c>
      <c r="H76" s="4" t="inlineStr"/>
    </row>
    <row r="77">
      <c r="A77" s="4" t="inlineStr">
        <is>
          <t>كمينا ابيض</t>
        </is>
      </c>
      <c r="B77" s="5" t="n">
        <v>18</v>
      </c>
      <c r="C77" s="6" t="n">
        <v>260</v>
      </c>
      <c r="D77" s="6" t="n">
        <v>260</v>
      </c>
      <c r="E77" s="5" t="n">
        <v>18</v>
      </c>
      <c r="F77" s="5">
        <f>IF(C77="","",B77*C77)</f>
        <v/>
      </c>
      <c r="G77" s="20">
        <f>IF(OR(C77="",D77=""),"",IF(ABS(C77-D77)&lt;0.00005,"✔","✘"))</f>
        <v/>
      </c>
      <c r="H77" s="4" t="inlineStr"/>
    </row>
    <row r="78">
      <c r="A78" s="4" t="inlineStr">
        <is>
          <t>كروت كبده شرائح 350</t>
        </is>
      </c>
      <c r="B78" s="5" t="n">
        <v>14451</v>
      </c>
      <c r="C78" s="6" t="n"/>
      <c r="D78" s="6" t="n"/>
      <c r="E78" s="5" t="n">
        <v>14451</v>
      </c>
      <c r="F78" s="5">
        <f>IF(C78="","",B78*C78)</f>
        <v/>
      </c>
      <c r="G78" s="20">
        <f>IF(OR(C78="",D78=""),"",IF(ABS(C78-D78)&lt;0.00005,"✔","✘"))</f>
        <v/>
      </c>
      <c r="H78" s="4" t="inlineStr">
        <is>
          <t>بملف «-2» وجرد سبتمبر باسم «كروت كبده علب 350»</t>
        </is>
      </c>
    </row>
    <row r="79">
      <c r="A79" s="4" t="inlineStr">
        <is>
          <t>اكياس افيز</t>
        </is>
      </c>
      <c r="B79" s="5" t="n">
        <v>731</v>
      </c>
      <c r="C79" s="6" t="n">
        <v>6.1668</v>
      </c>
      <c r="D79" s="6" t="n">
        <v>6.1668</v>
      </c>
      <c r="E79" s="5" t="n">
        <v>731</v>
      </c>
      <c r="F79" s="5">
        <f>IF(C79="","",B79*C79)</f>
        <v/>
      </c>
      <c r="G79" s="20">
        <f>IF(OR(C79="",D79=""),"",IF(ABS(C79-D79)&lt;0.00005,"✔","✘"))</f>
        <v/>
      </c>
      <c r="H79" s="4" t="inlineStr"/>
    </row>
    <row r="80">
      <c r="A80" s="4" t="inlineStr">
        <is>
          <t>لازق</t>
        </is>
      </c>
      <c r="B80" s="5" t="n">
        <v>67</v>
      </c>
      <c r="C80" s="6" t="n">
        <v>30.2193</v>
      </c>
      <c r="D80" s="6" t="n">
        <v>30.2193</v>
      </c>
      <c r="E80" s="5" t="n">
        <v>67</v>
      </c>
      <c r="F80" s="5">
        <f>IF(C80="","",B80*C80)</f>
        <v/>
      </c>
      <c r="G80" s="20">
        <f>IF(OR(C80="",D80=""),"",IF(ABS(C80-D80)&lt;0.00005,"✔","✘"))</f>
        <v/>
      </c>
      <c r="H80" s="4" t="inlineStr"/>
    </row>
    <row r="81">
      <c r="A81" s="4" t="inlineStr">
        <is>
          <t>كراتين ابوهاشم</t>
        </is>
      </c>
      <c r="B81" s="5" t="n">
        <v>754</v>
      </c>
      <c r="C81" s="6" t="n">
        <v>22.3768</v>
      </c>
      <c r="D81" s="6" t="n">
        <v>22.3768</v>
      </c>
      <c r="E81" s="5" t="n">
        <v>754</v>
      </c>
      <c r="F81" s="5">
        <f>IF(C81="","",B81*C81)</f>
        <v/>
      </c>
      <c r="G81" s="20">
        <f>IF(OR(C81="",D81=""),"",IF(ABS(C81-D81)&lt;0.00005,"✔","✘"))</f>
        <v/>
      </c>
      <c r="H81" s="4" t="inlineStr"/>
    </row>
    <row r="82">
      <c r="A82" s="4" t="inlineStr">
        <is>
          <t>ورق برجر</t>
        </is>
      </c>
      <c r="B82" s="5" t="n">
        <v>489</v>
      </c>
      <c r="C82" s="6" t="n">
        <v>56.5</v>
      </c>
      <c r="D82" s="6" t="n">
        <v>56.5</v>
      </c>
      <c r="E82" s="5" t="n">
        <v>489</v>
      </c>
      <c r="F82" s="5">
        <f>IF(C82="","",B82*C82)</f>
        <v/>
      </c>
      <c r="G82" s="20">
        <f>IF(OR(C82="",D82=""),"",IF(ABS(C82-D82)&lt;0.00005,"✔","✘"))</f>
        <v/>
      </c>
      <c r="H82" s="4" t="inlineStr"/>
    </row>
    <row r="83">
      <c r="A83" s="4" t="inlineStr">
        <is>
          <t>مزيل لماكينة التغليف</t>
        </is>
      </c>
      <c r="B83" s="5" t="n">
        <v>1</v>
      </c>
      <c r="C83" s="6" t="n"/>
      <c r="D83" s="6" t="n"/>
      <c r="E83" s="5" t="n">
        <v>1</v>
      </c>
      <c r="F83" s="5">
        <f>IF(C83="","",B83*C83)</f>
        <v/>
      </c>
      <c r="G83" s="20">
        <f>IF(OR(C83="",D83=""),"",IF(ABS(C83-D83)&lt;0.00005,"✔","✘"))</f>
        <v/>
      </c>
      <c r="H83" s="4" t="inlineStr"/>
    </row>
    <row r="84">
      <c r="A84" s="4" t="inlineStr">
        <is>
          <t>اكياس برجر الهنا ص</t>
        </is>
      </c>
      <c r="B84" s="5" t="n">
        <v>708.5</v>
      </c>
      <c r="C84" s="6" t="n">
        <v>183.0439</v>
      </c>
      <c r="D84" s="6" t="n">
        <v>183.0439</v>
      </c>
      <c r="E84" s="5" t="n">
        <v>708.5</v>
      </c>
      <c r="F84" s="5">
        <f>IF(C84="","",B84*C84)</f>
        <v/>
      </c>
      <c r="G84" s="20">
        <f>IF(OR(C84="",D84=""),"",IF(ABS(C84-D84)&lt;0.00005,"✔","✘"))</f>
        <v/>
      </c>
      <c r="H84" s="4" t="inlineStr"/>
    </row>
    <row r="85">
      <c r="A85" s="4" t="inlineStr">
        <is>
          <t>اكياس برجر الهنا ك</t>
        </is>
      </c>
      <c r="B85" s="5" t="n">
        <v>568.8</v>
      </c>
      <c r="C85" s="6" t="n">
        <v>203.0734</v>
      </c>
      <c r="D85" s="6" t="n">
        <v>203.0734</v>
      </c>
      <c r="E85" s="5" t="n">
        <v>568.8</v>
      </c>
      <c r="F85" s="5">
        <f>IF(C85="","",B85*C85)</f>
        <v/>
      </c>
      <c r="G85" s="20">
        <f>IF(OR(C85="",D85=""),"",IF(ABS(C85-D85)&lt;0.00005,"✔","✘"))</f>
        <v/>
      </c>
      <c r="H85" s="4" t="inlineStr"/>
    </row>
    <row r="86">
      <c r="A86" s="4" t="inlineStr">
        <is>
          <t>اكياس كفتة الهنا ص</t>
        </is>
      </c>
      <c r="B86" s="5" t="n">
        <v>359.5</v>
      </c>
      <c r="C86" s="6" t="n">
        <v>196.7193</v>
      </c>
      <c r="D86" s="6" t="n">
        <v>196.7193</v>
      </c>
      <c r="E86" s="5" t="n">
        <v>359.5</v>
      </c>
      <c r="F86" s="5">
        <f>IF(C86="","",B86*C86)</f>
        <v/>
      </c>
      <c r="G86" s="20">
        <f>IF(OR(C86="",D86=""),"",IF(ABS(C86-D86)&lt;0.00005,"✔","✘"))</f>
        <v/>
      </c>
      <c r="H86" s="4" t="inlineStr"/>
    </row>
    <row r="87">
      <c r="A87" s="4" t="inlineStr">
        <is>
          <t>اكياس كفته الهنا ك</t>
        </is>
      </c>
      <c r="B87" s="5" t="n">
        <v>470</v>
      </c>
      <c r="C87" s="6" t="n">
        <v>264.4955</v>
      </c>
      <c r="D87" s="6" t="n">
        <v>264.4955</v>
      </c>
      <c r="E87" s="5" t="n">
        <v>470</v>
      </c>
      <c r="F87" s="5">
        <f>IF(C87="","",B87*C87)</f>
        <v/>
      </c>
      <c r="G87" s="20">
        <f>IF(OR(C87="",D87=""),"",IF(ABS(C87-D87)&lt;0.00005,"✔","✘"))</f>
        <v/>
      </c>
      <c r="H87" s="4" t="inlineStr"/>
    </row>
    <row r="88">
      <c r="A88" s="4" t="inlineStr">
        <is>
          <t>اكياس مفروم3ك</t>
        </is>
      </c>
      <c r="B88" s="5" t="n">
        <v>45.6</v>
      </c>
      <c r="C88" s="6" t="n">
        <v>115</v>
      </c>
      <c r="D88" s="6" t="n">
        <v>115</v>
      </c>
      <c r="E88" s="5" t="n">
        <v>45.6</v>
      </c>
      <c r="F88" s="5">
        <f>IF(C88="","",B88*C88)</f>
        <v/>
      </c>
      <c r="G88" s="20">
        <f>IF(OR(C88="",D88=""),"",IF(ABS(C88-D88)&lt;0.00005,"✔","✘"))</f>
        <v/>
      </c>
      <c r="H88" s="4" t="inlineStr"/>
    </row>
    <row r="89">
      <c r="A89" s="4" t="inlineStr">
        <is>
          <t>اكياس سجق الهنا ك</t>
        </is>
      </c>
      <c r="B89" s="5" t="n">
        <v>494.7</v>
      </c>
      <c r="C89" s="6" t="n">
        <v>165</v>
      </c>
      <c r="D89" s="6" t="n">
        <v>165</v>
      </c>
      <c r="E89" s="5" t="n">
        <v>494.7</v>
      </c>
      <c r="F89" s="5">
        <f>IF(C89="","",B89*C89)</f>
        <v/>
      </c>
      <c r="G89" s="20">
        <f>IF(OR(C89="",D89=""),"",IF(ABS(C89-D89)&lt;0.00005,"✔","✘"))</f>
        <v/>
      </c>
      <c r="H89" s="4" t="inlineStr"/>
    </row>
    <row r="90">
      <c r="A90" s="4" t="inlineStr">
        <is>
          <t>اكياس سجق الهنا ص</t>
        </is>
      </c>
      <c r="B90" s="5" t="n">
        <v>293</v>
      </c>
      <c r="C90" s="6" t="n">
        <v>206.4046</v>
      </c>
      <c r="D90" s="6" t="n">
        <v>206.4046</v>
      </c>
      <c r="E90" s="5" t="n">
        <v>293</v>
      </c>
      <c r="F90" s="5">
        <f>IF(C90="","",B90*C90)</f>
        <v/>
      </c>
      <c r="G90" s="20">
        <f>IF(OR(C90="",D90=""),"",IF(ABS(C90-D90)&lt;0.00005,"✔","✘"))</f>
        <v/>
      </c>
      <c r="H90" s="4" t="inlineStr"/>
    </row>
    <row r="91">
      <c r="A91" s="4" t="inlineStr">
        <is>
          <t>اكياس سجق ابوهاشم ك</t>
        </is>
      </c>
      <c r="B91" s="5" t="n">
        <v>373</v>
      </c>
      <c r="C91" s="6" t="n">
        <v>165</v>
      </c>
      <c r="D91" s="6" t="n">
        <v>165</v>
      </c>
      <c r="E91" s="5" t="n">
        <v>373</v>
      </c>
      <c r="F91" s="5">
        <f>IF(C91="","",B91*C91)</f>
        <v/>
      </c>
      <c r="G91" s="20">
        <f>IF(OR(C91="",D91=""),"",IF(ABS(C91-D91)&lt;0.00005,"✔","✘"))</f>
        <v/>
      </c>
      <c r="H91" s="4" t="inlineStr"/>
    </row>
    <row r="92">
      <c r="A92" s="4" t="inlineStr">
        <is>
          <t>اكياس كفته ابوهاشم ك</t>
        </is>
      </c>
      <c r="B92" s="5" t="n">
        <v>7</v>
      </c>
      <c r="C92" s="6" t="n">
        <v>165</v>
      </c>
      <c r="D92" s="6" t="n">
        <v>165</v>
      </c>
      <c r="E92" s="5" t="n">
        <v>7</v>
      </c>
      <c r="F92" s="5">
        <f>IF(C92="","",B92*C92)</f>
        <v/>
      </c>
      <c r="G92" s="20">
        <f>IF(OR(C92="",D92=""),"",IF(ABS(C92-D92)&lt;0.00005,"✔","✘"))</f>
        <v/>
      </c>
      <c r="H92" s="4" t="inlineStr"/>
    </row>
    <row r="93">
      <c r="A93" s="4" t="inlineStr">
        <is>
          <t>اكياس برجر ابوهاشم ص</t>
        </is>
      </c>
      <c r="B93" s="5" t="n">
        <v>4.85</v>
      </c>
      <c r="C93" s="6" t="n">
        <v>165</v>
      </c>
      <c r="D93" s="6" t="n">
        <v>165</v>
      </c>
      <c r="E93" s="5" t="n">
        <v>4.85</v>
      </c>
      <c r="F93" s="5">
        <f>IF(C93="","",B93*C93)</f>
        <v/>
      </c>
      <c r="G93" s="20">
        <f>IF(OR(C93="",D93=""),"",IF(ABS(C93-D93)&lt;0.00005,"✔","✘"))</f>
        <v/>
      </c>
      <c r="H93" s="4" t="inlineStr"/>
    </row>
    <row r="94">
      <c r="A94" s="4" t="inlineStr">
        <is>
          <t>اكياس كفته ابوهاشم ص</t>
        </is>
      </c>
      <c r="B94" s="5" t="n">
        <v>88.8</v>
      </c>
      <c r="C94" s="6" t="n">
        <v>165</v>
      </c>
      <c r="D94" s="6" t="n">
        <v>165</v>
      </c>
      <c r="E94" s="5" t="n">
        <v>88.8</v>
      </c>
      <c r="F94" s="5">
        <f>IF(C94="","",B94*C94)</f>
        <v/>
      </c>
      <c r="G94" s="20">
        <f>IF(OR(C94="",D94=""),"",IF(ABS(C94-D94)&lt;0.00005,"✔","✘"))</f>
        <v/>
      </c>
      <c r="H94" s="4" t="inlineStr"/>
    </row>
    <row r="95">
      <c r="A95" s="4" t="inlineStr">
        <is>
          <t>اكياس مفروم صافي</t>
        </is>
      </c>
      <c r="B95" s="5" t="n">
        <v>46</v>
      </c>
      <c r="C95" s="6" t="n">
        <v>165</v>
      </c>
      <c r="D95" s="6" t="n">
        <v>165</v>
      </c>
      <c r="E95" s="5" t="n">
        <v>46</v>
      </c>
      <c r="F95" s="5">
        <f>IF(C95="","",B95*C95)</f>
        <v/>
      </c>
      <c r="G95" s="20">
        <f>IF(OR(C95="",D95=""),"",IF(ABS(C95-D95)&lt;0.00005,"✔","✘"))</f>
        <v/>
      </c>
      <c r="H95" s="4" t="inlineStr"/>
    </row>
    <row r="96">
      <c r="A96" s="4" t="inlineStr">
        <is>
          <t>اكياس مفروم صويا</t>
        </is>
      </c>
      <c r="B96" s="5" t="n">
        <v>0</v>
      </c>
      <c r="C96" s="6" t="n"/>
      <c r="D96" s="6" t="n"/>
      <c r="E96" s="5" t="n">
        <v>0</v>
      </c>
      <c r="F96" s="5">
        <f>IF(C96="","",B96*C96)</f>
        <v/>
      </c>
      <c r="G96" s="20">
        <f>IF(OR(C96="",D96=""),"",IF(ABS(C96-D96)&lt;0.00005,"✔","✘"))</f>
        <v/>
      </c>
      <c r="H96" s="4" t="inlineStr"/>
    </row>
    <row r="97">
      <c r="A97" s="4" t="inlineStr">
        <is>
          <t>اكياس سجق ابوهاشم 3ك</t>
        </is>
      </c>
      <c r="B97" s="5" t="n">
        <v>77</v>
      </c>
      <c r="C97" s="6" t="n">
        <v>119.4035</v>
      </c>
      <c r="D97" s="6" t="n">
        <v>119.4035</v>
      </c>
      <c r="E97" s="5" t="n">
        <v>77</v>
      </c>
      <c r="F97" s="5">
        <f>IF(C97="","",B97*C97)</f>
        <v/>
      </c>
      <c r="G97" s="20">
        <f>IF(OR(C97="",D97=""),"",IF(ABS(C97-D97)&lt;0.00005,"✔","✘"))</f>
        <v/>
      </c>
      <c r="H97" s="4" t="inlineStr"/>
    </row>
    <row r="98">
      <c r="A98" s="4" t="inlineStr">
        <is>
          <t>اكياس سجق ابو هاشم ص</t>
        </is>
      </c>
      <c r="B98" s="5" t="n">
        <v>35.933</v>
      </c>
      <c r="C98" s="6" t="n">
        <v>165</v>
      </c>
      <c r="D98" s="6" t="n">
        <v>165</v>
      </c>
      <c r="E98" s="5" t="n">
        <v>35.93</v>
      </c>
      <c r="F98" s="5">
        <f>IF(C98="","",B98*C98)</f>
        <v/>
      </c>
      <c r="G98" s="20">
        <f>IF(OR(C98="",D98=""),"",IF(ABS(C98-D98)&lt;0.00005,"✔","✘"))</f>
        <v/>
      </c>
      <c r="H98" s="4" t="inlineStr"/>
    </row>
    <row r="99">
      <c r="A99" s="4" t="inlineStr">
        <is>
          <t>اكياس برجر ابوهاشم 1.5</t>
        </is>
      </c>
      <c r="B99" s="5" t="n">
        <v>5.29</v>
      </c>
      <c r="C99" s="6" t="n">
        <v>165</v>
      </c>
      <c r="D99" s="6" t="n">
        <v>165</v>
      </c>
      <c r="E99" s="5" t="n">
        <v>5.29</v>
      </c>
      <c r="F99" s="5">
        <f>IF(C99="","",B99*C99)</f>
        <v/>
      </c>
      <c r="G99" s="20">
        <f>IF(OR(C99="",D99=""),"",IF(ABS(C99-D99)&lt;0.00005,"✔","✘"))</f>
        <v/>
      </c>
      <c r="H99" s="4" t="inlineStr"/>
    </row>
    <row r="100">
      <c r="A100" s="4" t="inlineStr">
        <is>
          <t>علب سوداء</t>
        </is>
      </c>
      <c r="B100" s="5" t="n">
        <v>140.474</v>
      </c>
      <c r="C100" s="6" t="n">
        <v>4.1162</v>
      </c>
      <c r="D100" s="6" t="n">
        <v>4.1162</v>
      </c>
      <c r="E100" s="5" t="n">
        <v>140.47</v>
      </c>
      <c r="F100" s="5">
        <f>IF(C100="","",B100*C100)</f>
        <v/>
      </c>
      <c r="G100" s="20">
        <f>IF(OR(C100="",D100=""),"",IF(ABS(C100-D100)&lt;0.00005,"✔","✘"))</f>
        <v/>
      </c>
      <c r="H100" s="4" t="inlineStr"/>
    </row>
    <row r="101">
      <c r="A101" s="4" t="inlineStr">
        <is>
          <t>اطباق 1/2</t>
        </is>
      </c>
      <c r="B101" s="5" t="n">
        <v>44700</v>
      </c>
      <c r="C101" s="6" t="n">
        <v>0.4488</v>
      </c>
      <c r="D101" s="6" t="n">
        <v>0.4488</v>
      </c>
      <c r="E101" s="5" t="n">
        <v>44700</v>
      </c>
      <c r="F101" s="5">
        <f>IF(C101="","",B101*C101)</f>
        <v/>
      </c>
      <c r="G101" s="20">
        <f>IF(OR(C101="",D101=""),"",IF(ABS(C101-D101)&lt;0.00005,"✔","✘"))</f>
        <v/>
      </c>
      <c r="H101" s="4" t="inlineStr"/>
    </row>
    <row r="102">
      <c r="A102" s="4" t="inlineStr">
        <is>
          <t>اطباق 3/4</t>
        </is>
      </c>
      <c r="B102" s="5" t="n">
        <v>21200</v>
      </c>
      <c r="C102" s="6" t="n">
        <v>0.5707</v>
      </c>
      <c r="D102" s="6" t="n">
        <v>0.5707</v>
      </c>
      <c r="E102" s="5" t="n">
        <v>21200</v>
      </c>
      <c r="F102" s="5">
        <f>IF(C102="","",B102*C102)</f>
        <v/>
      </c>
      <c r="G102" s="20">
        <f>IF(OR(C102="",D102=""),"",IF(ABS(C102-D102)&lt;0.00005,"✔","✘"))</f>
        <v/>
      </c>
      <c r="H102" s="4" t="inlineStr"/>
    </row>
    <row r="103">
      <c r="A103" s="4" t="inlineStr">
        <is>
          <t>فرش البرجر 11*11</t>
        </is>
      </c>
      <c r="B103" s="5" t="n">
        <v>260</v>
      </c>
      <c r="C103" s="6" t="n">
        <v>90.8231</v>
      </c>
      <c r="D103" s="6" t="n">
        <v>90.8231</v>
      </c>
      <c r="E103" s="5" t="n">
        <v>260</v>
      </c>
      <c r="F103" s="5">
        <f>IF(C103="","",B103*C103)</f>
        <v/>
      </c>
      <c r="G103" s="20">
        <f>IF(OR(C103="",D103=""),"",IF(ABS(C103-D103)&lt;0.00005,"✔","✘"))</f>
        <v/>
      </c>
      <c r="H103" s="4" t="inlineStr"/>
    </row>
    <row r="104">
      <c r="A104" s="4" t="inlineStr">
        <is>
          <t>اكياس سجق الهنا 5ك</t>
        </is>
      </c>
      <c r="B104" s="5" t="n">
        <v>68.59999999999999</v>
      </c>
      <c r="C104" s="6" t="n">
        <v>115</v>
      </c>
      <c r="D104" s="6" t="n">
        <v>115</v>
      </c>
      <c r="E104" s="5" t="n">
        <v>68.59999999999999</v>
      </c>
      <c r="F104" s="5">
        <f>IF(C104="","",B104*C104)</f>
        <v/>
      </c>
      <c r="G104" s="20">
        <f>IF(OR(C104="",D104=""),"",IF(ABS(C104-D104)&lt;0.00005,"✔","✘"))</f>
        <v/>
      </c>
      <c r="H104" s="4" t="inlineStr"/>
    </row>
    <row r="105">
      <c r="A105" s="4" t="inlineStr">
        <is>
          <t>فرش كفته</t>
        </is>
      </c>
      <c r="B105" s="5" t="n">
        <v>51.90000000000001</v>
      </c>
      <c r="C105" s="6" t="n">
        <v>87.9324</v>
      </c>
      <c r="D105" s="6" t="n">
        <v>87.9324</v>
      </c>
      <c r="E105" s="5" t="n">
        <v>51.9</v>
      </c>
      <c r="F105" s="5">
        <f>IF(C105="","",B105*C105)</f>
        <v/>
      </c>
      <c r="G105" s="20">
        <f>IF(OR(C105="",D105=""),"",IF(ABS(C105-D105)&lt;0.00005,"✔","✘"))</f>
        <v/>
      </c>
      <c r="H105" s="4" t="inlineStr"/>
    </row>
    <row r="106">
      <c r="A106" s="4" t="inlineStr">
        <is>
          <t>فرش برانيك</t>
        </is>
      </c>
      <c r="B106" s="5" t="n">
        <v>48.65000000000001</v>
      </c>
      <c r="C106" s="6" t="n">
        <v>102.1166</v>
      </c>
      <c r="D106" s="6" t="n">
        <v>102.1166</v>
      </c>
      <c r="E106" s="5" t="n">
        <v>48.65</v>
      </c>
      <c r="F106" s="5">
        <f>IF(C106="","",B106*C106)</f>
        <v/>
      </c>
      <c r="G106" s="20">
        <f>IF(OR(C106="",D106=""),"",IF(ABS(C106-D106)&lt;0.00005,"✔","✘"))</f>
        <v/>
      </c>
      <c r="H106" s="4" t="inlineStr"/>
    </row>
    <row r="107">
      <c r="A107" s="4" t="inlineStr">
        <is>
          <t>اكياس كبده 3ك</t>
        </is>
      </c>
      <c r="B107" s="5" t="n">
        <v>21.3</v>
      </c>
      <c r="C107" s="6" t="n">
        <v>115</v>
      </c>
      <c r="D107" s="6" t="n">
        <v>115</v>
      </c>
      <c r="E107" s="5" t="n">
        <v>21.3</v>
      </c>
      <c r="F107" s="5">
        <f>IF(C107="","",B107*C107)</f>
        <v/>
      </c>
      <c r="G107" s="20">
        <f>IF(OR(C107="",D107=""),"",IF(ABS(C107-D107)&lt;0.00005,"✔","✘"))</f>
        <v/>
      </c>
      <c r="H107" s="4" t="inlineStr"/>
    </row>
    <row r="108">
      <c r="A108" s="4" t="inlineStr">
        <is>
          <t>كروت استربس</t>
        </is>
      </c>
      <c r="B108" s="5" t="n">
        <v>2000</v>
      </c>
      <c r="C108" s="6" t="n"/>
      <c r="D108" s="6" t="n"/>
      <c r="E108" s="5" t="n">
        <v>2000</v>
      </c>
      <c r="F108" s="5">
        <f>IF(C108="","",B108*C108)</f>
        <v/>
      </c>
      <c r="G108" s="20">
        <f>IF(OR(C108="",D108=""),"",IF(ABS(C108-D108)&lt;0.00005,"✔","✘"))</f>
        <v/>
      </c>
      <c r="H108" s="4" t="inlineStr"/>
    </row>
    <row r="109">
      <c r="A109" s="4" t="inlineStr">
        <is>
          <t>كروت مفروم صافي 350</t>
        </is>
      </c>
      <c r="B109" s="5" t="n">
        <v>9225</v>
      </c>
      <c r="C109" s="6" t="n"/>
      <c r="D109" s="6" t="n"/>
      <c r="E109" s="5" t="n">
        <v>9225</v>
      </c>
      <c r="F109" s="5">
        <f>IF(C109="","",B109*C109)</f>
        <v/>
      </c>
      <c r="G109" s="20">
        <f>IF(OR(C109="",D109=""),"",IF(ABS(C109-D109)&lt;0.00005,"✔","✘"))</f>
        <v/>
      </c>
      <c r="H109" s="4" t="inlineStr"/>
    </row>
    <row r="110">
      <c r="A110" s="4" t="inlineStr">
        <is>
          <t>كروت مفروم صويا 350</t>
        </is>
      </c>
      <c r="B110" s="5" t="n">
        <v>8786</v>
      </c>
      <c r="C110" s="6" t="n"/>
      <c r="D110" s="6" t="n"/>
      <c r="E110" s="5" t="n">
        <v>8786</v>
      </c>
      <c r="F110" s="5">
        <f>IF(C110="","",B110*C110)</f>
        <v/>
      </c>
      <c r="G110" s="20">
        <f>IF(OR(C110="",D110=""),"",IF(ABS(C110-D110)&lt;0.00005,"✔","✘"))</f>
        <v/>
      </c>
      <c r="H110" s="4" t="inlineStr"/>
    </row>
    <row r="111">
      <c r="A111" s="4" t="inlineStr">
        <is>
          <t>اكياس بانيه الهنا</t>
        </is>
      </c>
      <c r="B111" s="5" t="n">
        <v>583.5</v>
      </c>
      <c r="C111" s="6" t="n">
        <v>165</v>
      </c>
      <c r="D111" s="6" t="n">
        <v>165</v>
      </c>
      <c r="E111" s="5" t="n">
        <v>583.5</v>
      </c>
      <c r="F111" s="5">
        <f>IF(C111="","",B111*C111)</f>
        <v/>
      </c>
      <c r="G111" s="20">
        <f>IF(OR(C111="",D111=""),"",IF(ABS(C111-D111)&lt;0.00005,"✔","✘"))</f>
        <v/>
      </c>
      <c r="H111" s="4" t="inlineStr"/>
    </row>
    <row r="112">
      <c r="A112" s="4" t="inlineStr">
        <is>
          <t>اكياس s.p شفاف برجر</t>
        </is>
      </c>
      <c r="B112" s="5" t="n">
        <v>13.8</v>
      </c>
      <c r="C112" s="6" t="n">
        <v>165</v>
      </c>
      <c r="D112" s="6" t="n">
        <v>165</v>
      </c>
      <c r="E112" s="5" t="n">
        <v>13.8</v>
      </c>
      <c r="F112" s="5">
        <f>IF(C112="","",B112*C112)</f>
        <v/>
      </c>
      <c r="G112" s="20">
        <f>IF(OR(C112="",D112=""),"",IF(ABS(C112-D112)&lt;0.00005,"✔","✘"))</f>
        <v/>
      </c>
      <c r="H112" s="4" t="inlineStr"/>
    </row>
    <row r="113">
      <c r="A113" s="4" t="inlineStr">
        <is>
          <t>كروت برجر أبو هاشم</t>
        </is>
      </c>
      <c r="B113" s="5" t="n">
        <v>2000</v>
      </c>
      <c r="C113" s="6" t="n"/>
      <c r="D113" s="6" t="n"/>
      <c r="E113" s="5" t="n">
        <v>2000</v>
      </c>
      <c r="F113" s="5">
        <f>IF(C113="","",B113*C113)</f>
        <v/>
      </c>
      <c r="G113" s="20">
        <f>IF(OR(C113="",D113=""),"",IF(ABS(C113-D113)&lt;0.00005,"✔","✘"))</f>
        <v/>
      </c>
      <c r="H113" s="4" t="inlineStr"/>
    </row>
    <row r="114">
      <c r="A114" s="4" t="inlineStr">
        <is>
          <t>اكياس سجق s.p صغير</t>
        </is>
      </c>
      <c r="B114" s="5" t="n">
        <v>188.3</v>
      </c>
      <c r="C114" s="6" t="n">
        <v>165</v>
      </c>
      <c r="D114" s="6" t="n">
        <v>165</v>
      </c>
      <c r="E114" s="5" t="n">
        <v>188.3</v>
      </c>
      <c r="F114" s="5">
        <f>IF(C114="","",B114*C114)</f>
        <v/>
      </c>
      <c r="G114" s="20">
        <f>IF(OR(C114="",D114=""),"",IF(ABS(C114-D114)&lt;0.00005,"✔","✘"))</f>
        <v/>
      </c>
      <c r="H114" s="4" t="inlineStr"/>
    </row>
    <row r="115">
      <c r="A115" s="4" t="inlineStr">
        <is>
          <t>اكياس سجق s.p كبير</t>
        </is>
      </c>
      <c r="B115" s="5" t="n">
        <v>360</v>
      </c>
      <c r="C115" s="6" t="n">
        <v>165</v>
      </c>
      <c r="D115" s="6" t="n">
        <v>165</v>
      </c>
      <c r="E115" s="5" t="n">
        <v>360</v>
      </c>
      <c r="F115" s="5">
        <f>IF(C115="","",B115*C115)</f>
        <v/>
      </c>
      <c r="G115" s="20">
        <f>IF(OR(C115="",D115=""),"",IF(ABS(C115-D115)&lt;0.00005,"✔","✘"))</f>
        <v/>
      </c>
      <c r="H115" s="4" t="inlineStr"/>
    </row>
    <row r="116">
      <c r="A116" s="4" t="inlineStr">
        <is>
          <t>اكياس برجر s.p صغير</t>
        </is>
      </c>
      <c r="B116" s="5" t="n">
        <v>259.55</v>
      </c>
      <c r="C116" s="6" t="n">
        <v>231.916</v>
      </c>
      <c r="D116" s="6" t="n">
        <v>231.916</v>
      </c>
      <c r="E116" s="5" t="n">
        <v>260.15</v>
      </c>
      <c r="F116" s="5">
        <f>IF(C116="","",B116*C116)</f>
        <v/>
      </c>
      <c r="G116" s="20">
        <f>IF(OR(C116="",D116=""),"",IF(ABS(C116-D116)&lt;0.00005,"✔","✘"))</f>
        <v/>
      </c>
      <c r="H116" s="4" t="inlineStr"/>
    </row>
    <row r="117">
      <c r="A117" s="4" t="inlineStr">
        <is>
          <t>اكياس كفته s.p صغير</t>
        </is>
      </c>
      <c r="B117" s="5" t="n">
        <v>456.35</v>
      </c>
      <c r="C117" s="6" t="n">
        <v>245.3606</v>
      </c>
      <c r="D117" s="6" t="n">
        <v>245.3606</v>
      </c>
      <c r="E117" s="5" t="n">
        <v>456.35</v>
      </c>
      <c r="F117" s="5">
        <f>IF(C117="","",B117*C117)</f>
        <v/>
      </c>
      <c r="G117" s="20">
        <f>IF(OR(C117="",D117=""),"",IF(ABS(C117-D117)&lt;0.00005,"✔","✘"))</f>
        <v/>
      </c>
      <c r="H117" s="4" t="inlineStr"/>
    </row>
    <row r="118">
      <c r="A118" s="4" t="inlineStr">
        <is>
          <t>اكياس كفته s.p كبير</t>
        </is>
      </c>
      <c r="B118" s="5" t="n">
        <v>709</v>
      </c>
      <c r="C118" s="6" t="n">
        <v>165</v>
      </c>
      <c r="D118" s="6" t="n">
        <v>165</v>
      </c>
      <c r="E118" s="5" t="n">
        <v>709</v>
      </c>
      <c r="F118" s="5">
        <f>IF(C118="","",B118*C118)</f>
        <v/>
      </c>
      <c r="G118" s="20">
        <f>IF(OR(C118="",D118=""),"",IF(ABS(C118-D118)&lt;0.00005,"✔","✘"))</f>
        <v/>
      </c>
      <c r="H118" s="4" t="inlineStr"/>
    </row>
    <row r="119">
      <c r="A119" s="4" t="inlineStr">
        <is>
          <t>اكياس برجر s.p كبير</t>
        </is>
      </c>
      <c r="B119" s="5" t="n">
        <v>795.3</v>
      </c>
      <c r="C119" s="6" t="n">
        <v>203.8431</v>
      </c>
      <c r="D119" s="6" t="n">
        <v>203.8431</v>
      </c>
      <c r="E119" s="5" t="n">
        <v>795.3</v>
      </c>
      <c r="F119" s="5">
        <f>IF(C119="","",B119*C119)</f>
        <v/>
      </c>
      <c r="G119" s="20">
        <f>IF(OR(C119="",D119=""),"",IF(ABS(C119-D119)&lt;0.00005,"✔","✘"))</f>
        <v/>
      </c>
      <c r="H119" s="4" t="inlineStr"/>
    </row>
    <row r="120">
      <c r="A120" s="4" t="inlineStr">
        <is>
          <t>اكياس بانيه s.p</t>
        </is>
      </c>
      <c r="B120" s="5" t="n">
        <v>177</v>
      </c>
      <c r="C120" s="6" t="n">
        <v>165</v>
      </c>
      <c r="D120" s="6" t="n">
        <v>165</v>
      </c>
      <c r="E120" s="5" t="n">
        <v>177</v>
      </c>
      <c r="F120" s="5">
        <f>IF(C120="","",B120*C120)</f>
        <v/>
      </c>
      <c r="G120" s="20">
        <f>IF(OR(C120="",D120=""),"",IF(ABS(C120-D120)&lt;0.00005,"✔","✘"))</f>
        <v/>
      </c>
      <c r="H120" s="4" t="inlineStr"/>
    </row>
    <row r="121">
      <c r="A121" s="4" t="inlineStr">
        <is>
          <t>طبق مسطح 1/2 شفاف</t>
        </is>
      </c>
      <c r="B121" s="5" t="n">
        <v>827</v>
      </c>
      <c r="C121" s="6" t="n"/>
      <c r="D121" s="6" t="n"/>
      <c r="E121" s="5" t="n">
        <v>827</v>
      </c>
      <c r="F121" s="5">
        <f>IF(C121="","",B121*C121)</f>
        <v/>
      </c>
      <c r="G121" s="20">
        <f>IF(OR(C121="",D121=""),"",IF(ABS(C121-D121)&lt;0.00005,"✔","✘"))</f>
        <v/>
      </c>
      <c r="H121" s="4" t="inlineStr"/>
    </row>
    <row r="122">
      <c r="A122" s="4" t="inlineStr">
        <is>
          <t>طبق مسطح 3/4شفاف</t>
        </is>
      </c>
      <c r="B122" s="5" t="n">
        <v>0</v>
      </c>
      <c r="C122" s="6" t="n"/>
      <c r="D122" s="6" t="n"/>
      <c r="E122" s="5" t="n"/>
      <c r="F122" s="5">
        <f>IF(C122="","",B122*C122)</f>
        <v/>
      </c>
      <c r="G122" s="20">
        <f>IF(OR(C122="",D122=""),"",IF(ABS(C122-D122)&lt;0.00005,"✔","✘"))</f>
        <v/>
      </c>
      <c r="H122" s="4" t="inlineStr"/>
    </row>
    <row r="123">
      <c r="A123" s="4" t="inlineStr">
        <is>
          <t>كراتين s.p ابيض</t>
        </is>
      </c>
      <c r="B123" s="5" t="n">
        <v>0</v>
      </c>
      <c r="C123" s="6" t="n">
        <v>21.21</v>
      </c>
      <c r="D123" s="6" t="n">
        <v>21.21</v>
      </c>
      <c r="E123" s="5" t="n">
        <v>0</v>
      </c>
      <c r="F123" s="5">
        <f>IF(C123="","",B123*C123)</f>
        <v/>
      </c>
      <c r="G123" s="20">
        <f>IF(OR(C123="",D123=""),"",IF(ABS(C123-D123)&lt;0.00005,"✔","✘"))</f>
        <v/>
      </c>
      <c r="H123" s="4" t="inlineStr"/>
    </row>
    <row r="124">
      <c r="A124" s="4" t="inlineStr">
        <is>
          <t>علب بلاستيك شفاف</t>
        </is>
      </c>
      <c r="B124" s="5" t="n">
        <v>1073</v>
      </c>
      <c r="C124" s="6" t="n">
        <v>2.6373</v>
      </c>
      <c r="D124" s="6" t="n">
        <v>2.6373</v>
      </c>
      <c r="E124" s="5" t="n">
        <v>1073</v>
      </c>
      <c r="F124" s="5">
        <f>IF(C124="","",B124*C124)</f>
        <v/>
      </c>
      <c r="G124" s="20">
        <f>IF(OR(C124="",D124=""),"",IF(ABS(C124-D124)&lt;0.00005,"✔","✘"))</f>
        <v/>
      </c>
      <c r="H124" s="4" t="inlineStr"/>
    </row>
    <row r="125">
      <c r="A125" s="4" t="inlineStr">
        <is>
          <t>اكياس كفته 3ك ابوهاشم</t>
        </is>
      </c>
      <c r="B125" s="5" t="n">
        <v>0</v>
      </c>
      <c r="C125" s="6" t="n"/>
      <c r="D125" s="6" t="n"/>
      <c r="E125" s="5" t="n">
        <v>0</v>
      </c>
      <c r="F125" s="5">
        <f>IF(C125="","",B125*C125)</f>
        <v/>
      </c>
      <c r="G125" s="20">
        <f>IF(OR(C125="",D125=""),"",IF(ABS(C125-D125)&lt;0.00005,"✔","✘"))</f>
        <v/>
      </c>
      <c r="H125" s="4" t="inlineStr"/>
    </row>
    <row r="126">
      <c r="A126" s="4" t="inlineStr">
        <is>
          <t>أكياس استربس الهنا ص</t>
        </is>
      </c>
      <c r="B126" s="5" t="n">
        <v>11.8</v>
      </c>
      <c r="C126" s="6" t="n">
        <v>119.5355</v>
      </c>
      <c r="D126" s="6" t="n">
        <v>119.5355</v>
      </c>
      <c r="E126" s="5" t="n">
        <v>11.8</v>
      </c>
      <c r="F126" s="5">
        <f>IF(C126="","",B126*C126)</f>
        <v/>
      </c>
      <c r="G126" s="20">
        <f>IF(OR(C126="",D126=""),"",IF(ABS(C126-D126)&lt;0.00005,"✔","✘"))</f>
        <v/>
      </c>
      <c r="H126" s="4" t="inlineStr"/>
    </row>
    <row r="127">
      <c r="A127" s="4" t="inlineStr">
        <is>
          <t>اكياس عجينه بقري 5كيلو اسبيشيال</t>
        </is>
      </c>
      <c r="B127" s="5" t="n">
        <v>112.878</v>
      </c>
      <c r="C127" s="6" t="n">
        <v>115</v>
      </c>
      <c r="D127" s="6" t="n">
        <v>115</v>
      </c>
      <c r="E127" s="5" t="n">
        <v>112.88</v>
      </c>
      <c r="F127" s="5">
        <f>IF(C127="","",B127*C127)</f>
        <v/>
      </c>
      <c r="G127" s="20">
        <f>IF(OR(C127="",D127=""),"",IF(ABS(C127-D127)&lt;0.00005,"✔","✘"))</f>
        <v/>
      </c>
      <c r="H127" s="4" t="inlineStr"/>
    </row>
    <row r="128">
      <c r="A128" s="4" t="inlineStr">
        <is>
          <t>اكياس سجق اسبيشيال كيلو5</t>
        </is>
      </c>
      <c r="B128" s="5" t="n">
        <v>128.63</v>
      </c>
      <c r="C128" s="6" t="n">
        <v>115</v>
      </c>
      <c r="D128" s="6" t="n">
        <v>115</v>
      </c>
      <c r="E128" s="5" t="n">
        <v>128.63</v>
      </c>
      <c r="F128" s="5">
        <f>IF(C128="","",B128*C128)</f>
        <v/>
      </c>
      <c r="G128" s="20">
        <f>IF(OR(C128="",D128=""),"",IF(ABS(C128-D128)&lt;0.00005,"✔","✘"))</f>
        <v/>
      </c>
      <c r="H128" s="4" t="inlineStr"/>
    </row>
    <row r="129">
      <c r="A129" s="4" t="inlineStr">
        <is>
          <t>اكياس عرض نايلون(60*90)</t>
        </is>
      </c>
      <c r="B129" s="5" t="n">
        <v>0</v>
      </c>
      <c r="C129" s="6" t="n"/>
      <c r="D129" s="6" t="n"/>
      <c r="E129" s="5" t="n">
        <v>0</v>
      </c>
      <c r="F129" s="5">
        <f>IF(C129="","",B129*C129)</f>
        <v/>
      </c>
      <c r="G129" s="20">
        <f>IF(OR(C129="",D129=""),"",IF(ABS(C129-D129)&lt;0.00005,"✔","✘"))</f>
        <v/>
      </c>
      <c r="H129" s="4" t="inlineStr"/>
    </row>
    <row r="130">
      <c r="A130" s="4" t="inlineStr">
        <is>
          <t>كراتين الهنا ازرق</t>
        </is>
      </c>
      <c r="B130" s="5" t="n">
        <v>7458</v>
      </c>
      <c r="C130" s="6" t="n">
        <v>23.5827</v>
      </c>
      <c r="D130" s="6" t="n">
        <v>23.5827</v>
      </c>
      <c r="E130" s="5" t="n">
        <v>7458</v>
      </c>
      <c r="F130" s="5">
        <f>IF(C130="","",B130*C130)</f>
        <v/>
      </c>
      <c r="G130" s="20">
        <f>IF(OR(C130="",D130=""),"",IF(ABS(C130-D130)&lt;0.00005,"✔","✘"))</f>
        <v/>
      </c>
      <c r="H130" s="4" t="inlineStr"/>
    </row>
    <row r="131">
      <c r="A131" s="4" t="inlineStr">
        <is>
          <t>كراتين الهنا اخضر</t>
        </is>
      </c>
      <c r="B131" s="5" t="n">
        <v>2400</v>
      </c>
      <c r="C131" s="6" t="n">
        <v>21.6127</v>
      </c>
      <c r="D131" s="6" t="n">
        <v>21.6127</v>
      </c>
      <c r="E131" s="5" t="n">
        <v>2400</v>
      </c>
      <c r="F131" s="5">
        <f>IF(C131="","",B131*C131)</f>
        <v/>
      </c>
      <c r="G131" s="20">
        <f>IF(OR(C131="",D131=""),"",IF(ABS(C131-D131)&lt;0.00005,"✔","✘"))</f>
        <v/>
      </c>
      <c r="H131" s="4" t="inlineStr"/>
    </row>
    <row r="132">
      <c r="A132" s="4" t="inlineStr">
        <is>
          <t>كراتين اسبشيال احمر</t>
        </is>
      </c>
      <c r="B132" s="5" t="n">
        <v>2203</v>
      </c>
      <c r="C132" s="6" t="n">
        <v>23.2571</v>
      </c>
      <c r="D132" s="6" t="n">
        <v>23.2571</v>
      </c>
      <c r="E132" s="5" t="n">
        <v>2203</v>
      </c>
      <c r="F132" s="5">
        <f>IF(C132="","",B132*C132)</f>
        <v/>
      </c>
      <c r="G132" s="20">
        <f>IF(OR(C132="",D132=""),"",IF(ABS(C132-D132)&lt;0.00005,"✔","✘"))</f>
        <v/>
      </c>
      <c r="H132" s="4" t="inlineStr"/>
    </row>
    <row r="133">
      <c r="A133" s="4" t="inlineStr">
        <is>
          <t>كراتين اسبشيال اسود</t>
        </is>
      </c>
      <c r="B133" s="5" t="n">
        <v>4185</v>
      </c>
      <c r="C133" s="6" t="n">
        <v>22</v>
      </c>
      <c r="D133" s="6" t="n">
        <v>22</v>
      </c>
      <c r="E133" s="5" t="n">
        <v>4185</v>
      </c>
      <c r="F133" s="5">
        <f>IF(C133="","",B133*C133)</f>
        <v/>
      </c>
      <c r="G133" s="20">
        <f>IF(OR(C133="",D133=""),"",IF(ABS(C133-D133)&lt;0.00005,"✔","✘"))</f>
        <v/>
      </c>
      <c r="H133" s="4" t="inlineStr"/>
    </row>
    <row r="134">
      <c r="A134" s="4" t="inlineStr">
        <is>
          <t>مذيب</t>
        </is>
      </c>
      <c r="B134" s="5" t="n">
        <v>2</v>
      </c>
      <c r="C134" s="6" t="n"/>
      <c r="D134" s="6" t="n"/>
      <c r="E134" s="5" t="n">
        <v>0</v>
      </c>
      <c r="F134" s="5">
        <f>IF(C134="","",B134*C134)</f>
        <v/>
      </c>
      <c r="G134" s="20">
        <f>IF(OR(C134="",D134=""),"",IF(ABS(C134-D134)&lt;0.00005,"✔","✘"))</f>
        <v/>
      </c>
      <c r="H134" s="4" t="inlineStr"/>
    </row>
    <row r="135">
      <c r="A135" s="4" t="inlineStr">
        <is>
          <t>اكياس 40 * 60</t>
        </is>
      </c>
      <c r="B135" s="5" t="n">
        <v>0</v>
      </c>
      <c r="C135" s="6" t="n"/>
      <c r="D135" s="6" t="n"/>
      <c r="E135" s="5" t="n">
        <v>0</v>
      </c>
      <c r="F135" s="5">
        <f>IF(C135="","",B135*C135)</f>
        <v/>
      </c>
      <c r="G135" s="20">
        <f>IF(OR(C135="",D135=""),"",IF(ABS(C135-D135)&lt;0.00005,"✔","✘"))</f>
        <v/>
      </c>
      <c r="H135" s="4" t="inlineStr"/>
    </row>
    <row r="136">
      <c r="A136" s="4" t="inlineStr">
        <is>
          <t>برانيك صويا</t>
        </is>
      </c>
      <c r="B136" s="5" t="n">
        <v>0</v>
      </c>
      <c r="C136" s="6" t="n"/>
      <c r="D136" s="6" t="n"/>
      <c r="E136" s="5" t="n">
        <v>442</v>
      </c>
      <c r="F136" s="5">
        <f>IF(C136="","",B136*C136)</f>
        <v/>
      </c>
      <c r="G136" s="20">
        <f>IF(OR(C136="",D136=""),"",IF(ABS(C136-D136)&lt;0.00005,"✔","✘"))</f>
        <v/>
      </c>
      <c r="H136" s="4" t="inlineStr"/>
    </row>
    <row r="137">
      <c r="A137" s="4" t="inlineStr">
        <is>
          <t>برنيك برجر</t>
        </is>
      </c>
      <c r="B137" s="5" t="n">
        <v>442</v>
      </c>
      <c r="C137" s="6" t="n"/>
      <c r="D137" s="6" t="n"/>
      <c r="E137" s="5" t="n">
        <v>258</v>
      </c>
      <c r="F137" s="5">
        <f>IF(C137="","",B137*C137)</f>
        <v/>
      </c>
      <c r="G137" s="20">
        <f>IF(OR(C137="",D137=""),"",IF(ABS(C137-D137)&lt;0.00005,"✔","✘"))</f>
        <v/>
      </c>
      <c r="H137" s="4" t="inlineStr"/>
    </row>
    <row r="138">
      <c r="A138" s="4" t="inlineStr">
        <is>
          <t>برنيك سجق</t>
        </is>
      </c>
      <c r="B138" s="5" t="n">
        <v>258</v>
      </c>
      <c r="C138" s="6" t="n"/>
      <c r="D138" s="6" t="n"/>
      <c r="E138" s="5" t="n">
        <v>0</v>
      </c>
      <c r="F138" s="5">
        <f>IF(C138="","",B138*C138)</f>
        <v/>
      </c>
      <c r="G138" s="20">
        <f>IF(OR(C138="",D138=""),"",IF(ABS(C138-D138)&lt;0.00005,"✔","✘"))</f>
        <v/>
      </c>
      <c r="H138" s="4" t="inlineStr"/>
    </row>
    <row r="139">
      <c r="A139" s="4" t="inlineStr">
        <is>
          <t>أكياس استربس اسبيشيال ص</t>
        </is>
      </c>
      <c r="B139" s="5" t="n">
        <v>82</v>
      </c>
      <c r="C139" s="6" t="n"/>
      <c r="D139" s="6" t="n"/>
      <c r="E139" s="5" t="n">
        <v>82.5</v>
      </c>
      <c r="F139" s="5">
        <f>IF(C139="","",B139*C139)</f>
        <v/>
      </c>
      <c r="G139" s="20">
        <f>IF(OR(C139="",D139=""),"",IF(ABS(C139-D139)&lt;0.00005,"✔","✘"))</f>
        <v/>
      </c>
      <c r="H139" s="4" t="inlineStr"/>
    </row>
    <row r="140">
      <c r="A140" s="4" t="inlineStr">
        <is>
          <t>أكياس بانيه الهنا 5 ك</t>
        </is>
      </c>
      <c r="B140" s="5" t="n">
        <v>15</v>
      </c>
      <c r="C140" s="6" t="n">
        <v>165</v>
      </c>
      <c r="D140" s="6" t="n">
        <v>165</v>
      </c>
      <c r="E140" s="5" t="n">
        <v>15</v>
      </c>
      <c r="F140" s="5">
        <f>IF(C140="","",B140*C140)</f>
        <v/>
      </c>
      <c r="G140" s="20">
        <f>IF(OR(C140="",D140=""),"",IF(ABS(C140-D140)&lt;0.00005,"✔","✘"))</f>
        <v/>
      </c>
      <c r="H140" s="4" t="inlineStr">
        <is>
          <t>بملف «-2» وجرد سبتمبر باسم «أكياس بانيه استربس 5 الهنا»</t>
        </is>
      </c>
    </row>
    <row r="141">
      <c r="A141" s="4" t="inlineStr">
        <is>
          <t>فلاتر</t>
        </is>
      </c>
      <c r="B141" s="5" t="n">
        <v>9</v>
      </c>
      <c r="C141" s="6" t="n"/>
      <c r="D141" s="6" t="n"/>
      <c r="E141" s="5" t="n">
        <v>9</v>
      </c>
      <c r="F141" s="5">
        <f>IF(C141="","",B141*C141)</f>
        <v/>
      </c>
      <c r="G141" s="20">
        <f>IF(OR(C141="",D141=""),"",IF(ABS(C141-D141)&lt;0.00005,"✔","✘"))</f>
        <v/>
      </c>
      <c r="H141" s="4" t="inlineStr"/>
    </row>
    <row r="142">
      <c r="A142" s="4" t="inlineStr">
        <is>
          <t>استطوانة فريون</t>
        </is>
      </c>
      <c r="B142" s="5" t="n">
        <v>1</v>
      </c>
      <c r="C142" s="6" t="n"/>
      <c r="D142" s="6" t="n"/>
      <c r="E142" s="5" t="n">
        <v>1</v>
      </c>
      <c r="F142" s="5">
        <f>IF(C142="","",B142*C142)</f>
        <v/>
      </c>
      <c r="G142" s="20">
        <f>IF(OR(C142="",D142=""),"",IF(ABS(C142-D142)&lt;0.00005,"✔","✘"))</f>
        <v/>
      </c>
      <c r="H142" s="4" t="inlineStr"/>
    </row>
    <row r="143">
      <c r="A143" s="4" t="inlineStr">
        <is>
          <t>برجر أبو هاشم 1ك</t>
        </is>
      </c>
      <c r="B143" s="5" t="n">
        <v>42.13</v>
      </c>
      <c r="C143" s="6" t="n">
        <v>165</v>
      </c>
      <c r="D143" s="6" t="n">
        <v>165</v>
      </c>
      <c r="E143" s="5" t="n">
        <v>42.13</v>
      </c>
      <c r="F143" s="5">
        <f>IF(C143="","",B143*C143)</f>
        <v/>
      </c>
      <c r="G143" s="20">
        <f>IF(OR(C143="",D143=""),"",IF(ABS(C143-D143)&lt;0.00005,"✔","✘"))</f>
        <v/>
      </c>
      <c r="H143" s="4" t="inlineStr">
        <is>
          <t>بملف «-2» وجرد سبتمبر باسم «اكياس برجر ابوهاشم 1ك»</t>
        </is>
      </c>
    </row>
    <row r="144">
      <c r="A144" s="4" t="inlineStr">
        <is>
          <t>زيت سيارات</t>
        </is>
      </c>
      <c r="B144" s="5" t="n">
        <v>2</v>
      </c>
      <c r="C144" s="6" t="n">
        <v>1350</v>
      </c>
      <c r="D144" s="6" t="n">
        <v>1350</v>
      </c>
      <c r="E144" s="5" t="n">
        <v>16</v>
      </c>
      <c r="F144" s="5">
        <f>IF(C144="","",B144*C144)</f>
        <v/>
      </c>
      <c r="G144" s="20">
        <f>IF(OR(C144="",D144=""),"",IF(ABS(C144-D144)&lt;0.00005,"✔","✘"))</f>
        <v/>
      </c>
      <c r="H144" s="4" t="inlineStr"/>
    </row>
    <row r="145">
      <c r="A145" s="4" t="inlineStr">
        <is>
          <t>حشوة زيت</t>
        </is>
      </c>
      <c r="B145" s="5" t="n">
        <v>7</v>
      </c>
      <c r="C145" s="6" t="n"/>
      <c r="D145" s="6" t="n"/>
      <c r="E145" s="5" t="n">
        <v>7</v>
      </c>
      <c r="F145" s="5">
        <f>IF(C145="","",B145*C145)</f>
        <v/>
      </c>
      <c r="G145" s="20">
        <f>IF(OR(C145="",D145=""),"",IF(ABS(C145-D145)&lt;0.00005,"✔","✘"))</f>
        <v/>
      </c>
      <c r="H145" s="4" t="inlineStr"/>
    </row>
    <row r="146">
      <c r="A146" s="4" t="inlineStr">
        <is>
          <t>خام عجينة برجر أبو هاشم</t>
        </is>
      </c>
      <c r="B146" s="5" t="n">
        <v>16.5</v>
      </c>
      <c r="C146" s="6" t="n"/>
      <c r="D146" s="6" t="n"/>
      <c r="E146" s="5" t="n">
        <v>0</v>
      </c>
      <c r="F146" s="5">
        <f>IF(C146="","",B146*C146)</f>
        <v/>
      </c>
      <c r="G146" s="20">
        <f>IF(OR(C146="",D146=""),"",IF(ABS(C146-D146)&lt;0.00005,"✔","✘"))</f>
        <v/>
      </c>
      <c r="H146" s="4" t="inlineStr">
        <is>
          <t>الإجمالى مُدخل يدويًا (0) بينما مجموع المواقع 16.5 — اعتُمد مجموع المواقع</t>
        </is>
      </c>
    </row>
    <row r="147">
      <c r="A147" s="4" t="inlineStr">
        <is>
          <t>خام عجينه بقري اسبيشيال</t>
        </is>
      </c>
      <c r="B147" s="5" t="n">
        <v>0</v>
      </c>
      <c r="C147" s="6" t="n"/>
      <c r="D147" s="6" t="n"/>
      <c r="E147" s="5" t="n">
        <v>0</v>
      </c>
      <c r="F147" s="5">
        <f>IF(C147="","",B147*C147)</f>
        <v/>
      </c>
      <c r="G147" s="20">
        <f>IF(OR(C147="",D147=""),"",IF(ABS(C147-D147)&lt;0.00005,"✔","✘"))</f>
        <v/>
      </c>
      <c r="H147" s="4" t="inlineStr"/>
    </row>
    <row r="148">
      <c r="A148" s="4" t="inlineStr">
        <is>
          <t>خام عجينة برجر الهنا</t>
        </is>
      </c>
      <c r="B148" s="5" t="n">
        <v>0</v>
      </c>
      <c r="C148" s="6" t="n"/>
      <c r="D148" s="6" t="n"/>
      <c r="E148" s="5" t="n">
        <v>0</v>
      </c>
      <c r="F148" s="5">
        <f>IF(C148="","",B148*C148)</f>
        <v/>
      </c>
      <c r="G148" s="20">
        <f>IF(OR(C148="",D148=""),"",IF(ABS(C148-D148)&lt;0.00005,"✔","✘"))</f>
        <v/>
      </c>
      <c r="H148" s="4" t="inlineStr"/>
    </row>
    <row r="149">
      <c r="A149" s="4" t="inlineStr">
        <is>
          <t>خام عجينة كفته الهنا</t>
        </is>
      </c>
      <c r="B149" s="5" t="n">
        <v>6.5</v>
      </c>
      <c r="C149" s="6" t="n"/>
      <c r="D149" s="6" t="n"/>
      <c r="E149" s="5" t="n">
        <v>0</v>
      </c>
      <c r="F149" s="5">
        <f>IF(C149="","",B149*C149)</f>
        <v/>
      </c>
      <c r="G149" s="20">
        <f>IF(OR(C149="",D149=""),"",IF(ABS(C149-D149)&lt;0.00005,"✔","✘"))</f>
        <v/>
      </c>
      <c r="H149" s="4" t="inlineStr">
        <is>
          <t>الإجمالى مُدخل يدويًا (0) بينما مجموع المواقع 6.5 — اعتُمد مجموع المواقع</t>
        </is>
      </c>
    </row>
    <row r="150">
      <c r="A150" s="4" t="inlineStr">
        <is>
          <t>خام عجينة سجق الهنا</t>
        </is>
      </c>
      <c r="B150" s="5" t="n">
        <v>0</v>
      </c>
      <c r="C150" s="6" t="n"/>
      <c r="D150" s="6" t="n"/>
      <c r="E150" s="5" t="n">
        <v>0</v>
      </c>
      <c r="F150" s="5">
        <f>IF(C150="","",B150*C150)</f>
        <v/>
      </c>
      <c r="G150" s="20">
        <f>IF(OR(C150="",D150=""),"",IF(ABS(C150-D150)&lt;0.00005,"✔","✘"))</f>
        <v/>
      </c>
      <c r="H150" s="4" t="inlineStr"/>
    </row>
    <row r="151">
      <c r="A151" s="4" t="inlineStr">
        <is>
          <t>خام عجينة برجر اسبيشيال</t>
        </is>
      </c>
      <c r="B151" s="5" t="n">
        <v>0</v>
      </c>
      <c r="C151" s="6" t="n"/>
      <c r="D151" s="6" t="n"/>
      <c r="E151" s="5" t="n">
        <v>0</v>
      </c>
      <c r="F151" s="5">
        <f>IF(C151="","",B151*C151)</f>
        <v/>
      </c>
      <c r="G151" s="20">
        <f>IF(OR(C151="",D151=""),"",IF(ABS(C151-D151)&lt;0.00005,"✔","✘"))</f>
        <v/>
      </c>
      <c r="H151" s="4" t="inlineStr"/>
    </row>
    <row r="152">
      <c r="A152" s="4" t="inlineStr">
        <is>
          <t>فلتر هواء</t>
        </is>
      </c>
      <c r="B152" s="5" t="n">
        <v>7</v>
      </c>
      <c r="C152" s="6" t="n"/>
      <c r="D152" s="6" t="n"/>
      <c r="E152" s="5" t="n">
        <v>7</v>
      </c>
      <c r="F152" s="5">
        <f>IF(C152="","",B152*C152)</f>
        <v/>
      </c>
      <c r="G152" s="20">
        <f>IF(OR(C152="",D152=""),"",IF(ABS(C152-D152)&lt;0.00005,"✔","✘"))</f>
        <v/>
      </c>
      <c r="H152" s="4" t="inlineStr">
        <is>
          <t>الإجمالى مُدخل يدويًا (0) بينما مجموع المواقع 7 — اعتُمد مجموع المواقع; بملف «-2» وجرد سبتمبر باسم «فلتر هواء دبابة»</t>
        </is>
      </c>
    </row>
    <row r="154">
      <c r="A154" s="12" t="inlineStr">
        <is>
          <t>إجمالى قيمة أول المدة (= مخزون الخامات آخر أغسطس)</t>
        </is>
      </c>
      <c r="F154" s="13">
        <f>SUM(F5:F152)</f>
        <v/>
      </c>
    </row>
    <row r="155">
      <c r="A155" s="18" t="inlineStr">
        <is>
          <t>إجمالى ملف «-2» (للمطابقة)</t>
        </is>
      </c>
      <c r="F155" s="19" t="n">
        <v>2661861.09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2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4" customWidth="1" min="4" max="4"/>
    <col width="10" customWidth="1" min="5" max="5"/>
    <col width="12" customWidth="1" min="6" max="6"/>
    <col width="13" customWidth="1" min="7" max="7"/>
    <col width="50" customWidth="1" min="8" max="8"/>
  </cols>
  <sheetData>
    <row r="1">
      <c r="A1" s="1" t="inlineStr">
        <is>
          <t>تفصيل وصفات التصنيع بأسعار خامات سبتمبر (نفس كميات ومعاملات إنتاجية وصفات يونيه)</t>
        </is>
      </c>
    </row>
    <row r="3" ht="42" customHeight="1">
      <c r="A3" s="3" t="inlineStr">
        <is>
          <t>الوصفة</t>
        </is>
      </c>
      <c r="B3" s="3" t="inlineStr">
        <is>
          <t>القسم</t>
        </is>
      </c>
      <c r="C3" s="3" t="inlineStr">
        <is>
          <t>الخامة بالوصفة</t>
        </is>
      </c>
      <c r="D3" s="3" t="inlineStr">
        <is>
          <t>الصنف المقابل بالجرد</t>
        </is>
      </c>
      <c r="E3" s="3" t="inlineStr">
        <is>
          <t>الكمية (كجم)</t>
        </is>
      </c>
      <c r="F3" s="3" t="inlineStr">
        <is>
          <t>سعر سبتمبر</t>
        </is>
      </c>
      <c r="G3" s="3" t="inlineStr">
        <is>
          <t>القيمة</t>
        </is>
      </c>
      <c r="H3" s="3" t="inlineStr">
        <is>
          <t>ملاحظة</t>
        </is>
      </c>
    </row>
    <row r="4">
      <c r="A4" s="4" t="inlineStr">
        <is>
          <t>سجق ابوهاشم</t>
        </is>
      </c>
      <c r="B4" s="4" t="inlineStr">
        <is>
          <t>خلطة فرعية (توابل)</t>
        </is>
      </c>
      <c r="C4" s="4" t="inlineStr">
        <is>
          <t>فوسفات</t>
        </is>
      </c>
      <c r="D4" s="4" t="inlineStr">
        <is>
          <t>فوسفات</t>
        </is>
      </c>
      <c r="E4" s="21" t="n">
        <v>0.3</v>
      </c>
      <c r="F4" s="6">
        <f>'احتساب متوسط سبتمبر'!I56</f>
        <v/>
      </c>
      <c r="G4" s="5">
        <f>E4*F4</f>
        <v/>
      </c>
      <c r="H4" s="4" t="inlineStr">
        <is>
          <t>مطابقة سعر يونيه بالوصفة مع سعر الصنف بالجرد</t>
        </is>
      </c>
    </row>
    <row r="5">
      <c r="A5" s="4" t="inlineStr">
        <is>
          <t>سجق ابوهاشم</t>
        </is>
      </c>
      <c r="B5" s="4" t="inlineStr">
        <is>
          <t>خلطة فرعية (توابل)</t>
        </is>
      </c>
      <c r="C5" s="4" t="inlineStr">
        <is>
          <t>جلتومات</t>
        </is>
      </c>
      <c r="D5" s="4" t="inlineStr">
        <is>
          <t>جلتومات</t>
        </is>
      </c>
      <c r="E5" s="21" t="n">
        <v>0.32</v>
      </c>
      <c r="F5" s="6">
        <f>'احتساب متوسط سبتمبر'!I57</f>
        <v/>
      </c>
      <c r="G5" s="5">
        <f>E5*F5</f>
        <v/>
      </c>
      <c r="H5" s="4" t="inlineStr">
        <is>
          <t>مطابقة سعر يونيه بالوصفة مع سعر الصنف بالجرد</t>
        </is>
      </c>
    </row>
    <row r="6">
      <c r="A6" s="4" t="inlineStr">
        <is>
          <t>سجق ابوهاشم</t>
        </is>
      </c>
      <c r="B6" s="4" t="inlineStr">
        <is>
          <t>خلطة فرعية (توابل)</t>
        </is>
      </c>
      <c r="C6" s="4" t="inlineStr">
        <is>
          <t>طعم بسطرمة</t>
        </is>
      </c>
      <c r="D6" s="4" t="inlineStr">
        <is>
          <t>زيوت بسطرمه</t>
        </is>
      </c>
      <c r="E6" s="21" t="n">
        <v>0.04</v>
      </c>
      <c r="F6" s="6">
        <f>'احتساب متوسط سبتمبر'!I72</f>
        <v/>
      </c>
      <c r="G6" s="5">
        <f>E6*F6</f>
        <v/>
      </c>
      <c r="H6" s="4" t="inlineStr">
        <is>
          <t>مطابقة سعر يونيه بالوصفة مع سعر الصنف بالجرد</t>
        </is>
      </c>
    </row>
    <row r="7">
      <c r="A7" s="4" t="inlineStr">
        <is>
          <t>سجق ابوهاشم</t>
        </is>
      </c>
      <c r="B7" s="4" t="inlineStr">
        <is>
          <t>خلطة فرعية (توابل)</t>
        </is>
      </c>
      <c r="C7" s="4" t="inlineStr">
        <is>
          <t>طعم سجق</t>
        </is>
      </c>
      <c r="D7" s="4" t="inlineStr">
        <is>
          <t>طعم سجق بودر</t>
        </is>
      </c>
      <c r="E7" s="21" t="n">
        <v>0.06</v>
      </c>
      <c r="F7" s="6">
        <f>'احتساب متوسط سبتمبر'!I58</f>
        <v/>
      </c>
      <c r="G7" s="5">
        <f>E7*F7</f>
        <v/>
      </c>
      <c r="H7" s="4" t="inlineStr">
        <is>
          <t>مطابقة سعر يونيه بالوصفة مع سعر الصنف بالجرد</t>
        </is>
      </c>
    </row>
    <row r="8">
      <c r="A8" s="4" t="inlineStr">
        <is>
          <t>سجق ابوهاشم</t>
        </is>
      </c>
      <c r="B8" s="4" t="inlineStr">
        <is>
          <t>خلطة فرعية (توابل)</t>
        </is>
      </c>
      <c r="C8" s="4" t="inlineStr">
        <is>
          <t>فلفل اسود</t>
        </is>
      </c>
      <c r="D8" s="4" t="inlineStr">
        <is>
          <t>فلفل اسود</t>
        </is>
      </c>
      <c r="E8" s="21" t="n">
        <v>0.08</v>
      </c>
      <c r="F8" s="6">
        <f>'احتساب متوسط سبتمبر'!I37</f>
        <v/>
      </c>
      <c r="G8" s="5">
        <f>E8*F8</f>
        <v/>
      </c>
      <c r="H8" s="4" t="inlineStr">
        <is>
          <t>مطابقة سعر يونيه بالوصفة مع سعر الصنف بالجرد</t>
        </is>
      </c>
    </row>
    <row r="9">
      <c r="A9" s="4" t="inlineStr">
        <is>
          <t>سجق ابوهاشم</t>
        </is>
      </c>
      <c r="B9" s="4" t="inlineStr">
        <is>
          <t>خلطة فرعية (توابل)</t>
        </is>
      </c>
      <c r="C9" s="4" t="inlineStr">
        <is>
          <t>كزبرة</t>
        </is>
      </c>
      <c r="D9" s="4" t="inlineStr">
        <is>
          <t>كزبره</t>
        </is>
      </c>
      <c r="E9" s="21" t="n">
        <v>0</v>
      </c>
      <c r="F9" s="6">
        <f>'احتساب متوسط سبتمبر'!I45</f>
        <v/>
      </c>
      <c r="G9" s="5">
        <f>E9*F9</f>
        <v/>
      </c>
      <c r="H9" s="4" t="inlineStr">
        <is>
          <t>مطابقة سعر يونيه بالوصفة مع سعر الصنف بالجرد</t>
        </is>
      </c>
    </row>
    <row r="10">
      <c r="A10" s="4" t="inlineStr">
        <is>
          <t>سجق ابوهاشم</t>
        </is>
      </c>
      <c r="B10" s="4" t="inlineStr">
        <is>
          <t>خلطة فرعية (توابل)</t>
        </is>
      </c>
      <c r="C10" s="4" t="inlineStr">
        <is>
          <t>بابريكا</t>
        </is>
      </c>
      <c r="D10" s="4" t="inlineStr">
        <is>
          <t>بابريكا</t>
        </is>
      </c>
      <c r="E10" s="21" t="n">
        <v>0.15</v>
      </c>
      <c r="F10" s="6">
        <f>'احتساب متوسط سبتمبر'!I53</f>
        <v/>
      </c>
      <c r="G10" s="5">
        <f>E10*F10</f>
        <v/>
      </c>
      <c r="H10" s="4" t="inlineStr">
        <is>
          <t>مطابقة سعر يونيه بالوصفة مع سعر الصنف بالجرد</t>
        </is>
      </c>
    </row>
    <row r="11">
      <c r="A11" s="4" t="inlineStr">
        <is>
          <t>سجق ابوهاشم</t>
        </is>
      </c>
      <c r="B11" s="4" t="inlineStr">
        <is>
          <t>خلطة فرعية (توابل)</t>
        </is>
      </c>
      <c r="C11" s="4" t="inlineStr">
        <is>
          <t>حلبه</t>
        </is>
      </c>
      <c r="D11" s="4" t="inlineStr">
        <is>
          <t>—</t>
        </is>
      </c>
      <c r="E11" s="21" t="n">
        <v>0</v>
      </c>
      <c r="F11" s="6" t="n">
        <v>0</v>
      </c>
      <c r="G11" s="5">
        <f>E11*F11</f>
        <v/>
      </c>
      <c r="H11" s="10" t="inlineStr">
        <is>
          <t>صنف غير موجود ضمن قاعدة بيانات الخامات المُسعّرة</t>
        </is>
      </c>
    </row>
    <row r="12">
      <c r="A12" s="4" t="inlineStr">
        <is>
          <t>سجق ابوهاشم</t>
        </is>
      </c>
      <c r="B12" s="4" t="inlineStr">
        <is>
          <t>خلطة فرعية (توابل)</t>
        </is>
      </c>
      <c r="C12" s="4" t="inlineStr">
        <is>
          <t>قرنفل</t>
        </is>
      </c>
      <c r="D12" s="4" t="inlineStr">
        <is>
          <t>قرنفل</t>
        </is>
      </c>
      <c r="E12" s="21" t="n">
        <v>0.04</v>
      </c>
      <c r="F12" s="6">
        <f>'احتساب متوسط سبتمبر'!I38</f>
        <v/>
      </c>
      <c r="G12" s="5">
        <f>E12*F12</f>
        <v/>
      </c>
      <c r="H12" s="4" t="inlineStr">
        <is>
          <t>مطابقة سعر يونيه بالوصفة مع سعر الصنف بالجرد</t>
        </is>
      </c>
    </row>
    <row r="13">
      <c r="A13" s="4" t="inlineStr">
        <is>
          <t>سجق ابوهاشم</t>
        </is>
      </c>
      <c r="B13" s="4" t="inlineStr">
        <is>
          <t>خلطة فرعية (توابل)</t>
        </is>
      </c>
      <c r="C13" s="4" t="inlineStr">
        <is>
          <t>قرفه</t>
        </is>
      </c>
      <c r="D13" s="4" t="inlineStr">
        <is>
          <t>قرفه</t>
        </is>
      </c>
      <c r="E13" s="21" t="n">
        <v>0.1</v>
      </c>
      <c r="F13" s="6">
        <f>'احتساب متوسط سبتمبر'!I46</f>
        <v/>
      </c>
      <c r="G13" s="5">
        <f>E13*F13</f>
        <v/>
      </c>
      <c r="H13" s="4" t="inlineStr">
        <is>
          <t>مطابقة سعر يونيه بالوصفة مع سعر الصنف بالجرد</t>
        </is>
      </c>
    </row>
    <row r="14">
      <c r="A14" s="4" t="inlineStr">
        <is>
          <t>سجق ابوهاشم</t>
        </is>
      </c>
      <c r="B14" s="4" t="inlineStr">
        <is>
          <t>خلطة فرعية (توابل)</t>
        </is>
      </c>
      <c r="C14" s="4" t="inlineStr">
        <is>
          <t>شطه</t>
        </is>
      </c>
      <c r="D14" s="4" t="inlineStr">
        <is>
          <t>شطه</t>
        </is>
      </c>
      <c r="E14" s="21" t="n">
        <v>0.1</v>
      </c>
      <c r="F14" s="6">
        <f>'احتساب متوسط سبتمبر'!I48</f>
        <v/>
      </c>
      <c r="G14" s="5">
        <f>E14*F14</f>
        <v/>
      </c>
      <c r="H14" s="4" t="inlineStr">
        <is>
          <t>مطابقة سعر يونيه بالوصفة مع سعر الصنف بالجرد</t>
        </is>
      </c>
    </row>
    <row r="15">
      <c r="A15" s="4" t="inlineStr">
        <is>
          <t>سجق ابوهاشم</t>
        </is>
      </c>
      <c r="B15" s="4" t="inlineStr">
        <is>
          <t>خلطة فرعية (توابل)</t>
        </is>
      </c>
      <c r="C15" s="4" t="inlineStr">
        <is>
          <t>ملح</t>
        </is>
      </c>
      <c r="D15" s="4" t="inlineStr">
        <is>
          <t>الملح</t>
        </is>
      </c>
      <c r="E15" s="21" t="n">
        <v>1.8</v>
      </c>
      <c r="F15" s="6">
        <f>'احتساب متوسط سبتمبر'!I55</f>
        <v/>
      </c>
      <c r="G15" s="5">
        <f>E15*F15</f>
        <v/>
      </c>
      <c r="H15" s="4" t="inlineStr">
        <is>
          <t>مطابقة سعر يونيه بالوصفة مع سعر الصنف بالجرد</t>
        </is>
      </c>
    </row>
    <row r="16">
      <c r="A16" s="4" t="inlineStr">
        <is>
          <t>سجق ابوهاشم</t>
        </is>
      </c>
      <c r="B16" s="4" t="inlineStr">
        <is>
          <t>خلطة فرعية (توابل)</t>
        </is>
      </c>
      <c r="C16" s="4" t="inlineStr">
        <is>
          <t>ينسون</t>
        </is>
      </c>
      <c r="D16" s="4" t="inlineStr">
        <is>
          <t>ينسون</t>
        </is>
      </c>
      <c r="E16" s="21" t="n">
        <v>0.1</v>
      </c>
      <c r="F16" s="6">
        <f>'احتساب متوسط سبتمبر'!I50</f>
        <v/>
      </c>
      <c r="G16" s="5">
        <f>E16*F16</f>
        <v/>
      </c>
      <c r="H16" s="4" t="inlineStr">
        <is>
          <t>مطابقة سعر يونيه بالوصفة مع سعر الصنف بالجرد</t>
        </is>
      </c>
    </row>
    <row r="17">
      <c r="A17" s="4" t="inlineStr">
        <is>
          <t>سجق ابوهاشم</t>
        </is>
      </c>
      <c r="B17" s="4" t="inlineStr">
        <is>
          <t>خلطة فرعية (توابل)</t>
        </is>
      </c>
      <c r="C17" s="4" t="inlineStr">
        <is>
          <t>لون</t>
        </is>
      </c>
      <c r="D17" s="4" t="inlineStr">
        <is>
          <t>لون طبيعي</t>
        </is>
      </c>
      <c r="E17" s="21" t="n">
        <v>0.15</v>
      </c>
      <c r="F17" s="6">
        <f>'احتساب متوسط سبتمبر'!I70</f>
        <v/>
      </c>
      <c r="G17" s="5">
        <f>E17*F17</f>
        <v/>
      </c>
      <c r="H17" s="4" t="inlineStr">
        <is>
          <t>مطابقة سعر يونيه بالوصفة مع سعر الصنف بالجرد</t>
        </is>
      </c>
    </row>
    <row r="18">
      <c r="A18" s="4" t="inlineStr">
        <is>
          <t>سجق ابوهاشم</t>
        </is>
      </c>
      <c r="B18" s="4" t="inlineStr">
        <is>
          <t>خلطة فرعية (توابل)</t>
        </is>
      </c>
      <c r="C18" s="4" t="inlineStr">
        <is>
          <t>حبهان</t>
        </is>
      </c>
      <c r="D18" s="4" t="inlineStr">
        <is>
          <t>حبهان</t>
        </is>
      </c>
      <c r="E18" s="21" t="n">
        <v>0.03</v>
      </c>
      <c r="F18" s="6">
        <f>'احتساب متوسط سبتمبر'!I51</f>
        <v/>
      </c>
      <c r="G18" s="5">
        <f>E18*F18</f>
        <v/>
      </c>
      <c r="H18" s="4" t="inlineStr">
        <is>
          <t>مطابقة سعر يونيه بالوصفة مع سعر الصنف بالجرد</t>
        </is>
      </c>
    </row>
    <row r="19">
      <c r="A19" s="22" t="inlineStr">
        <is>
          <t>سجق ابوهاشم</t>
        </is>
      </c>
      <c r="B19" s="14" t="inlineStr">
        <is>
          <t>إجمالى خلطة فرعية (توابل)</t>
        </is>
      </c>
      <c r="E19" s="23">
        <f>SUM(E4:E18)</f>
        <v/>
      </c>
      <c r="F19" s="15">
        <f>G19/E19</f>
        <v/>
      </c>
      <c r="G19" s="24">
        <f>SUM(G4:G18)</f>
        <v/>
      </c>
    </row>
    <row r="21">
      <c r="A21" s="4" t="inlineStr">
        <is>
          <t>سجق ابوهاشم</t>
        </is>
      </c>
      <c r="B21" s="4" t="inlineStr">
        <is>
          <t>الوصفة الرئيسية</t>
        </is>
      </c>
      <c r="C21" s="4" t="inlineStr">
        <is>
          <t>مفروم فراخ فاخر</t>
        </is>
      </c>
      <c r="D21" s="4" t="inlineStr">
        <is>
          <t>مفروم فراخ فاخر</t>
        </is>
      </c>
      <c r="E21" s="21" t="n">
        <v>20</v>
      </c>
      <c r="F21" s="17">
        <f>'احتساب متوسط سبتمبر'!C12</f>
        <v/>
      </c>
      <c r="G21" s="5">
        <f>E21*F21</f>
        <v/>
      </c>
      <c r="H21" s="10" t="inlineStr">
        <is>
          <t>مؤقت: سعر أغسطس لحين حسم فاتورة الفراخ المفرومة</t>
        </is>
      </c>
    </row>
    <row r="22">
      <c r="A22" s="4" t="inlineStr">
        <is>
          <t>سجق ابوهاشم</t>
        </is>
      </c>
      <c r="B22" s="4" t="inlineStr">
        <is>
          <t>الوصفة الرئيسية</t>
        </is>
      </c>
      <c r="C22" s="4" t="inlineStr">
        <is>
          <t>بصل</t>
        </is>
      </c>
      <c r="D22" s="4" t="inlineStr">
        <is>
          <t>بصل</t>
        </is>
      </c>
      <c r="E22" s="21" t="n">
        <v>10</v>
      </c>
      <c r="F22" s="6">
        <f>'احتساب متوسط سبتمبر'!I5</f>
        <v/>
      </c>
      <c r="G22" s="5">
        <f>E22*F22</f>
        <v/>
      </c>
      <c r="H22" s="4" t="inlineStr">
        <is>
          <t>مطابقة سعر يونيه بالوصفة مع سعر الصنف بالجرد</t>
        </is>
      </c>
    </row>
    <row r="23">
      <c r="A23" s="4" t="inlineStr">
        <is>
          <t>سجق ابوهاشم</t>
        </is>
      </c>
      <c r="B23" s="4" t="inlineStr">
        <is>
          <t>الوصفة الرئيسية</t>
        </is>
      </c>
      <c r="C23" s="4" t="inlineStr">
        <is>
          <t>دهن</t>
        </is>
      </c>
      <c r="D23" s="4" t="inlineStr">
        <is>
          <t>دهن بلدي</t>
        </is>
      </c>
      <c r="E23" s="21" t="n">
        <v>10</v>
      </c>
      <c r="F23" s="6">
        <f>'احتساب متوسط سبتمبر'!I13</f>
        <v/>
      </c>
      <c r="G23" s="5">
        <f>E23*F23</f>
        <v/>
      </c>
      <c r="H23" s="4" t="inlineStr">
        <is>
          <t>مطابقة سعر يونيه بالوصفة مع سعر الصنف بالجرد</t>
        </is>
      </c>
    </row>
    <row r="24">
      <c r="A24" s="4" t="inlineStr">
        <is>
          <t>سجق ابوهاشم</t>
        </is>
      </c>
      <c r="B24" s="4" t="inlineStr">
        <is>
          <t>الوصفة الرئيسية</t>
        </is>
      </c>
      <c r="C24" s="4" t="inlineStr">
        <is>
          <t>فلانك</t>
        </is>
      </c>
      <c r="D24" s="4" t="inlineStr">
        <is>
          <t>فلانك</t>
        </is>
      </c>
      <c r="E24" s="21" t="n">
        <v>20</v>
      </c>
      <c r="F24" s="6">
        <f>'احتساب متوسط سبتمبر'!I19</f>
        <v/>
      </c>
      <c r="G24" s="5">
        <f>E24*F24</f>
        <v/>
      </c>
      <c r="H24" s="4" t="inlineStr">
        <is>
          <t>مطابقة سعر يونيه بالوصفة مع سعر الصنف بالجرد</t>
        </is>
      </c>
    </row>
    <row r="25">
      <c r="A25" s="4" t="inlineStr">
        <is>
          <t>سجق ابوهاشم</t>
        </is>
      </c>
      <c r="B25" s="4" t="inlineStr">
        <is>
          <t>الوصفة الرئيسية</t>
        </is>
      </c>
      <c r="C25" s="4" t="inlineStr">
        <is>
          <t>فلفل</t>
        </is>
      </c>
      <c r="D25" s="4" t="inlineStr">
        <is>
          <t>—</t>
        </is>
      </c>
      <c r="E25" s="21" t="n">
        <v>0</v>
      </c>
      <c r="F25" s="6" t="n">
        <v>0</v>
      </c>
      <c r="G25" s="5">
        <f>E25*F25</f>
        <v/>
      </c>
      <c r="H25" s="10" t="inlineStr">
        <is>
          <t>غير محدد النوع (فلفل اسود/احمر/اخضر) — لا يمكن تحديد سعر بدقة دون توضيح</t>
        </is>
      </c>
    </row>
    <row r="26">
      <c r="A26" s="4" t="inlineStr">
        <is>
          <t>سجق ابوهاشم</t>
        </is>
      </c>
      <c r="B26" s="4" t="inlineStr">
        <is>
          <t>الوصفة الرئيسية</t>
        </is>
      </c>
      <c r="C26" s="4" t="inlineStr">
        <is>
          <t>توام</t>
        </is>
      </c>
      <c r="D26" s="4" t="inlineStr">
        <is>
          <t>ثوم</t>
        </is>
      </c>
      <c r="E26" s="21" t="n">
        <v>2</v>
      </c>
      <c r="F26" s="6">
        <f>'احتساب متوسط سبتمبر'!I6</f>
        <v/>
      </c>
      <c r="G26" s="5">
        <f>E26*F26</f>
        <v/>
      </c>
      <c r="H26" s="4" t="inlineStr">
        <is>
          <t>مطابقة سعر يونيه بالوصفة مع سعر الصنف بالجرد</t>
        </is>
      </c>
    </row>
    <row r="27">
      <c r="A27" s="4" t="inlineStr">
        <is>
          <t>سجق ابوهاشم</t>
        </is>
      </c>
      <c r="B27" s="4" t="inlineStr">
        <is>
          <t>الوصفة الرئيسية</t>
        </is>
      </c>
      <c r="C27" s="4" t="inlineStr">
        <is>
          <t>صويا</t>
        </is>
      </c>
      <c r="D27" s="4" t="inlineStr">
        <is>
          <t>صويا لحمه</t>
        </is>
      </c>
      <c r="E27" s="21" t="n">
        <v>10</v>
      </c>
      <c r="F27" s="6">
        <f>'احتساب متوسط سبتمبر'!I10</f>
        <v/>
      </c>
      <c r="G27" s="5">
        <f>E27*F27</f>
        <v/>
      </c>
      <c r="H27" s="4" t="inlineStr">
        <is>
          <t>مطابقة سعر يونيه بالوصفة مع سعر الصنف بالجرد</t>
        </is>
      </c>
    </row>
    <row r="28">
      <c r="A28" s="4" t="inlineStr">
        <is>
          <t>سجق ابوهاشم</t>
        </is>
      </c>
      <c r="B28" s="4" t="inlineStr">
        <is>
          <t>الوصفة الرئيسية</t>
        </is>
      </c>
      <c r="C28" s="4" t="inlineStr">
        <is>
          <t>بطاطس</t>
        </is>
      </c>
      <c r="D28" s="4" t="inlineStr">
        <is>
          <t>—</t>
        </is>
      </c>
      <c r="E28" s="21" t="n">
        <v>0</v>
      </c>
      <c r="F28" s="6" t="n">
        <v>0</v>
      </c>
      <c r="G28" s="5">
        <f>E28*F28</f>
        <v/>
      </c>
      <c r="H28" s="10" t="inlineStr">
        <is>
          <t>صنف غير موجود ضمن قاعدة بيانات الخامات المُسعّرة</t>
        </is>
      </c>
    </row>
    <row r="29">
      <c r="A29" s="4" t="inlineStr">
        <is>
          <t>سجق ابوهاشم</t>
        </is>
      </c>
      <c r="B29" s="4" t="inlineStr">
        <is>
          <t>الوصفة الرئيسية</t>
        </is>
      </c>
      <c r="C29" s="4" t="inlineStr">
        <is>
          <t>برغل</t>
        </is>
      </c>
      <c r="D29" s="4" t="inlineStr">
        <is>
          <t>برغل</t>
        </is>
      </c>
      <c r="E29" s="21" t="n">
        <v>4</v>
      </c>
      <c r="F29" s="6">
        <f>'احتساب متوسط سبتمبر'!I20</f>
        <v/>
      </c>
      <c r="G29" s="5">
        <f>E29*F29</f>
        <v/>
      </c>
      <c r="H29" s="4" t="inlineStr">
        <is>
          <t>مطابقة سعر يونيه بالوصفة مع سعر الصنف بالجرد</t>
        </is>
      </c>
    </row>
    <row r="30">
      <c r="A30" s="4" t="inlineStr">
        <is>
          <t>سجق ابوهاشم</t>
        </is>
      </c>
      <c r="B30" s="4" t="inlineStr">
        <is>
          <t>الوصفة الرئيسية</t>
        </is>
      </c>
      <c r="C30" s="4" t="inlineStr">
        <is>
          <t>جلد</t>
        </is>
      </c>
      <c r="D30" s="4" t="inlineStr">
        <is>
          <t>جلد</t>
        </is>
      </c>
      <c r="E30" s="21" t="n">
        <v>10</v>
      </c>
      <c r="F30" s="6">
        <f>'احتساب متوسط سبتمبر'!I23</f>
        <v/>
      </c>
      <c r="G30" s="5">
        <f>E30*F30</f>
        <v/>
      </c>
      <c r="H30" s="4" t="inlineStr">
        <is>
          <t>مطابقة سعر يونيه بالوصفة مع سعر الصنف بالجرد</t>
        </is>
      </c>
    </row>
    <row r="31">
      <c r="A31" s="4" t="inlineStr">
        <is>
          <t>سجق ابوهاشم</t>
        </is>
      </c>
      <c r="B31" s="4" t="inlineStr">
        <is>
          <t>الوصفة الرئيسية</t>
        </is>
      </c>
      <c r="C31" s="4" t="inlineStr">
        <is>
          <t>مايه</t>
        </is>
      </c>
      <c r="D31" s="4" t="inlineStr">
        <is>
          <t>—</t>
        </is>
      </c>
      <c r="E31" s="21" t="n">
        <v>28</v>
      </c>
      <c r="F31" s="6" t="n">
        <v>0</v>
      </c>
      <c r="G31" s="5">
        <f>E31*F31</f>
        <v/>
      </c>
      <c r="H31" s="10" t="inlineStr">
        <is>
          <t>لا يوجد سعر شراء مسجل للمياه ضمن الخامات — عادة تكلفة مرافق غير مباشرة</t>
        </is>
      </c>
    </row>
    <row r="32">
      <c r="A32" s="4" t="inlineStr">
        <is>
          <t>سجق ابوهاشم</t>
        </is>
      </c>
      <c r="B32" s="4" t="inlineStr">
        <is>
          <t>الوصفة الرئيسية</t>
        </is>
      </c>
      <c r="C32" s="4" t="inlineStr">
        <is>
          <t>دوبريه</t>
        </is>
      </c>
      <c r="D32" s="4" t="inlineStr">
        <is>
          <t>دوبريه</t>
        </is>
      </c>
      <c r="E32" s="21" t="n">
        <v>10</v>
      </c>
      <c r="F32" s="6">
        <f>'احتساب متوسط سبتمبر'!I25</f>
        <v/>
      </c>
      <c r="G32" s="5">
        <f>E32*F32</f>
        <v/>
      </c>
      <c r="H32" s="4" t="inlineStr">
        <is>
          <t>مطابقة سعر يونيه بالوصفة مع سعر الصنف بالجرد</t>
        </is>
      </c>
    </row>
    <row r="33">
      <c r="A33" s="4" t="inlineStr">
        <is>
          <t>سجق ابوهاشم</t>
        </is>
      </c>
      <c r="B33" s="4" t="inlineStr">
        <is>
          <t>الوصفة الرئيسية</t>
        </is>
      </c>
      <c r="C33" s="4" t="inlineStr">
        <is>
          <t>نشا</t>
        </is>
      </c>
      <c r="D33" s="4" t="inlineStr">
        <is>
          <t>نشا</t>
        </is>
      </c>
      <c r="E33" s="21" t="n">
        <v>0</v>
      </c>
      <c r="F33" s="6">
        <f>'احتساب متوسط سبتمبر'!I36</f>
        <v/>
      </c>
      <c r="G33" s="5">
        <f>E33*F33</f>
        <v/>
      </c>
      <c r="H33" s="4" t="inlineStr">
        <is>
          <t>مطابقة سعر يونيه بالوصفة مع سعر الصنف بالجرد</t>
        </is>
      </c>
    </row>
    <row r="34">
      <c r="A34" s="4" t="inlineStr">
        <is>
          <t>سجق ابوهاشم</t>
        </is>
      </c>
      <c r="B34" s="4" t="inlineStr">
        <is>
          <t>الوصفة الرئيسية</t>
        </is>
      </c>
      <c r="C34" s="4" t="inlineStr">
        <is>
          <t>توابيل</t>
        </is>
      </c>
      <c r="D34" s="4" t="inlineStr">
        <is>
          <t>سعر كجم الخلطة الفرعية</t>
        </is>
      </c>
      <c r="E34" s="21" t="n">
        <v>3.12</v>
      </c>
      <c r="F34" s="6">
        <f>F19</f>
        <v/>
      </c>
      <c r="G34" s="5">
        <f>E34*F34</f>
        <v/>
      </c>
      <c r="H34" s="4" t="inlineStr">
        <is>
          <t>سعر كجم الخلطة الفرعية</t>
        </is>
      </c>
    </row>
    <row r="35">
      <c r="A35" s="22" t="inlineStr">
        <is>
          <t>سجق ابوهاشم</t>
        </is>
      </c>
      <c r="B35" s="14" t="inlineStr">
        <is>
          <t>إجمالى الوصفة الرئيسية</t>
        </is>
      </c>
      <c r="E35" s="23">
        <f>SUM(E21:E34)</f>
        <v/>
      </c>
      <c r="G35" s="24">
        <f>SUM(G21:G34)</f>
        <v/>
      </c>
      <c r="H35" s="22" t="inlineStr">
        <is>
          <t>سعر الكجم = قيمة الوصفة ÷ 98.96 كجم</t>
        </is>
      </c>
    </row>
    <row r="37">
      <c r="A37" s="4" t="inlineStr">
        <is>
          <t>كفته ابوهاشم</t>
        </is>
      </c>
      <c r="B37" s="4" t="inlineStr">
        <is>
          <t>خلطة فرعية (توابل)</t>
        </is>
      </c>
      <c r="C37" s="4" t="inlineStr">
        <is>
          <t>فوسفات</t>
        </is>
      </c>
      <c r="D37" s="4" t="inlineStr">
        <is>
          <t>فوسفات</t>
        </is>
      </c>
      <c r="E37" s="21" t="n">
        <v>0.4</v>
      </c>
      <c r="F37" s="6">
        <f>'احتساب متوسط سبتمبر'!I56</f>
        <v/>
      </c>
      <c r="G37" s="5">
        <f>E37*F37</f>
        <v/>
      </c>
      <c r="H37" s="4" t="inlineStr">
        <is>
          <t>مطابقة سعر يونيه بالوصفة مع سعر الصنف بالجرد</t>
        </is>
      </c>
    </row>
    <row r="38">
      <c r="A38" s="4" t="inlineStr">
        <is>
          <t>كفته ابوهاشم</t>
        </is>
      </c>
      <c r="B38" s="4" t="inlineStr">
        <is>
          <t>خلطة فرعية (توابل)</t>
        </is>
      </c>
      <c r="C38" s="4" t="inlineStr">
        <is>
          <t>مونوصوديم</t>
        </is>
      </c>
      <c r="D38" s="4" t="inlineStr">
        <is>
          <t>جلتومات</t>
        </is>
      </c>
      <c r="E38" s="21" t="n">
        <v>0.3</v>
      </c>
      <c r="F38" s="6">
        <f>'احتساب متوسط سبتمبر'!I57</f>
        <v/>
      </c>
      <c r="G38" s="5">
        <f>E38*F38</f>
        <v/>
      </c>
      <c r="H38" s="4" t="inlineStr">
        <is>
          <t>مطابقة سعر يونيه بالوصفة مع سعر الصنف بالجرد</t>
        </is>
      </c>
    </row>
    <row r="39">
      <c r="A39" s="4" t="inlineStr">
        <is>
          <t>كفته ابوهاشم</t>
        </is>
      </c>
      <c r="B39" s="4" t="inlineStr">
        <is>
          <t>خلطة فرعية (توابل)</t>
        </is>
      </c>
      <c r="C39" s="4" t="inlineStr">
        <is>
          <t>طعم كفته</t>
        </is>
      </c>
      <c r="D39" s="4" t="inlineStr">
        <is>
          <t>طعم كفته</t>
        </is>
      </c>
      <c r="E39" s="21" t="n">
        <v>0</v>
      </c>
      <c r="F39" s="6">
        <f>'احتساب متوسط سبتمبر'!I61</f>
        <v/>
      </c>
      <c r="G39" s="5">
        <f>E39*F39</f>
        <v/>
      </c>
      <c r="H39" s="4" t="inlineStr">
        <is>
          <t>مطابقة سعر يونيه بالوصفة مع سعر الصنف بالجرد</t>
        </is>
      </c>
    </row>
    <row r="40">
      <c r="A40" s="4" t="inlineStr">
        <is>
          <t>كفته ابوهاشم</t>
        </is>
      </c>
      <c r="B40" s="4" t="inlineStr">
        <is>
          <t>خلطة فرعية (توابل)</t>
        </is>
      </c>
      <c r="C40" s="4" t="inlineStr">
        <is>
          <t>طعم شواء</t>
        </is>
      </c>
      <c r="D40" s="4" t="inlineStr">
        <is>
          <t>طعم شواي</t>
        </is>
      </c>
      <c r="E40" s="21" t="n">
        <v>0.1</v>
      </c>
      <c r="F40" s="6">
        <f>'احتساب متوسط سبتمبر'!I64</f>
        <v/>
      </c>
      <c r="G40" s="5">
        <f>E40*F40</f>
        <v/>
      </c>
      <c r="H40" s="4" t="inlineStr">
        <is>
          <t>مطابقة سعر يونيه بالوصفة مع سعر الصنف بالجرد</t>
        </is>
      </c>
    </row>
    <row r="41">
      <c r="A41" s="4" t="inlineStr">
        <is>
          <t>كفته ابوهاشم</t>
        </is>
      </c>
      <c r="B41" s="4" t="inlineStr">
        <is>
          <t>خلطة فرعية (توابل)</t>
        </is>
      </c>
      <c r="C41" s="4" t="inlineStr">
        <is>
          <t>طعم بيف</t>
        </is>
      </c>
      <c r="D41" s="4" t="inlineStr">
        <is>
          <t>طعم بيف</t>
        </is>
      </c>
      <c r="E41" s="21" t="n">
        <v>0.1</v>
      </c>
      <c r="F41" s="6">
        <f>'احتساب متوسط سبتمبر'!I63</f>
        <v/>
      </c>
      <c r="G41" s="5">
        <f>E41*F41</f>
        <v/>
      </c>
      <c r="H41" s="4" t="inlineStr">
        <is>
          <t>مطابقة سعر يونيه بالوصفة مع سعر الصنف بالجرد</t>
        </is>
      </c>
    </row>
    <row r="42">
      <c r="A42" s="4" t="inlineStr">
        <is>
          <t>كفته ابوهاشم</t>
        </is>
      </c>
      <c r="B42" s="4" t="inlineStr">
        <is>
          <t>خلطة فرعية (توابل)</t>
        </is>
      </c>
      <c r="C42" s="4" t="inlineStr">
        <is>
          <t>خلنجان</t>
        </is>
      </c>
      <c r="D42" s="4" t="inlineStr">
        <is>
          <t>خلنجان</t>
        </is>
      </c>
      <c r="E42" s="21" t="n">
        <v>0</v>
      </c>
      <c r="F42" s="6">
        <f>'احتساب متوسط سبتمبر'!I44</f>
        <v/>
      </c>
      <c r="G42" s="5">
        <f>E42*F42</f>
        <v/>
      </c>
      <c r="H42" s="4" t="inlineStr">
        <is>
          <t>مطابقة سعر يونيه بالوصفة مع سعر الصنف بالجرد</t>
        </is>
      </c>
    </row>
    <row r="43">
      <c r="A43" s="4" t="inlineStr">
        <is>
          <t>كفته ابوهاشم</t>
        </is>
      </c>
      <c r="B43" s="4" t="inlineStr">
        <is>
          <t>خلطة فرعية (توابل)</t>
        </is>
      </c>
      <c r="C43" s="4" t="inlineStr">
        <is>
          <t>فلفل اسود</t>
        </is>
      </c>
      <c r="D43" s="4" t="inlineStr">
        <is>
          <t>فلفل اسود</t>
        </is>
      </c>
      <c r="E43" s="21" t="n">
        <v>0.3</v>
      </c>
      <c r="F43" s="6">
        <f>'احتساب متوسط سبتمبر'!I37</f>
        <v/>
      </c>
      <c r="G43" s="5">
        <f>E43*F43</f>
        <v/>
      </c>
      <c r="H43" s="4" t="inlineStr">
        <is>
          <t>مطابقة سعر يونيه بالوصفة مع سعر الصنف بالجرد</t>
        </is>
      </c>
    </row>
    <row r="44">
      <c r="A44" s="4" t="inlineStr">
        <is>
          <t>كفته ابوهاشم</t>
        </is>
      </c>
      <c r="B44" s="4" t="inlineStr">
        <is>
          <t>خلطة فرعية (توابل)</t>
        </is>
      </c>
      <c r="C44" s="4" t="inlineStr">
        <is>
          <t>كزبرة</t>
        </is>
      </c>
      <c r="D44" s="4" t="inlineStr">
        <is>
          <t>كزبره</t>
        </is>
      </c>
      <c r="E44" s="21" t="n">
        <v>0.05</v>
      </c>
      <c r="F44" s="6">
        <f>'احتساب متوسط سبتمبر'!I45</f>
        <v/>
      </c>
      <c r="G44" s="5">
        <f>E44*F44</f>
        <v/>
      </c>
      <c r="H44" s="4" t="inlineStr">
        <is>
          <t>مطابقة سعر يونيه بالوصفة مع سعر الصنف بالجرد</t>
        </is>
      </c>
    </row>
    <row r="45">
      <c r="A45" s="4" t="inlineStr">
        <is>
          <t>كفته ابوهاشم</t>
        </is>
      </c>
      <c r="B45" s="4" t="inlineStr">
        <is>
          <t>خلطة فرعية (توابل)</t>
        </is>
      </c>
      <c r="C45" s="4" t="inlineStr">
        <is>
          <t>كبابة</t>
        </is>
      </c>
      <c r="D45" s="4" t="inlineStr">
        <is>
          <t>كبابه</t>
        </is>
      </c>
      <c r="E45" s="21" t="n">
        <v>0.04</v>
      </c>
      <c r="F45" s="6">
        <f>'احتساب متوسط سبتمبر'!I41</f>
        <v/>
      </c>
      <c r="G45" s="5">
        <f>E45*F45</f>
        <v/>
      </c>
      <c r="H45" s="4" t="inlineStr">
        <is>
          <t>مطابقة سعر يونيه بالوصفة مع سعر الصنف بالجرد</t>
        </is>
      </c>
    </row>
    <row r="46">
      <c r="A46" s="4" t="inlineStr">
        <is>
          <t>كفته ابوهاشم</t>
        </is>
      </c>
      <c r="B46" s="4" t="inlineStr">
        <is>
          <t>خلطة فرعية (توابل)</t>
        </is>
      </c>
      <c r="C46" s="4" t="inlineStr">
        <is>
          <t>قرنفل</t>
        </is>
      </c>
      <c r="D46" s="4" t="inlineStr">
        <is>
          <t>قرنفل</t>
        </is>
      </c>
      <c r="E46" s="21" t="n">
        <v>0.01</v>
      </c>
      <c r="F46" s="6">
        <f>'احتساب متوسط سبتمبر'!I38</f>
        <v/>
      </c>
      <c r="G46" s="5">
        <f>E46*F46</f>
        <v/>
      </c>
      <c r="H46" s="4" t="inlineStr">
        <is>
          <t>مطابقة سعر يونيه بالوصفة مع سعر الصنف بالجرد</t>
        </is>
      </c>
    </row>
    <row r="47">
      <c r="A47" s="4" t="inlineStr">
        <is>
          <t>كفته ابوهاشم</t>
        </is>
      </c>
      <c r="B47" s="4" t="inlineStr">
        <is>
          <t>خلطة فرعية (توابل)</t>
        </is>
      </c>
      <c r="C47" s="4" t="inlineStr">
        <is>
          <t>طعم ليه</t>
        </is>
      </c>
      <c r="D47" s="4" t="inlineStr">
        <is>
          <t>طعم ليه</t>
        </is>
      </c>
      <c r="E47" s="21" t="n">
        <v>0.05</v>
      </c>
      <c r="F47" s="6">
        <f>'احتساب متوسط سبتمبر'!I60</f>
        <v/>
      </c>
      <c r="G47" s="5">
        <f>E47*F47</f>
        <v/>
      </c>
      <c r="H47" s="4" t="inlineStr">
        <is>
          <t>مطابقة سعر يونيه بالوصفة مع سعر الصنف بالجرد</t>
        </is>
      </c>
    </row>
    <row r="48">
      <c r="A48" s="4" t="inlineStr">
        <is>
          <t>كفته ابوهاشم</t>
        </is>
      </c>
      <c r="B48" s="4" t="inlineStr">
        <is>
          <t>خلطة فرعية (توابل)</t>
        </is>
      </c>
      <c r="C48" s="4" t="inlineStr">
        <is>
          <t>سكر</t>
        </is>
      </c>
      <c r="D48" s="4" t="inlineStr">
        <is>
          <t>سكر</t>
        </is>
      </c>
      <c r="E48" s="21" t="n">
        <v>0.025</v>
      </c>
      <c r="F48" s="6">
        <f>'احتساب متوسط سبتمبر'!I68</f>
        <v/>
      </c>
      <c r="G48" s="5">
        <f>E48*F48</f>
        <v/>
      </c>
      <c r="H48" s="4" t="inlineStr">
        <is>
          <t>مطابقة سعر يونيه بالوصفة مع سعر الصنف بالجرد</t>
        </is>
      </c>
    </row>
    <row r="49">
      <c r="A49" s="4" t="inlineStr">
        <is>
          <t>كفته ابوهاشم</t>
        </is>
      </c>
      <c r="B49" s="4" t="inlineStr">
        <is>
          <t>خلطة فرعية (توابل)</t>
        </is>
      </c>
      <c r="C49" s="4" t="inlineStr">
        <is>
          <t>قرفه</t>
        </is>
      </c>
      <c r="D49" s="4" t="inlineStr">
        <is>
          <t>قرفه</t>
        </is>
      </c>
      <c r="E49" s="21" t="n">
        <v>0.025</v>
      </c>
      <c r="F49" s="6">
        <f>'احتساب متوسط سبتمبر'!I46</f>
        <v/>
      </c>
      <c r="G49" s="5">
        <f>E49*F49</f>
        <v/>
      </c>
      <c r="H49" s="4" t="inlineStr">
        <is>
          <t>مطابقة سعر يونيه بالوصفة مع سعر الصنف بالجرد</t>
        </is>
      </c>
    </row>
    <row r="50">
      <c r="A50" s="4" t="inlineStr">
        <is>
          <t>كفته ابوهاشم</t>
        </is>
      </c>
      <c r="B50" s="4" t="inlineStr">
        <is>
          <t>خلطة فرعية (توابل)</t>
        </is>
      </c>
      <c r="C50" s="4" t="inlineStr">
        <is>
          <t>شطه</t>
        </is>
      </c>
      <c r="D50" s="4" t="inlineStr">
        <is>
          <t>شطه</t>
        </is>
      </c>
      <c r="E50" s="21" t="n">
        <v>0</v>
      </c>
      <c r="F50" s="6">
        <f>'احتساب متوسط سبتمبر'!I48</f>
        <v/>
      </c>
      <c r="G50" s="5">
        <f>E50*F50</f>
        <v/>
      </c>
      <c r="H50" s="4" t="inlineStr">
        <is>
          <t>مطابقة سعر يونيه بالوصفة مع سعر الصنف بالجرد</t>
        </is>
      </c>
    </row>
    <row r="51">
      <c r="A51" s="4" t="inlineStr">
        <is>
          <t>كفته ابوهاشم</t>
        </is>
      </c>
      <c r="B51" s="4" t="inlineStr">
        <is>
          <t>خلطة فرعية (توابل)</t>
        </is>
      </c>
      <c r="C51" s="4" t="inlineStr">
        <is>
          <t>ملح</t>
        </is>
      </c>
      <c r="D51" s="4" t="inlineStr">
        <is>
          <t>الملح</t>
        </is>
      </c>
      <c r="E51" s="21" t="n">
        <v>1.2</v>
      </c>
      <c r="F51" s="6">
        <f>'احتساب متوسط سبتمبر'!I55</f>
        <v/>
      </c>
      <c r="G51" s="5">
        <f>E51*F51</f>
        <v/>
      </c>
      <c r="H51" s="4" t="inlineStr">
        <is>
          <t>مطابقة سعر يونيه بالوصفة مع سعر الصنف بالجرد</t>
        </is>
      </c>
    </row>
    <row r="52">
      <c r="A52" s="22" t="inlineStr">
        <is>
          <t>كفته ابوهاشم</t>
        </is>
      </c>
      <c r="B52" s="14" t="inlineStr">
        <is>
          <t>إجمالى خلطة فرعية (توابل)</t>
        </is>
      </c>
      <c r="E52" s="23">
        <f>SUM(E37:E51)</f>
        <v/>
      </c>
      <c r="F52" s="15">
        <f>G52/E52</f>
        <v/>
      </c>
      <c r="G52" s="24">
        <f>SUM(G37:G51)</f>
        <v/>
      </c>
    </row>
    <row r="54">
      <c r="A54" s="4" t="inlineStr">
        <is>
          <t>كفته ابوهاشم</t>
        </is>
      </c>
      <c r="B54" s="4" t="inlineStr">
        <is>
          <t>الوصفة الرئيسية</t>
        </is>
      </c>
      <c r="C54" s="4" t="inlineStr">
        <is>
          <t>فلانك</t>
        </is>
      </c>
      <c r="D54" s="4" t="inlineStr">
        <is>
          <t>فلانك</t>
        </is>
      </c>
      <c r="E54" s="21" t="n">
        <v>20</v>
      </c>
      <c r="F54" s="6">
        <f>'احتساب متوسط سبتمبر'!I19</f>
        <v/>
      </c>
      <c r="G54" s="5">
        <f>E54*F54</f>
        <v/>
      </c>
      <c r="H54" s="4" t="inlineStr">
        <is>
          <t>مطابقة سعر يونيه بالوصفة مع سعر الصنف بالجرد</t>
        </is>
      </c>
    </row>
    <row r="55">
      <c r="A55" s="4" t="inlineStr">
        <is>
          <t>كفته ابوهاشم</t>
        </is>
      </c>
      <c r="B55" s="4" t="inlineStr">
        <is>
          <t>الوصفة الرئيسية</t>
        </is>
      </c>
      <c r="C55" s="4" t="inlineStr">
        <is>
          <t>مفروم فراخ فاخر</t>
        </is>
      </c>
      <c r="D55" s="4" t="inlineStr">
        <is>
          <t>مفروم فراخ فاخر</t>
        </is>
      </c>
      <c r="E55" s="21" t="n">
        <v>5</v>
      </c>
      <c r="F55" s="17">
        <f>'احتساب متوسط سبتمبر'!C12</f>
        <v/>
      </c>
      <c r="G55" s="5">
        <f>E55*F55</f>
        <v/>
      </c>
      <c r="H55" s="10" t="inlineStr">
        <is>
          <t>مؤقت: سعر أغسطس لحين حسم فاتورة الفراخ المفرومة</t>
        </is>
      </c>
    </row>
    <row r="56">
      <c r="A56" s="4" t="inlineStr">
        <is>
          <t>كفته ابوهاشم</t>
        </is>
      </c>
      <c r="B56" s="4" t="inlineStr">
        <is>
          <t>الوصفة الرئيسية</t>
        </is>
      </c>
      <c r="C56" s="4" t="inlineStr">
        <is>
          <t>فلفل اخضر</t>
        </is>
      </c>
      <c r="D56" s="4" t="inlineStr">
        <is>
          <t>فلفل رومي حامي</t>
        </is>
      </c>
      <c r="E56" s="21" t="n">
        <v>2.5</v>
      </c>
      <c r="F56" s="6">
        <f>'احتساب متوسط سبتمبر'!I26</f>
        <v/>
      </c>
      <c r="G56" s="5">
        <f>E56*F56</f>
        <v/>
      </c>
      <c r="H56" s="4" t="inlineStr">
        <is>
          <t>مطابقة سعر يونيه بالوصفة مع سعر الصنف بالجرد</t>
        </is>
      </c>
    </row>
    <row r="57">
      <c r="A57" s="4" t="inlineStr">
        <is>
          <t>كفته ابوهاشم</t>
        </is>
      </c>
      <c r="B57" s="4" t="inlineStr">
        <is>
          <t>الوصفة الرئيسية</t>
        </is>
      </c>
      <c r="C57" s="4" t="inlineStr">
        <is>
          <t>دهن</t>
        </is>
      </c>
      <c r="D57" s="4" t="inlineStr">
        <is>
          <t>دهن بلدي</t>
        </is>
      </c>
      <c r="E57" s="21" t="n">
        <v>9</v>
      </c>
      <c r="F57" s="6">
        <f>'احتساب متوسط سبتمبر'!I13</f>
        <v/>
      </c>
      <c r="G57" s="5">
        <f>E57*F57</f>
        <v/>
      </c>
      <c r="H57" s="4" t="inlineStr">
        <is>
          <t>مطابقة سعر يونيه بالوصفة مع سعر الصنف بالجرد</t>
        </is>
      </c>
    </row>
    <row r="58">
      <c r="A58" s="4" t="inlineStr">
        <is>
          <t>كفته ابوهاشم</t>
        </is>
      </c>
      <c r="B58" s="4" t="inlineStr">
        <is>
          <t>الوصفة الرئيسية</t>
        </is>
      </c>
      <c r="C58" s="4" t="inlineStr">
        <is>
          <t>صويا</t>
        </is>
      </c>
      <c r="D58" s="4" t="inlineStr">
        <is>
          <t>صويا لحمه</t>
        </is>
      </c>
      <c r="E58" s="21" t="n">
        <v>7.5</v>
      </c>
      <c r="F58" s="6">
        <f>'احتساب متوسط سبتمبر'!I10</f>
        <v/>
      </c>
      <c r="G58" s="5">
        <f>E58*F58</f>
        <v/>
      </c>
      <c r="H58" s="4" t="inlineStr">
        <is>
          <t>مطابقة سعر يونيه بالوصفة مع سعر الصنف بالجرد</t>
        </is>
      </c>
    </row>
    <row r="59">
      <c r="A59" s="4" t="inlineStr">
        <is>
          <t>كفته ابوهاشم</t>
        </is>
      </c>
      <c r="B59" s="4" t="inlineStr">
        <is>
          <t>الوصفة الرئيسية</t>
        </is>
      </c>
      <c r="C59" s="4" t="inlineStr">
        <is>
          <t>فلفل حار</t>
        </is>
      </c>
      <c r="D59" s="4" t="inlineStr">
        <is>
          <t>فلفل رومي حامي</t>
        </is>
      </c>
      <c r="E59" s="21" t="n">
        <v>0.2</v>
      </c>
      <c r="F59" s="6">
        <f>'احتساب متوسط سبتمبر'!I26</f>
        <v/>
      </c>
      <c r="G59" s="5">
        <f>E59*F59</f>
        <v/>
      </c>
      <c r="H59" s="4" t="inlineStr">
        <is>
          <t>مطابقة سعر يونيه بالوصفة مع سعر الصنف بالجرد</t>
        </is>
      </c>
    </row>
    <row r="60">
      <c r="A60" s="4" t="inlineStr">
        <is>
          <t>كفته ابوهاشم</t>
        </is>
      </c>
      <c r="B60" s="4" t="inlineStr">
        <is>
          <t>الوصفة الرئيسية</t>
        </is>
      </c>
      <c r="C60" s="4" t="inlineStr">
        <is>
          <t>برغل</t>
        </is>
      </c>
      <c r="D60" s="4" t="inlineStr">
        <is>
          <t>برغل</t>
        </is>
      </c>
      <c r="E60" s="21" t="n">
        <v>0</v>
      </c>
      <c r="F60" s="6">
        <f>'احتساب متوسط سبتمبر'!I20</f>
        <v/>
      </c>
      <c r="G60" s="5">
        <f>E60*F60</f>
        <v/>
      </c>
      <c r="H60" s="4" t="inlineStr">
        <is>
          <t>مطابقة سعر يونيه بالوصفة مع سعر الصنف بالجرد</t>
        </is>
      </c>
    </row>
    <row r="61">
      <c r="A61" s="4" t="inlineStr">
        <is>
          <t>كفته ابوهاشم</t>
        </is>
      </c>
      <c r="B61" s="4" t="inlineStr">
        <is>
          <t>الوصفة الرئيسية</t>
        </is>
      </c>
      <c r="C61" s="4" t="inlineStr">
        <is>
          <t>بصل</t>
        </is>
      </c>
      <c r="D61" s="4" t="inlineStr">
        <is>
          <t>بصل</t>
        </is>
      </c>
      <c r="E61" s="21" t="n">
        <v>6</v>
      </c>
      <c r="F61" s="6">
        <f>'احتساب متوسط سبتمبر'!I5</f>
        <v/>
      </c>
      <c r="G61" s="5">
        <f>E61*F61</f>
        <v/>
      </c>
      <c r="H61" s="4" t="inlineStr">
        <is>
          <t>مطابقة سعر يونيه بالوصفة مع سعر الصنف بالجرد</t>
        </is>
      </c>
    </row>
    <row r="62">
      <c r="A62" s="4" t="inlineStr">
        <is>
          <t>كفته ابوهاشم</t>
        </is>
      </c>
      <c r="B62" s="4" t="inlineStr">
        <is>
          <t>الوصفة الرئيسية</t>
        </is>
      </c>
      <c r="C62" s="4" t="inlineStr">
        <is>
          <t>صويا ايزوليت</t>
        </is>
      </c>
      <c r="D62" s="4" t="inlineStr">
        <is>
          <t>صويا اوزيليت</t>
        </is>
      </c>
      <c r="E62" s="21" t="n">
        <v>1.2</v>
      </c>
      <c r="F62" s="6">
        <f>'احتساب متوسط سبتمبر'!I11</f>
        <v/>
      </c>
      <c r="G62" s="5">
        <f>E62*F62</f>
        <v/>
      </c>
      <c r="H62" s="4" t="inlineStr">
        <is>
          <t>مطابقة سعر يونيه بالوصفة مع سعر الصنف بالجرد</t>
        </is>
      </c>
    </row>
    <row r="63">
      <c r="A63" s="4" t="inlineStr">
        <is>
          <t>كفته ابوهاشم</t>
        </is>
      </c>
      <c r="B63" s="4" t="inlineStr">
        <is>
          <t>الوصفة الرئيسية</t>
        </is>
      </c>
      <c r="C63" s="4" t="inlineStr">
        <is>
          <t>مايه</t>
        </is>
      </c>
      <c r="D63" s="4" t="inlineStr">
        <is>
          <t>—</t>
        </is>
      </c>
      <c r="E63" s="21" t="n">
        <v>15</v>
      </c>
      <c r="F63" s="6" t="n">
        <v>0</v>
      </c>
      <c r="G63" s="5">
        <f>E63*F63</f>
        <v/>
      </c>
      <c r="H63" s="10" t="inlineStr">
        <is>
          <t>لا يوجد سعر شراء مسجل للمياه ضمن الخامات — عادة تكلفة مرافق غير مباشرة</t>
        </is>
      </c>
    </row>
    <row r="64">
      <c r="A64" s="4" t="inlineStr">
        <is>
          <t>كفته ابوهاشم</t>
        </is>
      </c>
      <c r="B64" s="4" t="inlineStr">
        <is>
          <t>الوصفة الرئيسية</t>
        </is>
      </c>
      <c r="C64" s="4" t="inlineStr">
        <is>
          <t>نشا</t>
        </is>
      </c>
      <c r="D64" s="4" t="inlineStr">
        <is>
          <t>نشا</t>
        </is>
      </c>
      <c r="E64" s="21" t="n">
        <v>2.5</v>
      </c>
      <c r="F64" s="6">
        <f>'احتساب متوسط سبتمبر'!I36</f>
        <v/>
      </c>
      <c r="G64" s="5">
        <f>E64*F64</f>
        <v/>
      </c>
      <c r="H64" s="4" t="inlineStr">
        <is>
          <t>مطابقة سعر يونيه بالوصفة مع سعر الصنف بالجرد</t>
        </is>
      </c>
    </row>
    <row r="65">
      <c r="A65" s="4" t="inlineStr">
        <is>
          <t>كفته ابوهاشم</t>
        </is>
      </c>
      <c r="B65" s="4" t="inlineStr">
        <is>
          <t>الوصفة الرئيسية</t>
        </is>
      </c>
      <c r="C65" s="4" t="inlineStr">
        <is>
          <t>صميد</t>
        </is>
      </c>
      <c r="D65" s="4" t="inlineStr">
        <is>
          <t>صميد</t>
        </is>
      </c>
      <c r="E65" s="21" t="n">
        <v>2</v>
      </c>
      <c r="F65" s="6">
        <f>'احتساب متوسط سبتمبر'!I9</f>
        <v/>
      </c>
      <c r="G65" s="5">
        <f>E65*F65</f>
        <v/>
      </c>
      <c r="H65" s="4" t="inlineStr">
        <is>
          <t>مطابقة سعر يونيه بالوصفة مع سعر الصنف بالجرد</t>
        </is>
      </c>
    </row>
    <row r="66">
      <c r="A66" s="4" t="inlineStr">
        <is>
          <t>كفته ابوهاشم</t>
        </is>
      </c>
      <c r="B66" s="4" t="inlineStr">
        <is>
          <t>الوصفة الرئيسية</t>
        </is>
      </c>
      <c r="C66" s="4" t="inlineStr">
        <is>
          <t>دبوبريه</t>
        </is>
      </c>
      <c r="D66" s="4" t="inlineStr">
        <is>
          <t>دوبريه</t>
        </is>
      </c>
      <c r="E66" s="21" t="n">
        <v>5</v>
      </c>
      <c r="F66" s="6">
        <f>'احتساب متوسط سبتمبر'!I25</f>
        <v/>
      </c>
      <c r="G66" s="5">
        <f>E66*F66</f>
        <v/>
      </c>
      <c r="H66" s="4" t="inlineStr">
        <is>
          <t>مطابقة سعر يونيه بالوصفة مع سعر الصنف بالجرد</t>
        </is>
      </c>
    </row>
    <row r="67">
      <c r="A67" s="4" t="inlineStr">
        <is>
          <t>كفته ابوهاشم</t>
        </is>
      </c>
      <c r="B67" s="4" t="inlineStr">
        <is>
          <t>الوصفة الرئيسية</t>
        </is>
      </c>
      <c r="C67" s="4" t="inlineStr">
        <is>
          <t>توابيل</t>
        </is>
      </c>
      <c r="D67" s="4" t="inlineStr">
        <is>
          <t>سعر كجم الخلطة الفرعية</t>
        </is>
      </c>
      <c r="E67" s="21" t="n">
        <v>2.6</v>
      </c>
      <c r="F67" s="6">
        <f>F52</f>
        <v/>
      </c>
      <c r="G67" s="5">
        <f>E67*F67</f>
        <v/>
      </c>
      <c r="H67" s="4" t="inlineStr">
        <is>
          <t>سعر كجم الخلطة الفرعية</t>
        </is>
      </c>
    </row>
    <row r="68">
      <c r="A68" s="22" t="inlineStr">
        <is>
          <t>كفته ابوهاشم</t>
        </is>
      </c>
      <c r="B68" s="14" t="inlineStr">
        <is>
          <t>إجمالى الوصفة الرئيسية</t>
        </is>
      </c>
      <c r="E68" s="23">
        <f>SUM(E54:E67)</f>
        <v/>
      </c>
      <c r="G68" s="24">
        <f>SUM(G54:G67)</f>
        <v/>
      </c>
      <c r="H68" s="22" t="inlineStr">
        <is>
          <t>سعر الكجم = قيمة الوصفة ÷ 78.5 كجم</t>
        </is>
      </c>
    </row>
    <row r="70">
      <c r="A70" s="4" t="inlineStr">
        <is>
          <t>برجر ابوهاشم</t>
        </is>
      </c>
      <c r="B70" s="4" t="inlineStr">
        <is>
          <t>خلطة فرعية (توابل)</t>
        </is>
      </c>
      <c r="C70" s="4" t="inlineStr">
        <is>
          <t>فوسفات</t>
        </is>
      </c>
      <c r="D70" s="4" t="inlineStr">
        <is>
          <t>فوسفات</t>
        </is>
      </c>
      <c r="E70" s="21" t="n">
        <v>0.25</v>
      </c>
      <c r="F70" s="6">
        <f>'احتساب متوسط سبتمبر'!I56</f>
        <v/>
      </c>
      <c r="G70" s="5">
        <f>E70*F70</f>
        <v/>
      </c>
      <c r="H70" s="4" t="inlineStr">
        <is>
          <t>مطابقة سعر يونيه بالوصفة مع سعر الصنف بالجرد</t>
        </is>
      </c>
    </row>
    <row r="71">
      <c r="A71" s="4" t="inlineStr">
        <is>
          <t>برجر ابوهاشم</t>
        </is>
      </c>
      <c r="B71" s="4" t="inlineStr">
        <is>
          <t>خلطة فرعية (توابل)</t>
        </is>
      </c>
      <c r="C71" s="4" t="inlineStr">
        <is>
          <t>مونوصوديم</t>
        </is>
      </c>
      <c r="D71" s="4" t="inlineStr">
        <is>
          <t>جلتومات</t>
        </is>
      </c>
      <c r="E71" s="21" t="n">
        <v>0.2</v>
      </c>
      <c r="F71" s="6">
        <f>'احتساب متوسط سبتمبر'!I57</f>
        <v/>
      </c>
      <c r="G71" s="5">
        <f>E71*F71</f>
        <v/>
      </c>
      <c r="H71" s="4" t="inlineStr">
        <is>
          <t>مطابقة سعر يونيه بالوصفة مع سعر الصنف بالجرد</t>
        </is>
      </c>
    </row>
    <row r="72">
      <c r="A72" s="4" t="inlineStr">
        <is>
          <t>برجر ابوهاشم</t>
        </is>
      </c>
      <c r="B72" s="4" t="inlineStr">
        <is>
          <t>خلطة فرعية (توابل)</t>
        </is>
      </c>
      <c r="C72" s="4" t="inlineStr">
        <is>
          <t>طعم برجر</t>
        </is>
      </c>
      <c r="D72" s="4" t="inlineStr">
        <is>
          <t>طعم برجر</t>
        </is>
      </c>
      <c r="E72" s="21" t="n">
        <v>0.1</v>
      </c>
      <c r="F72" s="6">
        <f>'احتساب متوسط سبتمبر'!I62</f>
        <v/>
      </c>
      <c r="G72" s="5">
        <f>E72*F72</f>
        <v/>
      </c>
      <c r="H72" s="4" t="inlineStr">
        <is>
          <t>مطابقة سعر يونيه بالوصفة مع سعر الصنف بالجرد</t>
        </is>
      </c>
    </row>
    <row r="73">
      <c r="A73" s="4" t="inlineStr">
        <is>
          <t>برجر ابوهاشم</t>
        </is>
      </c>
      <c r="B73" s="4" t="inlineStr">
        <is>
          <t>خلطة فرعية (توابل)</t>
        </is>
      </c>
      <c r="C73" s="4" t="inlineStr">
        <is>
          <t>طعم دخان</t>
        </is>
      </c>
      <c r="D73" s="4" t="inlineStr">
        <is>
          <t>—</t>
        </is>
      </c>
      <c r="E73" s="21" t="n">
        <v>0</v>
      </c>
      <c r="F73" s="6" t="n">
        <v>0</v>
      </c>
      <c r="G73" s="5">
        <f>E73*F73</f>
        <v/>
      </c>
      <c r="H73" s="10" t="inlineStr">
        <is>
          <t>صنف غير موجود ضمن قاعدة بيانات الخامات المُسعّرة</t>
        </is>
      </c>
    </row>
    <row r="74">
      <c r="A74" s="4" t="inlineStr">
        <is>
          <t>برجر ابوهاشم</t>
        </is>
      </c>
      <c r="B74" s="4" t="inlineStr">
        <is>
          <t>خلطة فرعية (توابل)</t>
        </is>
      </c>
      <c r="C74" s="4" t="inlineStr">
        <is>
          <t>طعم بيف</t>
        </is>
      </c>
      <c r="D74" s="4" t="inlineStr">
        <is>
          <t>طعم بيف</t>
        </is>
      </c>
      <c r="E74" s="21" t="n">
        <v>0.15</v>
      </c>
      <c r="F74" s="6">
        <f>'احتساب متوسط سبتمبر'!I63</f>
        <v/>
      </c>
      <c r="G74" s="5">
        <f>E74*F74</f>
        <v/>
      </c>
      <c r="H74" s="4" t="inlineStr">
        <is>
          <t>مطابقة سعر يونيه بالوصفة مع سعر الصنف بالجرد</t>
        </is>
      </c>
    </row>
    <row r="75">
      <c r="A75" s="4" t="inlineStr">
        <is>
          <t>برجر ابوهاشم</t>
        </is>
      </c>
      <c r="B75" s="4" t="inlineStr">
        <is>
          <t>خلطة فرعية (توابل)</t>
        </is>
      </c>
      <c r="C75" s="4" t="inlineStr">
        <is>
          <t>قرفه</t>
        </is>
      </c>
      <c r="D75" s="4" t="inlineStr">
        <is>
          <t>قرفه</t>
        </is>
      </c>
      <c r="E75" s="21" t="n">
        <v>0.05</v>
      </c>
      <c r="F75" s="6">
        <f>'احتساب متوسط سبتمبر'!I46</f>
        <v/>
      </c>
      <c r="G75" s="5">
        <f>E75*F75</f>
        <v/>
      </c>
      <c r="H75" s="4" t="inlineStr">
        <is>
          <t>مطابقة سعر يونيه بالوصفة مع سعر الصنف بالجرد</t>
        </is>
      </c>
    </row>
    <row r="76">
      <c r="A76" s="4" t="inlineStr">
        <is>
          <t>برجر ابوهاشم</t>
        </is>
      </c>
      <c r="B76" s="4" t="inlineStr">
        <is>
          <t>خلطة فرعية (توابل)</t>
        </is>
      </c>
      <c r="C76" s="4" t="inlineStr">
        <is>
          <t>فلفل اسود</t>
        </is>
      </c>
      <c r="D76" s="4" t="inlineStr">
        <is>
          <t>فلفل اسود</t>
        </is>
      </c>
      <c r="E76" s="21" t="n">
        <v>0.25</v>
      </c>
      <c r="F76" s="6">
        <f>'احتساب متوسط سبتمبر'!I37</f>
        <v/>
      </c>
      <c r="G76" s="5">
        <f>E76*F76</f>
        <v/>
      </c>
      <c r="H76" s="4" t="inlineStr">
        <is>
          <t>مطابقة سعر يونيه بالوصفة مع سعر الصنف بالجرد</t>
        </is>
      </c>
    </row>
    <row r="77">
      <c r="A77" s="4" t="inlineStr">
        <is>
          <t>برجر ابوهاشم</t>
        </is>
      </c>
      <c r="B77" s="4" t="inlineStr">
        <is>
          <t>خلطة فرعية (توابل)</t>
        </is>
      </c>
      <c r="C77" s="4" t="inlineStr">
        <is>
          <t>كزبرة</t>
        </is>
      </c>
      <c r="D77" s="4" t="inlineStr">
        <is>
          <t>كزبره</t>
        </is>
      </c>
      <c r="E77" s="21" t="n">
        <v>0.07000000000000001</v>
      </c>
      <c r="F77" s="6">
        <f>'احتساب متوسط سبتمبر'!I45</f>
        <v/>
      </c>
      <c r="G77" s="5">
        <f>E77*F77</f>
        <v/>
      </c>
      <c r="H77" s="4" t="inlineStr">
        <is>
          <t>مطابقة سعر يونيه بالوصفة مع سعر الصنف بالجرد</t>
        </is>
      </c>
    </row>
    <row r="78">
      <c r="A78" s="4" t="inlineStr">
        <is>
          <t>برجر ابوهاشم</t>
        </is>
      </c>
      <c r="B78" s="4" t="inlineStr">
        <is>
          <t>خلطة فرعية (توابل)</t>
        </is>
      </c>
      <c r="C78" s="4" t="inlineStr">
        <is>
          <t>كبابة</t>
        </is>
      </c>
      <c r="D78" s="4" t="inlineStr">
        <is>
          <t>كبابه</t>
        </is>
      </c>
      <c r="E78" s="21" t="n">
        <v>0</v>
      </c>
      <c r="F78" s="6">
        <f>'احتساب متوسط سبتمبر'!I41</f>
        <v/>
      </c>
      <c r="G78" s="5">
        <f>E78*F78</f>
        <v/>
      </c>
      <c r="H78" s="4" t="inlineStr">
        <is>
          <t>مطابقة سعر يونيه بالوصفة مع سعر الصنف بالجرد</t>
        </is>
      </c>
    </row>
    <row r="79">
      <c r="A79" s="4" t="inlineStr">
        <is>
          <t>برجر ابوهاشم</t>
        </is>
      </c>
      <c r="B79" s="4" t="inlineStr">
        <is>
          <t>خلطة فرعية (توابل)</t>
        </is>
      </c>
      <c r="C79" s="4" t="inlineStr">
        <is>
          <t>قرنفل</t>
        </is>
      </c>
      <c r="D79" s="4" t="inlineStr">
        <is>
          <t>قرنفل</t>
        </is>
      </c>
      <c r="E79" s="21" t="n">
        <v>0.025</v>
      </c>
      <c r="F79" s="6">
        <f>'احتساب متوسط سبتمبر'!I38</f>
        <v/>
      </c>
      <c r="G79" s="5">
        <f>E79*F79</f>
        <v/>
      </c>
      <c r="H79" s="4" t="inlineStr">
        <is>
          <t>مطابقة سعر يونيه بالوصفة مع سعر الصنف بالجرد</t>
        </is>
      </c>
    </row>
    <row r="80">
      <c r="A80" s="4" t="inlineStr">
        <is>
          <t>برجر ابوهاشم</t>
        </is>
      </c>
      <c r="B80" s="4" t="inlineStr">
        <is>
          <t>خلطة فرعية (توابل)</t>
        </is>
      </c>
      <c r="C80" s="4" t="inlineStr">
        <is>
          <t>زعتر</t>
        </is>
      </c>
      <c r="D80" s="4" t="inlineStr">
        <is>
          <t>زعتر</t>
        </is>
      </c>
      <c r="E80" s="21" t="n">
        <v>0</v>
      </c>
      <c r="F80" s="6">
        <f>'احتساب متوسط سبتمبر'!I47</f>
        <v/>
      </c>
      <c r="G80" s="5">
        <f>E80*F80</f>
        <v/>
      </c>
      <c r="H80" s="4" t="inlineStr">
        <is>
          <t>مطابقة سعر يونيه بالوصفة مع سعر الصنف بالجرد</t>
        </is>
      </c>
    </row>
    <row r="81">
      <c r="A81" s="4" t="inlineStr">
        <is>
          <t>برجر ابوهاشم</t>
        </is>
      </c>
      <c r="B81" s="4" t="inlineStr">
        <is>
          <t>خلطة فرعية (توابل)</t>
        </is>
      </c>
      <c r="C81" s="4" t="inlineStr">
        <is>
          <t>شطه</t>
        </is>
      </c>
      <c r="D81" s="4" t="inlineStr">
        <is>
          <t>شطه</t>
        </is>
      </c>
      <c r="E81" s="21" t="n">
        <v>0.01</v>
      </c>
      <c r="F81" s="6">
        <f>'احتساب متوسط سبتمبر'!I48</f>
        <v/>
      </c>
      <c r="G81" s="5">
        <f>E81*F81</f>
        <v/>
      </c>
      <c r="H81" s="4" t="inlineStr">
        <is>
          <t>مطابقة سعر يونيه بالوصفة مع سعر الصنف بالجرد</t>
        </is>
      </c>
    </row>
    <row r="82">
      <c r="A82" s="4" t="inlineStr">
        <is>
          <t>برجر ابوهاشم</t>
        </is>
      </c>
      <c r="B82" s="4" t="inlineStr">
        <is>
          <t>خلطة فرعية (توابل)</t>
        </is>
      </c>
      <c r="C82" s="4" t="inlineStr">
        <is>
          <t>ملح</t>
        </is>
      </c>
      <c r="D82" s="4" t="inlineStr">
        <is>
          <t>الملح</t>
        </is>
      </c>
      <c r="E82" s="21" t="n">
        <v>0.8</v>
      </c>
      <c r="F82" s="6">
        <f>'احتساب متوسط سبتمبر'!I55</f>
        <v/>
      </c>
      <c r="G82" s="5">
        <f>E82*F82</f>
        <v/>
      </c>
      <c r="H82" s="4" t="inlineStr">
        <is>
          <t>مطابقة سعر يونيه بالوصفة مع سعر الصنف بالجرد</t>
        </is>
      </c>
    </row>
    <row r="83">
      <c r="A83" s="22" t="inlineStr">
        <is>
          <t>برجر ابوهاشم</t>
        </is>
      </c>
      <c r="B83" s="14" t="inlineStr">
        <is>
          <t>إجمالى خلطة فرعية (توابل)</t>
        </is>
      </c>
      <c r="E83" s="23">
        <f>SUM(E70:E82)</f>
        <v/>
      </c>
      <c r="F83" s="15">
        <f>G83/E83</f>
        <v/>
      </c>
      <c r="G83" s="24">
        <f>SUM(G70:G82)</f>
        <v/>
      </c>
    </row>
    <row r="85">
      <c r="A85" s="4" t="inlineStr">
        <is>
          <t>برجر ابوهاشم</t>
        </is>
      </c>
      <c r="B85" s="4" t="inlineStr">
        <is>
          <t>الوصفة الرئيسية</t>
        </is>
      </c>
      <c r="C85" s="4" t="inlineStr">
        <is>
          <t>لحمه</t>
        </is>
      </c>
      <c r="D85" s="4" t="inlineStr">
        <is>
          <t>@مجمع اللحوم الهندى</t>
        </is>
      </c>
      <c r="E85" s="21" t="n">
        <v>12</v>
      </c>
      <c r="F85" s="6">
        <f>'احتساب متوسط سبتمبر'!I174</f>
        <v/>
      </c>
      <c r="G85" s="5">
        <f>E85*F85</f>
        <v/>
      </c>
      <c r="H85" s="4" t="inlineStr">
        <is>
          <t>سعر مجمّع اللحوم الهندى</t>
        </is>
      </c>
    </row>
    <row r="86">
      <c r="A86" s="4" t="inlineStr">
        <is>
          <t>برجر ابوهاشم</t>
        </is>
      </c>
      <c r="B86" s="4" t="inlineStr">
        <is>
          <t>الوصفة الرئيسية</t>
        </is>
      </c>
      <c r="C86" s="4" t="inlineStr">
        <is>
          <t>بوش/دهن</t>
        </is>
      </c>
      <c r="D86" s="4" t="inlineStr">
        <is>
          <t>دهن بلدي</t>
        </is>
      </c>
      <c r="E86" s="21" t="n">
        <v>5</v>
      </c>
      <c r="F86" s="6">
        <f>'احتساب متوسط سبتمبر'!I13</f>
        <v/>
      </c>
      <c r="G86" s="5">
        <f>E86*F86</f>
        <v/>
      </c>
      <c r="H86" s="4" t="inlineStr">
        <is>
          <t>مطابقة سعر يونيه بالوصفة مع سعر الصنف بالجرد</t>
        </is>
      </c>
    </row>
    <row r="87">
      <c r="A87" s="4" t="inlineStr">
        <is>
          <t>برجر ابوهاشم</t>
        </is>
      </c>
      <c r="B87" s="4" t="inlineStr">
        <is>
          <t>الوصفة الرئيسية</t>
        </is>
      </c>
      <c r="C87" s="4" t="inlineStr">
        <is>
          <t>دوبريه</t>
        </is>
      </c>
      <c r="D87" s="4" t="inlineStr">
        <is>
          <t>دوبريه</t>
        </is>
      </c>
      <c r="E87" s="21" t="n">
        <v>6</v>
      </c>
      <c r="F87" s="6">
        <f>'احتساب متوسط سبتمبر'!I25</f>
        <v/>
      </c>
      <c r="G87" s="5">
        <f>E87*F87</f>
        <v/>
      </c>
      <c r="H87" s="4" t="inlineStr">
        <is>
          <t>مطابقة سعر يونيه بالوصفة مع سعر الصنف بالجرد</t>
        </is>
      </c>
    </row>
    <row r="88">
      <c r="A88" s="4" t="inlineStr">
        <is>
          <t>برجر ابوهاشم</t>
        </is>
      </c>
      <c r="B88" s="4" t="inlineStr">
        <is>
          <t>الوصفة الرئيسية</t>
        </is>
      </c>
      <c r="C88" s="4" t="inlineStr">
        <is>
          <t>صويا</t>
        </is>
      </c>
      <c r="D88" s="4" t="inlineStr">
        <is>
          <t>صويا لحمه</t>
        </is>
      </c>
      <c r="E88" s="21" t="n">
        <v>6</v>
      </c>
      <c r="F88" s="6">
        <f>'احتساب متوسط سبتمبر'!I10</f>
        <v/>
      </c>
      <c r="G88" s="5">
        <f>E88*F88</f>
        <v/>
      </c>
      <c r="H88" s="4" t="inlineStr">
        <is>
          <t>مطابقة سعر يونيه بالوصفة مع سعر الصنف بالجرد</t>
        </is>
      </c>
    </row>
    <row r="89">
      <c r="A89" s="4" t="inlineStr">
        <is>
          <t>برجر ابوهاشم</t>
        </is>
      </c>
      <c r="B89" s="4" t="inlineStr">
        <is>
          <t>الوصفة الرئيسية</t>
        </is>
      </c>
      <c r="C89" s="4" t="inlineStr">
        <is>
          <t>بصل</t>
        </is>
      </c>
      <c r="D89" s="4" t="inlineStr">
        <is>
          <t>بصل</t>
        </is>
      </c>
      <c r="E89" s="21" t="n">
        <v>4</v>
      </c>
      <c r="F89" s="6">
        <f>'احتساب متوسط سبتمبر'!I5</f>
        <v/>
      </c>
      <c r="G89" s="5">
        <f>E89*F89</f>
        <v/>
      </c>
      <c r="H89" s="4" t="inlineStr">
        <is>
          <t>مطابقة سعر يونيه بالوصفة مع سعر الصنف بالجرد</t>
        </is>
      </c>
    </row>
    <row r="90">
      <c r="A90" s="4" t="inlineStr">
        <is>
          <t>برجر ابوهاشم</t>
        </is>
      </c>
      <c r="B90" s="4" t="inlineStr">
        <is>
          <t>الوصفة الرئيسية</t>
        </is>
      </c>
      <c r="C90" s="4" t="inlineStr">
        <is>
          <t>صميد</t>
        </is>
      </c>
      <c r="D90" s="4" t="inlineStr">
        <is>
          <t>صميد</t>
        </is>
      </c>
      <c r="E90" s="21" t="n">
        <v>1</v>
      </c>
      <c r="F90" s="6">
        <f>'احتساب متوسط سبتمبر'!I9</f>
        <v/>
      </c>
      <c r="G90" s="5">
        <f>E90*F90</f>
        <v/>
      </c>
      <c r="H90" s="4" t="inlineStr">
        <is>
          <t>مطابقة سعر يونيه بالوصفة مع سعر الصنف بالجرد</t>
        </is>
      </c>
    </row>
    <row r="91">
      <c r="A91" s="4" t="inlineStr">
        <is>
          <t>برجر ابوهاشم</t>
        </is>
      </c>
      <c r="B91" s="4" t="inlineStr">
        <is>
          <t>الوصفة الرئيسية</t>
        </is>
      </c>
      <c r="C91" s="4" t="inlineStr">
        <is>
          <t>ثوم</t>
        </is>
      </c>
      <c r="D91" s="4" t="inlineStr">
        <is>
          <t>ثوم</t>
        </is>
      </c>
      <c r="E91" s="21" t="n">
        <v>0.5</v>
      </c>
      <c r="F91" s="6">
        <f>'احتساب متوسط سبتمبر'!I6</f>
        <v/>
      </c>
      <c r="G91" s="5">
        <f>E91*F91</f>
        <v/>
      </c>
      <c r="H91" s="4" t="inlineStr">
        <is>
          <t>مطابقة سعر يونيه بالوصفة مع سعر الصنف بالجرد</t>
        </is>
      </c>
    </row>
    <row r="92">
      <c r="A92" s="4" t="inlineStr">
        <is>
          <t>برجر ابوهاشم</t>
        </is>
      </c>
      <c r="B92" s="4" t="inlineStr">
        <is>
          <t>الوصفة الرئيسية</t>
        </is>
      </c>
      <c r="C92" s="4" t="inlineStr">
        <is>
          <t>نشا</t>
        </is>
      </c>
      <c r="D92" s="4" t="inlineStr">
        <is>
          <t>نشا</t>
        </is>
      </c>
      <c r="E92" s="21" t="n">
        <v>2</v>
      </c>
      <c r="F92" s="6">
        <f>'احتساب متوسط سبتمبر'!I36</f>
        <v/>
      </c>
      <c r="G92" s="5">
        <f>E92*F92</f>
        <v/>
      </c>
      <c r="H92" s="4" t="inlineStr">
        <is>
          <t>مطابقة سعر يونيه بالوصفة مع سعر الصنف بالجرد</t>
        </is>
      </c>
    </row>
    <row r="93">
      <c r="A93" s="4" t="inlineStr">
        <is>
          <t>برجر ابوهاشم</t>
        </is>
      </c>
      <c r="B93" s="4" t="inlineStr">
        <is>
          <t>الوصفة الرئيسية</t>
        </is>
      </c>
      <c r="C93" s="4" t="inlineStr">
        <is>
          <t>برغل</t>
        </is>
      </c>
      <c r="D93" s="4" t="inlineStr">
        <is>
          <t>برغل</t>
        </is>
      </c>
      <c r="E93" s="21" t="n">
        <v>4</v>
      </c>
      <c r="F93" s="6">
        <f>'احتساب متوسط سبتمبر'!I20</f>
        <v/>
      </c>
      <c r="G93" s="5">
        <f>E93*F93</f>
        <v/>
      </c>
      <c r="H93" s="4" t="inlineStr">
        <is>
          <t>مطابقة سعر يونيه بالوصفة مع سعر الصنف بالجرد</t>
        </is>
      </c>
    </row>
    <row r="94">
      <c r="A94" s="4" t="inlineStr">
        <is>
          <t>برجر ابوهاشم</t>
        </is>
      </c>
      <c r="B94" s="4" t="inlineStr">
        <is>
          <t>الوصفة الرئيسية</t>
        </is>
      </c>
      <c r="C94" s="4" t="inlineStr">
        <is>
          <t>صويا ايزوليت</t>
        </is>
      </c>
      <c r="D94" s="4" t="inlineStr">
        <is>
          <t>صويا اوزيليت</t>
        </is>
      </c>
      <c r="E94" s="21" t="n">
        <v>0.25</v>
      </c>
      <c r="F94" s="6">
        <f>'احتساب متوسط سبتمبر'!I11</f>
        <v/>
      </c>
      <c r="G94" s="5">
        <f>E94*F94</f>
        <v/>
      </c>
      <c r="H94" s="4" t="inlineStr">
        <is>
          <t>مطابقة سعر يونيه بالوصفة مع سعر الصنف بالجرد</t>
        </is>
      </c>
    </row>
    <row r="95">
      <c r="A95" s="4" t="inlineStr">
        <is>
          <t>برجر ابوهاشم</t>
        </is>
      </c>
      <c r="B95" s="4" t="inlineStr">
        <is>
          <t>الوصفة الرئيسية</t>
        </is>
      </c>
      <c r="C95" s="4" t="inlineStr">
        <is>
          <t>مفروم</t>
        </is>
      </c>
      <c r="D95" s="4" t="inlineStr">
        <is>
          <t>مفروم فراخ شعبي</t>
        </is>
      </c>
      <c r="E95" s="21" t="n">
        <v>6</v>
      </c>
      <c r="F95" s="17">
        <f>'احتساب متوسط سبتمبر'!C8</f>
        <v/>
      </c>
      <c r="G95" s="5">
        <f>E95*F95</f>
        <v/>
      </c>
      <c r="H95" s="10" t="inlineStr">
        <is>
          <t>مؤقت: سعر أغسطس لحين حسم فاتورة الفراخ المفرومة</t>
        </is>
      </c>
    </row>
    <row r="96">
      <c r="A96" s="4" t="inlineStr">
        <is>
          <t>برجر ابوهاشم</t>
        </is>
      </c>
      <c r="B96" s="4" t="inlineStr">
        <is>
          <t>الوصفة الرئيسية</t>
        </is>
      </c>
      <c r="C96" s="4" t="inlineStr">
        <is>
          <t>مياه</t>
        </is>
      </c>
      <c r="D96" s="4" t="inlineStr">
        <is>
          <t>—</t>
        </is>
      </c>
      <c r="E96" s="21" t="n">
        <v>14</v>
      </c>
      <c r="F96" s="6" t="n">
        <v>0</v>
      </c>
      <c r="G96" s="5">
        <f>E96*F96</f>
        <v/>
      </c>
      <c r="H96" s="10" t="inlineStr">
        <is>
          <t>لا يوجد سعر شراء مسجل للمياه ضمن الخامات — عادة تكلفة مرافق غير مباشرة</t>
        </is>
      </c>
    </row>
    <row r="97">
      <c r="A97" s="4" t="inlineStr">
        <is>
          <t>برجر ابوهاشم</t>
        </is>
      </c>
      <c r="B97" s="4" t="inlineStr">
        <is>
          <t>الوصفة الرئيسية</t>
        </is>
      </c>
      <c r="C97" s="4" t="inlineStr">
        <is>
          <t>توابيل</t>
        </is>
      </c>
      <c r="D97" s="4" t="inlineStr">
        <is>
          <t>سعر كجم الخلطة الفرعية</t>
        </is>
      </c>
      <c r="E97" s="21" t="n">
        <v>1.905</v>
      </c>
      <c r="F97" s="6">
        <f>F83</f>
        <v/>
      </c>
      <c r="G97" s="5">
        <f>E97*F97</f>
        <v/>
      </c>
      <c r="H97" s="4" t="inlineStr">
        <is>
          <t>سعر كجم الخلطة الفرعية</t>
        </is>
      </c>
    </row>
    <row r="98">
      <c r="A98" s="22" t="inlineStr">
        <is>
          <t>برجر ابوهاشم</t>
        </is>
      </c>
      <c r="B98" s="14" t="inlineStr">
        <is>
          <t>إجمالى الوصفة الرئيسية</t>
        </is>
      </c>
      <c r="E98" s="23">
        <f>SUM(E85:E97)</f>
        <v/>
      </c>
      <c r="G98" s="24">
        <f>SUM(G85:G97)</f>
        <v/>
      </c>
      <c r="H98" s="22" t="inlineStr">
        <is>
          <t>سعر الكجم = قيمة الوصفة ÷ 62.655 كجم</t>
        </is>
      </c>
    </row>
    <row r="100">
      <c r="A100" s="4" t="inlineStr">
        <is>
          <t>برجر اسبشيال</t>
        </is>
      </c>
      <c r="B100" s="4" t="inlineStr">
        <is>
          <t>الوصفة الرئيسية</t>
        </is>
      </c>
      <c r="C100" s="4" t="inlineStr">
        <is>
          <t>مفروم فراخ شعبى</t>
        </is>
      </c>
      <c r="D100" s="4" t="inlineStr">
        <is>
          <t>مفروم فراخ شعبي</t>
        </is>
      </c>
      <c r="E100" s="21" t="n">
        <v>80</v>
      </c>
      <c r="F100" s="17">
        <f>'احتساب متوسط سبتمبر'!C8</f>
        <v/>
      </c>
      <c r="G100" s="5">
        <f>E100*F100</f>
        <v/>
      </c>
      <c r="H100" s="10" t="inlineStr">
        <is>
          <t>مؤقت: سعر أغسطس لحين حسم فاتورة الفراخ المفرومة</t>
        </is>
      </c>
    </row>
    <row r="101">
      <c r="A101" s="4" t="inlineStr">
        <is>
          <t>برجر اسبشيال</t>
        </is>
      </c>
      <c r="B101" s="4" t="inlineStr">
        <is>
          <t>الوصفة الرئيسية</t>
        </is>
      </c>
      <c r="C101" s="4" t="inlineStr">
        <is>
          <t>دهن</t>
        </is>
      </c>
      <c r="D101" s="4" t="inlineStr">
        <is>
          <t>دهن بلدي</t>
        </is>
      </c>
      <c r="E101" s="21" t="n">
        <v>28</v>
      </c>
      <c r="F101" s="6">
        <f>'احتساب متوسط سبتمبر'!I13</f>
        <v/>
      </c>
      <c r="G101" s="5">
        <f>E101*F101</f>
        <v/>
      </c>
      <c r="H101" s="4" t="inlineStr">
        <is>
          <t>مطابقة سعر يونيه بالوصفة مع سعر الصنف بالجرد</t>
        </is>
      </c>
    </row>
    <row r="102">
      <c r="A102" s="4" t="inlineStr">
        <is>
          <t>برجر اسبشيال</t>
        </is>
      </c>
      <c r="B102" s="4" t="inlineStr">
        <is>
          <t>الوصفة الرئيسية</t>
        </is>
      </c>
      <c r="C102" s="4" t="inlineStr">
        <is>
          <t>فلفل احمر</t>
        </is>
      </c>
      <c r="D102" s="4" t="inlineStr">
        <is>
          <t>— (سعر ثابت بالوصفة)</t>
        </is>
      </c>
      <c r="E102" s="21" t="n">
        <v>25</v>
      </c>
      <c r="F102" s="6" t="n">
        <v>13</v>
      </c>
      <c r="G102" s="5">
        <f>E102*F102</f>
        <v/>
      </c>
      <c r="H102" s="10" t="inlineStr">
        <is>
          <t>لا يقابله صنف بالجرد — السعر ثابت كما بالوصفة</t>
        </is>
      </c>
    </row>
    <row r="103">
      <c r="A103" s="4" t="inlineStr">
        <is>
          <t>برجر اسبشيال</t>
        </is>
      </c>
      <c r="B103" s="4" t="inlineStr">
        <is>
          <t>الوصفة الرئيسية</t>
        </is>
      </c>
      <c r="C103" s="4" t="inlineStr">
        <is>
          <t>صويا</t>
        </is>
      </c>
      <c r="D103" s="4" t="inlineStr">
        <is>
          <t>صويا لحمه</t>
        </is>
      </c>
      <c r="E103" s="21" t="n">
        <v>43</v>
      </c>
      <c r="F103" s="6">
        <f>'احتساب متوسط سبتمبر'!I10</f>
        <v/>
      </c>
      <c r="G103" s="5">
        <f>E103*F103</f>
        <v/>
      </c>
      <c r="H103" s="4" t="inlineStr">
        <is>
          <t>مطابقة سعر يونيه بالوصفة مع سعر الصنف بالجرد</t>
        </is>
      </c>
    </row>
    <row r="104">
      <c r="A104" s="4" t="inlineStr">
        <is>
          <t>برجر اسبشيال</t>
        </is>
      </c>
      <c r="B104" s="4" t="inlineStr">
        <is>
          <t>الوصفة الرئيسية</t>
        </is>
      </c>
      <c r="C104" s="4" t="inlineStr">
        <is>
          <t>فلفل اخضر حار</t>
        </is>
      </c>
      <c r="D104" s="4" t="inlineStr">
        <is>
          <t>فلفل رومي حامي</t>
        </is>
      </c>
      <c r="E104" s="21" t="n">
        <v>2</v>
      </c>
      <c r="F104" s="6">
        <f>'احتساب متوسط سبتمبر'!I26</f>
        <v/>
      </c>
      <c r="G104" s="5">
        <f>E104*F104</f>
        <v/>
      </c>
      <c r="H104" s="4" t="inlineStr">
        <is>
          <t>مطابقة سعر يونيه بالوصفة مع سعر الصنف بالجرد</t>
        </is>
      </c>
    </row>
    <row r="105">
      <c r="A105" s="4" t="inlineStr">
        <is>
          <t>برجر اسبشيال</t>
        </is>
      </c>
      <c r="B105" s="4" t="inlineStr">
        <is>
          <t>الوصفة الرئيسية</t>
        </is>
      </c>
      <c r="C105" s="4" t="inlineStr">
        <is>
          <t>برغل</t>
        </is>
      </c>
      <c r="D105" s="4" t="inlineStr">
        <is>
          <t>برغل</t>
        </is>
      </c>
      <c r="E105" s="21" t="n">
        <v>28</v>
      </c>
      <c r="F105" s="6">
        <f>'احتساب متوسط سبتمبر'!I20</f>
        <v/>
      </c>
      <c r="G105" s="5">
        <f>E105*F105</f>
        <v/>
      </c>
      <c r="H105" s="4" t="inlineStr">
        <is>
          <t>مطابقة سعر يونيه بالوصفة مع سعر الصنف بالجرد</t>
        </is>
      </c>
    </row>
    <row r="106">
      <c r="A106" s="4" t="inlineStr">
        <is>
          <t>برجر اسبشيال</t>
        </is>
      </c>
      <c r="B106" s="4" t="inlineStr">
        <is>
          <t>الوصفة الرئيسية</t>
        </is>
      </c>
      <c r="C106" s="4" t="inlineStr">
        <is>
          <t>نشا</t>
        </is>
      </c>
      <c r="D106" s="4" t="inlineStr">
        <is>
          <t>نشا</t>
        </is>
      </c>
      <c r="E106" s="21" t="n">
        <v>24</v>
      </c>
      <c r="F106" s="6">
        <f>'احتساب متوسط سبتمبر'!I36</f>
        <v/>
      </c>
      <c r="G106" s="5">
        <f>E106*F106</f>
        <v/>
      </c>
      <c r="H106" s="4" t="inlineStr">
        <is>
          <t>مطابقة سعر يونيه بالوصفة مع سعر الصنف بالجرد</t>
        </is>
      </c>
    </row>
    <row r="107">
      <c r="A107" s="4" t="inlineStr">
        <is>
          <t>برجر اسبشيال</t>
        </is>
      </c>
      <c r="B107" s="4" t="inlineStr">
        <is>
          <t>الوصفة الرئيسية</t>
        </is>
      </c>
      <c r="C107" s="4" t="inlineStr">
        <is>
          <t>شعرية</t>
        </is>
      </c>
      <c r="D107" s="4" t="inlineStr">
        <is>
          <t>—</t>
        </is>
      </c>
      <c r="E107" s="21" t="n">
        <v>0</v>
      </c>
      <c r="F107" s="6" t="n">
        <v>0</v>
      </c>
      <c r="G107" s="5">
        <f>E107*F107</f>
        <v/>
      </c>
      <c r="H107" s="10" t="inlineStr">
        <is>
          <t>صنف غير موجود ضمن قاعدة بيانات الخامات المُسعّرة</t>
        </is>
      </c>
    </row>
    <row r="108">
      <c r="A108" s="4" t="inlineStr">
        <is>
          <t>برجر اسبشيال</t>
        </is>
      </c>
      <c r="B108" s="4" t="inlineStr">
        <is>
          <t>الوصفة الرئيسية</t>
        </is>
      </c>
      <c r="C108" s="4" t="inlineStr">
        <is>
          <t>بصل</t>
        </is>
      </c>
      <c r="D108" s="4" t="inlineStr">
        <is>
          <t>بصل</t>
        </is>
      </c>
      <c r="E108" s="21" t="n">
        <v>25</v>
      </c>
      <c r="F108" s="6">
        <f>'احتساب متوسط سبتمبر'!I5</f>
        <v/>
      </c>
      <c r="G108" s="5">
        <f>E108*F108</f>
        <v/>
      </c>
      <c r="H108" s="4" t="inlineStr">
        <is>
          <t>مطابقة سعر يونيه بالوصفة مع سعر الصنف بالجرد</t>
        </is>
      </c>
    </row>
    <row r="109">
      <c r="A109" s="4" t="inlineStr">
        <is>
          <t>برجر اسبشيال</t>
        </is>
      </c>
      <c r="B109" s="4" t="inlineStr">
        <is>
          <t>الوصفة الرئيسية</t>
        </is>
      </c>
      <c r="C109" s="4" t="inlineStr">
        <is>
          <t>سميد</t>
        </is>
      </c>
      <c r="D109" s="4" t="inlineStr">
        <is>
          <t>صميد</t>
        </is>
      </c>
      <c r="E109" s="21" t="n">
        <v>26</v>
      </c>
      <c r="F109" s="6">
        <f>'احتساب متوسط سبتمبر'!I9</f>
        <v/>
      </c>
      <c r="G109" s="5">
        <f>E109*F109</f>
        <v/>
      </c>
      <c r="H109" s="4" t="inlineStr">
        <is>
          <t>مطابقة سعر يونيه بالوصفة مع سعر الصنف بالجرد</t>
        </is>
      </c>
    </row>
    <row r="110">
      <c r="A110" s="4" t="inlineStr">
        <is>
          <t>برجر اسبشيال</t>
        </is>
      </c>
      <c r="B110" s="4" t="inlineStr">
        <is>
          <t>الوصفة الرئيسية</t>
        </is>
      </c>
      <c r="C110" s="4" t="inlineStr">
        <is>
          <t>مياه</t>
        </is>
      </c>
      <c r="D110" s="4" t="inlineStr">
        <is>
          <t>—</t>
        </is>
      </c>
      <c r="E110" s="21" t="n">
        <v>99</v>
      </c>
      <c r="F110" s="6" t="n">
        <v>0</v>
      </c>
      <c r="G110" s="5">
        <f>E110*F110</f>
        <v/>
      </c>
      <c r="H110" s="10" t="inlineStr">
        <is>
          <t>لا يوجد سعر شراء مسجل للمياه ضمن الخامات — عادة تكلفة مرافق غير مباشرة</t>
        </is>
      </c>
    </row>
    <row r="111">
      <c r="A111" s="4" t="inlineStr">
        <is>
          <t>برجر اسبشيال</t>
        </is>
      </c>
      <c r="B111" s="4" t="inlineStr">
        <is>
          <t>الوصفة الرئيسية</t>
        </is>
      </c>
      <c r="C111" s="4" t="inlineStr">
        <is>
          <t>مونوصوديم</t>
        </is>
      </c>
      <c r="D111" s="4" t="inlineStr">
        <is>
          <t>جلتومات</t>
        </is>
      </c>
      <c r="E111" s="21" t="n">
        <v>2</v>
      </c>
      <c r="F111" s="6">
        <f>'احتساب متوسط سبتمبر'!I57</f>
        <v/>
      </c>
      <c r="G111" s="5">
        <f>E111*F111</f>
        <v/>
      </c>
      <c r="H111" s="4" t="inlineStr">
        <is>
          <t>مطابقة سعر يونيه بالوصفة مع سعر الصنف بالجرد</t>
        </is>
      </c>
    </row>
    <row r="112">
      <c r="A112" s="4" t="inlineStr">
        <is>
          <t>برجر اسبشيال</t>
        </is>
      </c>
      <c r="B112" s="4" t="inlineStr">
        <is>
          <t>الوصفة الرئيسية</t>
        </is>
      </c>
      <c r="C112" s="4" t="inlineStr">
        <is>
          <t>لون 601</t>
        </is>
      </c>
      <c r="D112" s="4" t="inlineStr">
        <is>
          <t>لون طبيعي</t>
        </is>
      </c>
      <c r="E112" s="21" t="n">
        <v>0.09</v>
      </c>
      <c r="F112" s="6">
        <f>'احتساب متوسط سبتمبر'!I70</f>
        <v/>
      </c>
      <c r="G112" s="5">
        <f>E112*F112</f>
        <v/>
      </c>
      <c r="H112" s="4" t="inlineStr">
        <is>
          <t>مطابقة سعر يونيه بالوصفة مع سعر الصنف بالجرد</t>
        </is>
      </c>
    </row>
    <row r="113">
      <c r="A113" s="4" t="inlineStr">
        <is>
          <t>برجر اسبشيال</t>
        </is>
      </c>
      <c r="B113" s="4" t="inlineStr">
        <is>
          <t>الوصفة الرئيسية</t>
        </is>
      </c>
      <c r="C113" s="4" t="inlineStr">
        <is>
          <t>كسبرة</t>
        </is>
      </c>
      <c r="D113" s="4" t="inlineStr">
        <is>
          <t>كزبره</t>
        </is>
      </c>
      <c r="E113" s="21" t="n">
        <v>0.6</v>
      </c>
      <c r="F113" s="6">
        <f>'احتساب متوسط سبتمبر'!I45</f>
        <v/>
      </c>
      <c r="G113" s="5">
        <f>E113*F113</f>
        <v/>
      </c>
      <c r="H113" s="4" t="inlineStr">
        <is>
          <t>مطابقة سعر يونيه بالوصفة مع سعر الصنف بالجرد</t>
        </is>
      </c>
    </row>
    <row r="114">
      <c r="A114" s="4" t="inlineStr">
        <is>
          <t>برجر اسبشيال</t>
        </is>
      </c>
      <c r="B114" s="4" t="inlineStr">
        <is>
          <t>الوصفة الرئيسية</t>
        </is>
      </c>
      <c r="C114" s="4" t="inlineStr">
        <is>
          <t>شطة</t>
        </is>
      </c>
      <c r="D114" s="4" t="inlineStr">
        <is>
          <t>شطه</t>
        </is>
      </c>
      <c r="E114" s="21" t="n">
        <v>0.5</v>
      </c>
      <c r="F114" s="6">
        <f>'احتساب متوسط سبتمبر'!I48</f>
        <v/>
      </c>
      <c r="G114" s="5">
        <f>E114*F114</f>
        <v/>
      </c>
      <c r="H114" s="4" t="inlineStr">
        <is>
          <t>مطابقة سعر يونيه بالوصفة مع سعر الصنف بالجرد</t>
        </is>
      </c>
    </row>
    <row r="115">
      <c r="A115" s="4" t="inlineStr">
        <is>
          <t>برجر اسبشيال</t>
        </is>
      </c>
      <c r="B115" s="4" t="inlineStr">
        <is>
          <t>الوصفة الرئيسية</t>
        </is>
      </c>
      <c r="C115" s="4" t="inlineStr">
        <is>
          <t>ملح</t>
        </is>
      </c>
      <c r="D115" s="4" t="inlineStr">
        <is>
          <t>الملح</t>
        </is>
      </c>
      <c r="E115" s="21" t="n">
        <v>6.8</v>
      </c>
      <c r="F115" s="6">
        <f>'احتساب متوسط سبتمبر'!I55</f>
        <v/>
      </c>
      <c r="G115" s="5">
        <f>E115*F115</f>
        <v/>
      </c>
      <c r="H115" s="4" t="inlineStr">
        <is>
          <t>مطابقة سعر يونيه بالوصفة مع سعر الصنف بالجرد</t>
        </is>
      </c>
    </row>
    <row r="116">
      <c r="A116" s="4" t="inlineStr">
        <is>
          <t>برجر اسبشيال</t>
        </is>
      </c>
      <c r="B116" s="4" t="inlineStr">
        <is>
          <t>الوصفة الرئيسية</t>
        </is>
      </c>
      <c r="C116" s="4" t="inlineStr">
        <is>
          <t>جبهان</t>
        </is>
      </c>
      <c r="D116" s="4" t="inlineStr">
        <is>
          <t>حبهان</t>
        </is>
      </c>
      <c r="E116" s="21" t="n">
        <v>0.2</v>
      </c>
      <c r="F116" s="6">
        <f>'احتساب متوسط سبتمبر'!I51</f>
        <v/>
      </c>
      <c r="G116" s="5">
        <f>E116*F116</f>
        <v/>
      </c>
      <c r="H116" s="4" t="inlineStr">
        <is>
          <t>مطابقة سعر يونيه بالوصفة مع سعر الصنف بالجرد</t>
        </is>
      </c>
    </row>
    <row r="117">
      <c r="A117" s="4" t="inlineStr">
        <is>
          <t>برجر اسبشيال</t>
        </is>
      </c>
      <c r="B117" s="4" t="inlineStr">
        <is>
          <t>الوصفة الرئيسية</t>
        </is>
      </c>
      <c r="C117" s="4" t="inlineStr">
        <is>
          <t>طعم كفته</t>
        </is>
      </c>
      <c r="D117" s="4" t="inlineStr">
        <is>
          <t>طعم كفته</t>
        </is>
      </c>
      <c r="E117" s="21" t="n">
        <v>0.5</v>
      </c>
      <c r="F117" s="6">
        <f>'احتساب متوسط سبتمبر'!I61</f>
        <v/>
      </c>
      <c r="G117" s="5">
        <f>E117*F117</f>
        <v/>
      </c>
      <c r="H117" s="4" t="inlineStr">
        <is>
          <t>مطابقة سعر يونيه بالوصفة مع سعر الصنف بالجرد</t>
        </is>
      </c>
    </row>
    <row r="118">
      <c r="A118" s="4" t="inlineStr">
        <is>
          <t>برجر اسبشيال</t>
        </is>
      </c>
      <c r="B118" s="4" t="inlineStr">
        <is>
          <t>الوصفة الرئيسية</t>
        </is>
      </c>
      <c r="C118" s="4" t="inlineStr">
        <is>
          <t>طعم بيف</t>
        </is>
      </c>
      <c r="D118" s="4" t="inlineStr">
        <is>
          <t>طعم بيف</t>
        </is>
      </c>
      <c r="E118" s="21" t="n">
        <v>0.5</v>
      </c>
      <c r="F118" s="6">
        <f>'احتساب متوسط سبتمبر'!I63</f>
        <v/>
      </c>
      <c r="G118" s="5">
        <f>E118*F118</f>
        <v/>
      </c>
      <c r="H118" s="4" t="inlineStr">
        <is>
          <t>مطابقة سعر يونيه بالوصفة مع سعر الصنف بالجرد</t>
        </is>
      </c>
    </row>
    <row r="119">
      <c r="A119" s="4" t="inlineStr">
        <is>
          <t>برجر اسبشيال</t>
        </is>
      </c>
      <c r="B119" s="4" t="inlineStr">
        <is>
          <t>الوصفة الرئيسية</t>
        </is>
      </c>
      <c r="C119" s="4" t="inlineStr">
        <is>
          <t>فوسفات</t>
        </is>
      </c>
      <c r="D119" s="4" t="inlineStr">
        <is>
          <t>فوسفات</t>
        </is>
      </c>
      <c r="E119" s="21" t="n">
        <v>2</v>
      </c>
      <c r="F119" s="6">
        <f>'احتساب متوسط سبتمبر'!I56</f>
        <v/>
      </c>
      <c r="G119" s="5">
        <f>E119*F119</f>
        <v/>
      </c>
      <c r="H119" s="4" t="inlineStr">
        <is>
          <t>مطابقة سعر يونيه بالوصفة مع سعر الصنف بالجرد</t>
        </is>
      </c>
    </row>
    <row r="120">
      <c r="A120" s="4" t="inlineStr">
        <is>
          <t>برجر اسبشيال</t>
        </is>
      </c>
      <c r="B120" s="4" t="inlineStr">
        <is>
          <t>الوصفة الرئيسية</t>
        </is>
      </c>
      <c r="C120" s="4" t="inlineStr">
        <is>
          <t>جنزبيل</t>
        </is>
      </c>
      <c r="D120" s="4" t="inlineStr">
        <is>
          <t>جنزبيل</t>
        </is>
      </c>
      <c r="E120" s="21" t="n">
        <v>0.2</v>
      </c>
      <c r="F120" s="6">
        <f>'احتساب متوسط سبتمبر'!I54</f>
        <v/>
      </c>
      <c r="G120" s="5">
        <f>E120*F120</f>
        <v/>
      </c>
      <c r="H120" s="4" t="inlineStr">
        <is>
          <t>مطابقة سعر يونيه بالوصفة مع سعر الصنف بالجرد</t>
        </is>
      </c>
    </row>
    <row r="121">
      <c r="A121" s="4" t="inlineStr">
        <is>
          <t>برجر اسبشيال</t>
        </is>
      </c>
      <c r="B121" s="4" t="inlineStr">
        <is>
          <t>الوصفة الرئيسية</t>
        </is>
      </c>
      <c r="C121" s="4" t="inlineStr">
        <is>
          <t>طعم ليه</t>
        </is>
      </c>
      <c r="D121" s="4" t="inlineStr">
        <is>
          <t>طعم ليه</t>
        </is>
      </c>
      <c r="E121" s="21" t="n">
        <v>0.5</v>
      </c>
      <c r="F121" s="6">
        <f>'احتساب متوسط سبتمبر'!I60</f>
        <v/>
      </c>
      <c r="G121" s="5">
        <f>E121*F121</f>
        <v/>
      </c>
      <c r="H121" s="4" t="inlineStr">
        <is>
          <t>مطابقة سعر يونيه بالوصفة مع سعر الصنف بالجرد</t>
        </is>
      </c>
    </row>
    <row r="122">
      <c r="A122" s="4" t="inlineStr">
        <is>
          <t>برجر اسبشيال</t>
        </is>
      </c>
      <c r="B122" s="4" t="inlineStr">
        <is>
          <t>الوصفة الرئيسية</t>
        </is>
      </c>
      <c r="C122" s="4" t="inlineStr">
        <is>
          <t>بابريكا</t>
        </is>
      </c>
      <c r="D122" s="4" t="inlineStr">
        <is>
          <t>بابريكا</t>
        </is>
      </c>
      <c r="E122" s="21" t="n">
        <v>0.5</v>
      </c>
      <c r="F122" s="6">
        <f>'احتساب متوسط سبتمبر'!I53</f>
        <v/>
      </c>
      <c r="G122" s="5">
        <f>E122*F122</f>
        <v/>
      </c>
      <c r="H122" s="4" t="inlineStr">
        <is>
          <t>مطابقة سعر يونيه بالوصفة مع سعر الصنف بالجرد</t>
        </is>
      </c>
    </row>
    <row r="123">
      <c r="A123" s="22" t="inlineStr">
        <is>
          <t>برجر اسبشيال</t>
        </is>
      </c>
      <c r="B123" s="14" t="inlineStr">
        <is>
          <t>إجمالى الوصفة الرئيسية</t>
        </is>
      </c>
      <c r="E123" s="23">
        <f>SUM(E100:E122)</f>
        <v/>
      </c>
      <c r="G123" s="24">
        <f>SUM(G100:G122)</f>
        <v/>
      </c>
      <c r="H123" s="22" t="inlineStr">
        <is>
          <t>سعر الكجم = قيمة الوصفة ÷ 394.39 كجم</t>
        </is>
      </c>
    </row>
    <row r="125">
      <c r="A125" s="4" t="inlineStr">
        <is>
          <t>سجق اسبشيال</t>
        </is>
      </c>
      <c r="B125" s="4" t="inlineStr">
        <is>
          <t>الوصفة الرئيسية</t>
        </is>
      </c>
      <c r="C125" s="4" t="inlineStr">
        <is>
          <t>مفروم فراخ شعبى</t>
        </is>
      </c>
      <c r="D125" s="4" t="inlineStr">
        <is>
          <t>مفروم فراخ شعبي</t>
        </is>
      </c>
      <c r="E125" s="21" t="n">
        <v>105</v>
      </c>
      <c r="F125" s="17">
        <f>'احتساب متوسط سبتمبر'!C8</f>
        <v/>
      </c>
      <c r="G125" s="5">
        <f>E125*F125</f>
        <v/>
      </c>
      <c r="H125" s="10" t="inlineStr">
        <is>
          <t>مؤقت: سعر أغسطس لحين حسم فاتورة الفراخ المفرومة</t>
        </is>
      </c>
    </row>
    <row r="126">
      <c r="A126" s="4" t="inlineStr">
        <is>
          <t>سجق اسبشيال</t>
        </is>
      </c>
      <c r="B126" s="4" t="inlineStr">
        <is>
          <t>الوصفة الرئيسية</t>
        </is>
      </c>
      <c r="C126" s="4" t="inlineStr">
        <is>
          <t>دهن</t>
        </is>
      </c>
      <c r="D126" s="4" t="inlineStr">
        <is>
          <t>دهن بلدي</t>
        </is>
      </c>
      <c r="E126" s="21" t="n">
        <v>0</v>
      </c>
      <c r="F126" s="6">
        <f>'احتساب متوسط سبتمبر'!I13</f>
        <v/>
      </c>
      <c r="G126" s="5">
        <f>E126*F126</f>
        <v/>
      </c>
      <c r="H126" s="4" t="inlineStr">
        <is>
          <t>مطابقة سعر يونيه بالوصفة مع سعر الصنف بالجرد</t>
        </is>
      </c>
    </row>
    <row r="127">
      <c r="A127" s="4" t="inlineStr">
        <is>
          <t>سجق اسبشيال</t>
        </is>
      </c>
      <c r="B127" s="4" t="inlineStr">
        <is>
          <t>الوصفة الرئيسية</t>
        </is>
      </c>
      <c r="C127" s="4" t="inlineStr">
        <is>
          <t>برغل</t>
        </is>
      </c>
      <c r="D127" s="4" t="inlineStr">
        <is>
          <t>برغل</t>
        </is>
      </c>
      <c r="E127" s="21" t="n">
        <v>10.5</v>
      </c>
      <c r="F127" s="6">
        <f>'احتساب متوسط سبتمبر'!I20</f>
        <v/>
      </c>
      <c r="G127" s="5">
        <f>E127*F127</f>
        <v/>
      </c>
      <c r="H127" s="4" t="inlineStr">
        <is>
          <t>مطابقة سعر يونيه بالوصفة مع سعر الصنف بالجرد</t>
        </is>
      </c>
    </row>
    <row r="128">
      <c r="A128" s="4" t="inlineStr">
        <is>
          <t>سجق اسبشيال</t>
        </is>
      </c>
      <c r="B128" s="4" t="inlineStr">
        <is>
          <t>الوصفة الرئيسية</t>
        </is>
      </c>
      <c r="C128" s="4" t="inlineStr">
        <is>
          <t>مياه</t>
        </is>
      </c>
      <c r="D128" s="4" t="inlineStr">
        <is>
          <t>—</t>
        </is>
      </c>
      <c r="E128" s="21" t="n">
        <v>48</v>
      </c>
      <c r="F128" s="6" t="n">
        <v>0</v>
      </c>
      <c r="G128" s="5">
        <f>E128*F128</f>
        <v/>
      </c>
      <c r="H128" s="10" t="inlineStr">
        <is>
          <t>لا يوجد سعر شراء مسجل للمياه ضمن الخامات — عادة تكلفة مرافق غير مباشرة</t>
        </is>
      </c>
    </row>
    <row r="129">
      <c r="A129" s="4" t="inlineStr">
        <is>
          <t>سجق اسبشيال</t>
        </is>
      </c>
      <c r="B129" s="4" t="inlineStr">
        <is>
          <t>الوصفة الرئيسية</t>
        </is>
      </c>
      <c r="C129" s="4" t="inlineStr">
        <is>
          <t>صويا</t>
        </is>
      </c>
      <c r="D129" s="4" t="inlineStr">
        <is>
          <t>صويا لحمه</t>
        </is>
      </c>
      <c r="E129" s="21" t="n">
        <v>21.75</v>
      </c>
      <c r="F129" s="6">
        <f>'احتساب متوسط سبتمبر'!I10</f>
        <v/>
      </c>
      <c r="G129" s="5">
        <f>E129*F129</f>
        <v/>
      </c>
      <c r="H129" s="4" t="inlineStr">
        <is>
          <t>مطابقة سعر يونيه بالوصفة مع سعر الصنف بالجرد</t>
        </is>
      </c>
    </row>
    <row r="130">
      <c r="A130" s="4" t="inlineStr">
        <is>
          <t>سجق اسبشيال</t>
        </is>
      </c>
      <c r="B130" s="4" t="inlineStr">
        <is>
          <t>الوصفة الرئيسية</t>
        </is>
      </c>
      <c r="C130" s="4" t="inlineStr">
        <is>
          <t>سميد</t>
        </is>
      </c>
      <c r="D130" s="4" t="inlineStr">
        <is>
          <t>صميد</t>
        </is>
      </c>
      <c r="E130" s="21" t="n">
        <v>0</v>
      </c>
      <c r="F130" s="6">
        <f>'احتساب متوسط سبتمبر'!I9</f>
        <v/>
      </c>
      <c r="G130" s="5">
        <f>E130*F130</f>
        <v/>
      </c>
      <c r="H130" s="4" t="inlineStr">
        <is>
          <t>مطابقة سعر يونيه بالوصفة مع سعر الصنف بالجرد</t>
        </is>
      </c>
    </row>
    <row r="131">
      <c r="A131" s="4" t="inlineStr">
        <is>
          <t>سجق اسبشيال</t>
        </is>
      </c>
      <c r="B131" s="4" t="inlineStr">
        <is>
          <t>الوصفة الرئيسية</t>
        </is>
      </c>
      <c r="C131" s="4" t="inlineStr">
        <is>
          <t>جلد</t>
        </is>
      </c>
      <c r="D131" s="4" t="inlineStr">
        <is>
          <t>جلد</t>
        </is>
      </c>
      <c r="E131" s="21" t="n">
        <v>0</v>
      </c>
      <c r="F131" s="6">
        <f>'احتساب متوسط سبتمبر'!I23</f>
        <v/>
      </c>
      <c r="G131" s="5">
        <f>E131*F131</f>
        <v/>
      </c>
      <c r="H131" s="4" t="inlineStr">
        <is>
          <t>مطابقة سعر يونيه بالوصفة مع سعر الصنف بالجرد</t>
        </is>
      </c>
    </row>
    <row r="132">
      <c r="A132" s="4" t="inlineStr">
        <is>
          <t>سجق اسبشيال</t>
        </is>
      </c>
      <c r="B132" s="4" t="inlineStr">
        <is>
          <t>الوصفة الرئيسية</t>
        </is>
      </c>
      <c r="C132" s="4" t="inlineStr">
        <is>
          <t>نشا</t>
        </is>
      </c>
      <c r="D132" s="4" t="inlineStr">
        <is>
          <t>نشا</t>
        </is>
      </c>
      <c r="E132" s="21" t="n">
        <v>7.5</v>
      </c>
      <c r="F132" s="6">
        <f>'احتساب متوسط سبتمبر'!I36</f>
        <v/>
      </c>
      <c r="G132" s="5">
        <f>E132*F132</f>
        <v/>
      </c>
      <c r="H132" s="4" t="inlineStr">
        <is>
          <t>مطابقة سعر يونيه بالوصفة مع سعر الصنف بالجرد</t>
        </is>
      </c>
    </row>
    <row r="133">
      <c r="A133" s="4" t="inlineStr">
        <is>
          <t>سجق اسبشيال</t>
        </is>
      </c>
      <c r="B133" s="4" t="inlineStr">
        <is>
          <t>الوصفة الرئيسية</t>
        </is>
      </c>
      <c r="C133" s="4" t="inlineStr">
        <is>
          <t>بصل</t>
        </is>
      </c>
      <c r="D133" s="4" t="inlineStr">
        <is>
          <t>بصل</t>
        </is>
      </c>
      <c r="E133" s="21" t="n">
        <v>19.5</v>
      </c>
      <c r="F133" s="6">
        <f>'احتساب متوسط سبتمبر'!I5</f>
        <v/>
      </c>
      <c r="G133" s="5">
        <f>E133*F133</f>
        <v/>
      </c>
      <c r="H133" s="4" t="inlineStr">
        <is>
          <t>مطابقة سعر يونيه بالوصفة مع سعر الصنف بالجرد</t>
        </is>
      </c>
    </row>
    <row r="134">
      <c r="A134" s="4" t="inlineStr">
        <is>
          <t>سجق اسبشيال</t>
        </is>
      </c>
      <c r="B134" s="4" t="inlineStr">
        <is>
          <t>الوصفة الرئيسية</t>
        </is>
      </c>
      <c r="C134" s="4" t="inlineStr">
        <is>
          <t>ملح</t>
        </is>
      </c>
      <c r="D134" s="4" t="inlineStr">
        <is>
          <t>الملح</t>
        </is>
      </c>
      <c r="E134" s="21" t="n">
        <v>4.2</v>
      </c>
      <c r="F134" s="6">
        <f>'احتساب متوسط سبتمبر'!I55</f>
        <v/>
      </c>
      <c r="G134" s="5">
        <f>E134*F134</f>
        <v/>
      </c>
      <c r="H134" s="4" t="inlineStr">
        <is>
          <t>مطابقة سعر يونيه بالوصفة مع سعر الصنف بالجرد</t>
        </is>
      </c>
    </row>
    <row r="135">
      <c r="A135" s="4" t="inlineStr">
        <is>
          <t>سجق اسبشيال</t>
        </is>
      </c>
      <c r="B135" s="4" t="inlineStr">
        <is>
          <t>الوصفة الرئيسية</t>
        </is>
      </c>
      <c r="C135" s="4" t="inlineStr">
        <is>
          <t>فوسفات</t>
        </is>
      </c>
      <c r="D135" s="4" t="inlineStr">
        <is>
          <t>فوسفات</t>
        </is>
      </c>
      <c r="E135" s="21" t="n">
        <v>1.5</v>
      </c>
      <c r="F135" s="6">
        <f>'احتساب متوسط سبتمبر'!I56</f>
        <v/>
      </c>
      <c r="G135" s="5">
        <f>E135*F135</f>
        <v/>
      </c>
      <c r="H135" s="4" t="inlineStr">
        <is>
          <t>مطابقة سعر يونيه بالوصفة مع سعر الصنف بالجرد</t>
        </is>
      </c>
    </row>
    <row r="136">
      <c r="A136" s="4" t="inlineStr">
        <is>
          <t>سجق اسبشيال</t>
        </is>
      </c>
      <c r="B136" s="4" t="inlineStr">
        <is>
          <t>الوصفة الرئيسية</t>
        </is>
      </c>
      <c r="C136" s="4" t="inlineStr">
        <is>
          <t>لورا</t>
        </is>
      </c>
      <c r="D136" s="4" t="inlineStr">
        <is>
          <t>لورا</t>
        </is>
      </c>
      <c r="E136" s="21" t="n">
        <v>0</v>
      </c>
      <c r="F136" s="6">
        <f>'احتساب متوسط سبتمبر'!I43</f>
        <v/>
      </c>
      <c r="G136" s="5">
        <f>E136*F136</f>
        <v/>
      </c>
      <c r="H136" s="4" t="inlineStr">
        <is>
          <t>مطابقة سعر يونيه بالوصفة مع سعر الصنف بالجرد</t>
        </is>
      </c>
    </row>
    <row r="137">
      <c r="A137" s="4" t="inlineStr">
        <is>
          <t>سجق اسبشيال</t>
        </is>
      </c>
      <c r="B137" s="4" t="inlineStr">
        <is>
          <t>الوصفة الرئيسية</t>
        </is>
      </c>
      <c r="C137" s="4" t="inlineStr">
        <is>
          <t>شطه</t>
        </is>
      </c>
      <c r="D137" s="4" t="inlineStr">
        <is>
          <t>شطه</t>
        </is>
      </c>
      <c r="E137" s="21" t="n">
        <v>0.75</v>
      </c>
      <c r="F137" s="6">
        <f>'احتساب متوسط سبتمبر'!I48</f>
        <v/>
      </c>
      <c r="G137" s="5">
        <f>E137*F137</f>
        <v/>
      </c>
      <c r="H137" s="4" t="inlineStr">
        <is>
          <t>مطابقة سعر يونيه بالوصفة مع سعر الصنف بالجرد</t>
        </is>
      </c>
    </row>
    <row r="138">
      <c r="A138" s="4" t="inlineStr">
        <is>
          <t>سجق اسبشيال</t>
        </is>
      </c>
      <c r="B138" s="4" t="inlineStr">
        <is>
          <t>الوصفة الرئيسية</t>
        </is>
      </c>
      <c r="C138" s="4" t="inlineStr">
        <is>
          <t>مونوصوديم</t>
        </is>
      </c>
      <c r="D138" s="4" t="inlineStr">
        <is>
          <t>جلتومات</t>
        </is>
      </c>
      <c r="E138" s="21" t="n">
        <v>1.5</v>
      </c>
      <c r="F138" s="6">
        <f>'احتساب متوسط سبتمبر'!I57</f>
        <v/>
      </c>
      <c r="G138" s="5">
        <f>E138*F138</f>
        <v/>
      </c>
      <c r="H138" s="4" t="inlineStr">
        <is>
          <t>مطابقة سعر يونيه بالوصفة مع سعر الصنف بالجرد</t>
        </is>
      </c>
    </row>
    <row r="139">
      <c r="A139" s="4" t="inlineStr">
        <is>
          <t>سجق اسبشيال</t>
        </is>
      </c>
      <c r="B139" s="4" t="inlineStr">
        <is>
          <t>الوصفة الرئيسية</t>
        </is>
      </c>
      <c r="C139" s="4" t="inlineStr">
        <is>
          <t>فلفل اسود</t>
        </is>
      </c>
      <c r="D139" s="4" t="inlineStr">
        <is>
          <t>فلفل اسود</t>
        </is>
      </c>
      <c r="E139" s="21" t="n">
        <v>0</v>
      </c>
      <c r="F139" s="6">
        <f>'احتساب متوسط سبتمبر'!I37</f>
        <v/>
      </c>
      <c r="G139" s="5">
        <f>E139*F139</f>
        <v/>
      </c>
      <c r="H139" s="4" t="inlineStr">
        <is>
          <t>مطابقة سعر يونيه بالوصفة مع سعر الصنف بالجرد</t>
        </is>
      </c>
    </row>
    <row r="140">
      <c r="A140" s="4" t="inlineStr">
        <is>
          <t>سجق اسبشيال</t>
        </is>
      </c>
      <c r="B140" s="4" t="inlineStr">
        <is>
          <t>الوصفة الرئيسية</t>
        </is>
      </c>
      <c r="C140" s="4" t="inlineStr">
        <is>
          <t>خلنجان</t>
        </is>
      </c>
      <c r="D140" s="4" t="inlineStr">
        <is>
          <t>خلنجان</t>
        </is>
      </c>
      <c r="E140" s="21" t="n">
        <v>0.75</v>
      </c>
      <c r="F140" s="6">
        <f>'احتساب متوسط سبتمبر'!I44</f>
        <v/>
      </c>
      <c r="G140" s="5">
        <f>E140*F140</f>
        <v/>
      </c>
      <c r="H140" s="4" t="inlineStr">
        <is>
          <t>مطابقة سعر يونيه بالوصفة مع سعر الصنف بالجرد</t>
        </is>
      </c>
    </row>
    <row r="141">
      <c r="A141" s="4" t="inlineStr">
        <is>
          <t>سجق اسبشيال</t>
        </is>
      </c>
      <c r="B141" s="4" t="inlineStr">
        <is>
          <t>الوصفة الرئيسية</t>
        </is>
      </c>
      <c r="C141" s="4" t="inlineStr">
        <is>
          <t>توم</t>
        </is>
      </c>
      <c r="D141" s="4" t="inlineStr">
        <is>
          <t>ثوم</t>
        </is>
      </c>
      <c r="E141" s="21" t="n">
        <v>4.5</v>
      </c>
      <c r="F141" s="6">
        <f>'احتساب متوسط سبتمبر'!I6</f>
        <v/>
      </c>
      <c r="G141" s="5">
        <f>E141*F141</f>
        <v/>
      </c>
      <c r="H141" s="4" t="inlineStr">
        <is>
          <t>مطابقة سعر يونيه بالوصفة مع سعر الصنف بالجرد</t>
        </is>
      </c>
    </row>
    <row r="142">
      <c r="A142" s="4" t="inlineStr">
        <is>
          <t>سجق اسبشيال</t>
        </is>
      </c>
      <c r="B142" s="4" t="inlineStr">
        <is>
          <t>الوصفة الرئيسية</t>
        </is>
      </c>
      <c r="C142" s="4" t="inlineStr">
        <is>
          <t>زعتر</t>
        </is>
      </c>
      <c r="D142" s="4" t="inlineStr">
        <is>
          <t>زعتر</t>
        </is>
      </c>
      <c r="E142" s="21" t="n">
        <v>0.38</v>
      </c>
      <c r="F142" s="6">
        <f>'احتساب متوسط سبتمبر'!I47</f>
        <v/>
      </c>
      <c r="G142" s="5">
        <f>E142*F142</f>
        <v/>
      </c>
      <c r="H142" s="4" t="inlineStr">
        <is>
          <t>مطابقة سعر يونيه بالوصفة مع سعر الصنف بالجرد</t>
        </is>
      </c>
    </row>
    <row r="143">
      <c r="A143" s="4" t="inlineStr">
        <is>
          <t>سجق اسبشيال</t>
        </is>
      </c>
      <c r="B143" s="4" t="inlineStr">
        <is>
          <t>الوصفة الرئيسية</t>
        </is>
      </c>
      <c r="C143" s="4" t="inlineStr">
        <is>
          <t>ينسون</t>
        </is>
      </c>
      <c r="D143" s="4" t="inlineStr">
        <is>
          <t>ينسون</t>
        </is>
      </c>
      <c r="E143" s="21" t="n">
        <v>0.6889999999999999</v>
      </c>
      <c r="F143" s="6">
        <f>'احتساب متوسط سبتمبر'!I50</f>
        <v/>
      </c>
      <c r="G143" s="5">
        <f>E143*F143</f>
        <v/>
      </c>
      <c r="H143" s="4" t="inlineStr">
        <is>
          <t>مطابقة سعر يونيه بالوصفة مع سعر الصنف بالجرد</t>
        </is>
      </c>
    </row>
    <row r="144">
      <c r="A144" s="4" t="inlineStr">
        <is>
          <t>سجق اسبشيال</t>
        </is>
      </c>
      <c r="B144" s="4" t="inlineStr">
        <is>
          <t>الوصفة الرئيسية</t>
        </is>
      </c>
      <c r="C144" s="4" t="inlineStr">
        <is>
          <t>قرفة</t>
        </is>
      </c>
      <c r="D144" s="4" t="inlineStr">
        <is>
          <t>قرفه</t>
        </is>
      </c>
      <c r="E144" s="21" t="n">
        <v>0.6</v>
      </c>
      <c r="F144" s="6">
        <f>'احتساب متوسط سبتمبر'!I46</f>
        <v/>
      </c>
      <c r="G144" s="5">
        <f>E144*F144</f>
        <v/>
      </c>
      <c r="H144" s="4" t="inlineStr">
        <is>
          <t>مطابقة سعر يونيه بالوصفة مع سعر الصنف بالجرد</t>
        </is>
      </c>
    </row>
    <row r="145">
      <c r="A145" s="4" t="inlineStr">
        <is>
          <t>سجق اسبشيال</t>
        </is>
      </c>
      <c r="B145" s="4" t="inlineStr">
        <is>
          <t>الوصفة الرئيسية</t>
        </is>
      </c>
      <c r="C145" s="4" t="inlineStr">
        <is>
          <t>كزبره</t>
        </is>
      </c>
      <c r="D145" s="4" t="inlineStr">
        <is>
          <t>كزبره</t>
        </is>
      </c>
      <c r="E145" s="21" t="n">
        <v>1.2</v>
      </c>
      <c r="F145" s="6">
        <f>'احتساب متوسط سبتمبر'!I45</f>
        <v/>
      </c>
      <c r="G145" s="5">
        <f>E145*F145</f>
        <v/>
      </c>
      <c r="H145" s="4" t="inlineStr">
        <is>
          <t>مطابقة سعر يونيه بالوصفة مع سعر الصنف بالجرد</t>
        </is>
      </c>
    </row>
    <row r="146">
      <c r="A146" s="4" t="inlineStr">
        <is>
          <t>سجق اسبشيال</t>
        </is>
      </c>
      <c r="B146" s="4" t="inlineStr">
        <is>
          <t>الوصفة الرئيسية</t>
        </is>
      </c>
      <c r="C146" s="4" t="inlineStr">
        <is>
          <t>طعم سجق بودر</t>
        </is>
      </c>
      <c r="D146" s="4" t="inlineStr">
        <is>
          <t>طعم سجق بودر</t>
        </is>
      </c>
      <c r="E146" s="21" t="n">
        <v>0.3</v>
      </c>
      <c r="F146" s="6">
        <f>'احتساب متوسط سبتمبر'!I58</f>
        <v/>
      </c>
      <c r="G146" s="5">
        <f>E146*F146</f>
        <v/>
      </c>
      <c r="H146" s="4" t="inlineStr">
        <is>
          <t>مطابقة سعر يونيه بالوصفة مع سعر الصنف بالجرد</t>
        </is>
      </c>
    </row>
    <row r="147">
      <c r="A147" s="4" t="inlineStr">
        <is>
          <t>سجق اسبشيال</t>
        </is>
      </c>
      <c r="B147" s="4" t="inlineStr">
        <is>
          <t>الوصفة الرئيسية</t>
        </is>
      </c>
      <c r="C147" s="4" t="inlineStr">
        <is>
          <t>بيف</t>
        </is>
      </c>
      <c r="D147" s="4" t="inlineStr">
        <is>
          <t>طعم بيف</t>
        </is>
      </c>
      <c r="E147" s="21" t="n">
        <v>0</v>
      </c>
      <c r="F147" s="6">
        <f>'احتساب متوسط سبتمبر'!I63</f>
        <v/>
      </c>
      <c r="G147" s="5">
        <f>E147*F147</f>
        <v/>
      </c>
      <c r="H147" s="4" t="inlineStr">
        <is>
          <t>مطابقة سعر يونيه بالوصفة مع سعر الصنف بالجرد</t>
        </is>
      </c>
    </row>
    <row r="148">
      <c r="A148" s="4" t="inlineStr">
        <is>
          <t>سجق اسبشيال</t>
        </is>
      </c>
      <c r="B148" s="4" t="inlineStr">
        <is>
          <t>الوصفة الرئيسية</t>
        </is>
      </c>
      <c r="C148" s="4" t="inlineStr">
        <is>
          <t>لون</t>
        </is>
      </c>
      <c r="D148" s="4" t="inlineStr">
        <is>
          <t>لون طبيعي</t>
        </is>
      </c>
      <c r="E148" s="21" t="n">
        <v>0.04</v>
      </c>
      <c r="F148" s="6">
        <f>'احتساب متوسط سبتمبر'!I70</f>
        <v/>
      </c>
      <c r="G148" s="5">
        <f>E148*F148</f>
        <v/>
      </c>
      <c r="H148" s="4" t="inlineStr">
        <is>
          <t>مطابقة سعر يونيه بالوصفة مع سعر الصنف بالجرد</t>
        </is>
      </c>
    </row>
    <row r="149">
      <c r="A149" s="22" t="inlineStr">
        <is>
          <t>سجق اسبشيال</t>
        </is>
      </c>
      <c r="B149" s="14" t="inlineStr">
        <is>
          <t>إجمالى الوصفة الرئيسية</t>
        </is>
      </c>
      <c r="E149" s="23">
        <f>SUM(E125:E148)</f>
        <v/>
      </c>
      <c r="G149" s="24">
        <f>SUM(G125:G148)</f>
        <v/>
      </c>
      <c r="H149" s="22" t="inlineStr">
        <is>
          <t>سعر الكجم = قيمة الوصفة ÷ 228.659 كجم</t>
        </is>
      </c>
    </row>
    <row r="151">
      <c r="A151" s="4" t="inlineStr">
        <is>
          <t>كفته اسبشيال</t>
        </is>
      </c>
      <c r="B151" s="4" t="inlineStr">
        <is>
          <t>الوصفة الرئيسية</t>
        </is>
      </c>
      <c r="C151" s="4" t="inlineStr">
        <is>
          <t>مفروم فراخ شعبى</t>
        </is>
      </c>
      <c r="D151" s="4" t="inlineStr">
        <is>
          <t>مفروم فراخ شعبي</t>
        </is>
      </c>
      <c r="E151" s="21" t="n">
        <v>90</v>
      </c>
      <c r="F151" s="17">
        <f>'احتساب متوسط سبتمبر'!C8</f>
        <v/>
      </c>
      <c r="G151" s="5">
        <f>E151*F151</f>
        <v/>
      </c>
      <c r="H151" s="10" t="inlineStr">
        <is>
          <t>مؤقت: سعر أغسطس لحين حسم فاتورة الفراخ المفرومة</t>
        </is>
      </c>
    </row>
    <row r="152">
      <c r="A152" s="4" t="inlineStr">
        <is>
          <t>كفته اسبشيال</t>
        </is>
      </c>
      <c r="B152" s="4" t="inlineStr">
        <is>
          <t>الوصفة الرئيسية</t>
        </is>
      </c>
      <c r="C152" s="4" t="inlineStr">
        <is>
          <t>دهن</t>
        </is>
      </c>
      <c r="D152" s="4" t="inlineStr">
        <is>
          <t>دهن بلدي</t>
        </is>
      </c>
      <c r="E152" s="21" t="n">
        <v>60</v>
      </c>
      <c r="F152" s="6">
        <f>'احتساب متوسط سبتمبر'!I13</f>
        <v/>
      </c>
      <c r="G152" s="5">
        <f>E152*F152</f>
        <v/>
      </c>
      <c r="H152" s="4" t="inlineStr">
        <is>
          <t>مطابقة سعر يونيه بالوصفة مع سعر الصنف بالجرد</t>
        </is>
      </c>
    </row>
    <row r="153">
      <c r="A153" s="4" t="inlineStr">
        <is>
          <t>كفته اسبشيال</t>
        </is>
      </c>
      <c r="B153" s="4" t="inlineStr">
        <is>
          <t>الوصفة الرئيسية</t>
        </is>
      </c>
      <c r="C153" s="4" t="inlineStr">
        <is>
          <t>فلفل</t>
        </is>
      </c>
      <c r="D153" s="4" t="inlineStr">
        <is>
          <t>—</t>
        </is>
      </c>
      <c r="E153" s="21" t="n">
        <v>15</v>
      </c>
      <c r="F153" s="6" t="n">
        <v>0</v>
      </c>
      <c r="G153" s="5">
        <f>E153*F153</f>
        <v/>
      </c>
      <c r="H153" s="10" t="inlineStr">
        <is>
          <t>غير محدد النوع (فلفل اسود/احمر/اخضر) — لا يمكن تحديد سعر بدقة دون توضيح</t>
        </is>
      </c>
    </row>
    <row r="154">
      <c r="A154" s="4" t="inlineStr">
        <is>
          <t>كفته اسبشيال</t>
        </is>
      </c>
      <c r="B154" s="4" t="inlineStr">
        <is>
          <t>الوصفة الرئيسية</t>
        </is>
      </c>
      <c r="C154" s="4" t="inlineStr">
        <is>
          <t>صويا</t>
        </is>
      </c>
      <c r="D154" s="4" t="inlineStr">
        <is>
          <t>صويا لحمه</t>
        </is>
      </c>
      <c r="E154" s="21" t="n">
        <v>27</v>
      </c>
      <c r="F154" s="6">
        <f>'احتساب متوسط سبتمبر'!I10</f>
        <v/>
      </c>
      <c r="G154" s="5">
        <f>E154*F154</f>
        <v/>
      </c>
      <c r="H154" s="4" t="inlineStr">
        <is>
          <t>مطابقة سعر يونيه بالوصفة مع سعر الصنف بالجرد</t>
        </is>
      </c>
    </row>
    <row r="155">
      <c r="A155" s="4" t="inlineStr">
        <is>
          <t>كفته اسبشيال</t>
        </is>
      </c>
      <c r="B155" s="4" t="inlineStr">
        <is>
          <t>الوصفة الرئيسية</t>
        </is>
      </c>
      <c r="C155" s="4" t="inlineStr">
        <is>
          <t>فلفل احمر</t>
        </is>
      </c>
      <c r="D155" s="4" t="inlineStr">
        <is>
          <t>— (سعر ثابت بالوصفة)</t>
        </is>
      </c>
      <c r="E155" s="21" t="n">
        <v>15</v>
      </c>
      <c r="F155" s="6" t="n">
        <v>13</v>
      </c>
      <c r="G155" s="5">
        <f>E155*F155</f>
        <v/>
      </c>
      <c r="H155" s="10" t="inlineStr">
        <is>
          <t>لا يقابله صنف بالجرد — السعر ثابت كما بالوصفة</t>
        </is>
      </c>
    </row>
    <row r="156">
      <c r="A156" s="4" t="inlineStr">
        <is>
          <t>كفته اسبشيال</t>
        </is>
      </c>
      <c r="B156" s="4" t="inlineStr">
        <is>
          <t>الوصفة الرئيسية</t>
        </is>
      </c>
      <c r="C156" s="4" t="inlineStr">
        <is>
          <t>برغل</t>
        </is>
      </c>
      <c r="D156" s="4" t="inlineStr">
        <is>
          <t>برغل</t>
        </is>
      </c>
      <c r="E156" s="21" t="n">
        <v>15</v>
      </c>
      <c r="F156" s="6">
        <f>'احتساب متوسط سبتمبر'!I20</f>
        <v/>
      </c>
      <c r="G156" s="5">
        <f>E156*F156</f>
        <v/>
      </c>
      <c r="H156" s="4" t="inlineStr">
        <is>
          <t>مطابقة سعر يونيه بالوصفة مع سعر الصنف بالجرد</t>
        </is>
      </c>
    </row>
    <row r="157">
      <c r="A157" s="4" t="inlineStr">
        <is>
          <t>كفته اسبشيال</t>
        </is>
      </c>
      <c r="B157" s="4" t="inlineStr">
        <is>
          <t>الوصفة الرئيسية</t>
        </is>
      </c>
      <c r="C157" s="4" t="inlineStr">
        <is>
          <t>نشا</t>
        </is>
      </c>
      <c r="D157" s="4" t="inlineStr">
        <is>
          <t>نشا</t>
        </is>
      </c>
      <c r="E157" s="21" t="n">
        <v>15</v>
      </c>
      <c r="F157" s="6">
        <f>'احتساب متوسط سبتمبر'!I36</f>
        <v/>
      </c>
      <c r="G157" s="5">
        <f>E157*F157</f>
        <v/>
      </c>
      <c r="H157" s="4" t="inlineStr">
        <is>
          <t>مطابقة سعر يونيه بالوصفة مع سعر الصنف بالجرد</t>
        </is>
      </c>
    </row>
    <row r="158">
      <c r="A158" s="4" t="inlineStr">
        <is>
          <t>كفته اسبشيال</t>
        </is>
      </c>
      <c r="B158" s="4" t="inlineStr">
        <is>
          <t>الوصفة الرئيسية</t>
        </is>
      </c>
      <c r="C158" s="4" t="inlineStr">
        <is>
          <t>بصل</t>
        </is>
      </c>
      <c r="D158" s="4" t="inlineStr">
        <is>
          <t>بصل</t>
        </is>
      </c>
      <c r="E158" s="21" t="n">
        <v>30</v>
      </c>
      <c r="F158" s="6">
        <f>'احتساب متوسط سبتمبر'!I5</f>
        <v/>
      </c>
      <c r="G158" s="5">
        <f>E158*F158</f>
        <v/>
      </c>
      <c r="H158" s="4" t="inlineStr">
        <is>
          <t>مطابقة سعر يونيه بالوصفة مع سعر الصنف بالجرد</t>
        </is>
      </c>
    </row>
    <row r="159">
      <c r="A159" s="4" t="inlineStr">
        <is>
          <t>كفته اسبشيال</t>
        </is>
      </c>
      <c r="B159" s="4" t="inlineStr">
        <is>
          <t>الوصفة الرئيسية</t>
        </is>
      </c>
      <c r="C159" s="4" t="inlineStr">
        <is>
          <t>سميد</t>
        </is>
      </c>
      <c r="D159" s="4" t="inlineStr">
        <is>
          <t>صميد</t>
        </is>
      </c>
      <c r="E159" s="21" t="n">
        <v>19.5</v>
      </c>
      <c r="F159" s="6">
        <f>'احتساب متوسط سبتمبر'!I9</f>
        <v/>
      </c>
      <c r="G159" s="5">
        <f>E159*F159</f>
        <v/>
      </c>
      <c r="H159" s="4" t="inlineStr">
        <is>
          <t>مطابقة سعر يونيه بالوصفة مع سعر الصنف بالجرد</t>
        </is>
      </c>
    </row>
    <row r="160">
      <c r="A160" s="4" t="inlineStr">
        <is>
          <t>كفته اسبشيال</t>
        </is>
      </c>
      <c r="B160" s="4" t="inlineStr">
        <is>
          <t>الوصفة الرئيسية</t>
        </is>
      </c>
      <c r="C160" s="4" t="inlineStr">
        <is>
          <t>مياه</t>
        </is>
      </c>
      <c r="D160" s="4" t="inlineStr">
        <is>
          <t>—</t>
        </is>
      </c>
      <c r="E160" s="21" t="n">
        <v>60</v>
      </c>
      <c r="F160" s="6" t="n">
        <v>0</v>
      </c>
      <c r="G160" s="5">
        <f>E160*F160</f>
        <v/>
      </c>
      <c r="H160" s="10" t="inlineStr">
        <is>
          <t>لا يوجد سعر شراء مسجل للمياه ضمن الخامات — عادة تكلفة مرافق غير مباشرة</t>
        </is>
      </c>
    </row>
    <row r="161">
      <c r="A161" s="4" t="inlineStr">
        <is>
          <t>كفته اسبشيال</t>
        </is>
      </c>
      <c r="B161" s="4" t="inlineStr">
        <is>
          <t>الوصفة الرئيسية</t>
        </is>
      </c>
      <c r="C161" s="4" t="inlineStr">
        <is>
          <t>مونوصوديم</t>
        </is>
      </c>
      <c r="D161" s="4" t="inlineStr">
        <is>
          <t>جلتومات</t>
        </is>
      </c>
      <c r="E161" s="21" t="n">
        <v>1.2</v>
      </c>
      <c r="F161" s="6">
        <f>'احتساب متوسط سبتمبر'!I57</f>
        <v/>
      </c>
      <c r="G161" s="5">
        <f>E161*F161</f>
        <v/>
      </c>
      <c r="H161" s="4" t="inlineStr">
        <is>
          <t>مطابقة سعر يونيه بالوصفة مع سعر الصنف بالجرد</t>
        </is>
      </c>
    </row>
    <row r="162">
      <c r="A162" s="4" t="inlineStr">
        <is>
          <t>كفته اسبشيال</t>
        </is>
      </c>
      <c r="B162" s="4" t="inlineStr">
        <is>
          <t>الوصفة الرئيسية</t>
        </is>
      </c>
      <c r="C162" s="4" t="inlineStr">
        <is>
          <t>ايزوليت</t>
        </is>
      </c>
      <c r="D162" s="4" t="inlineStr">
        <is>
          <t>صويا اوزيليت</t>
        </is>
      </c>
      <c r="E162" s="21" t="n">
        <v>4.5</v>
      </c>
      <c r="F162" s="6">
        <f>'احتساب متوسط سبتمبر'!I11</f>
        <v/>
      </c>
      <c r="G162" s="5">
        <f>E162*F162</f>
        <v/>
      </c>
      <c r="H162" s="4" t="inlineStr">
        <is>
          <t>مطابقة سعر يونيه بالوصفة مع سعر الصنف بالجرد</t>
        </is>
      </c>
    </row>
    <row r="163">
      <c r="A163" s="4" t="inlineStr">
        <is>
          <t>كفته اسبشيال</t>
        </is>
      </c>
      <c r="B163" s="4" t="inlineStr">
        <is>
          <t>الوصفة الرئيسية</t>
        </is>
      </c>
      <c r="C163" s="4" t="inlineStr">
        <is>
          <t>كزبرة</t>
        </is>
      </c>
      <c r="D163" s="4" t="inlineStr">
        <is>
          <t>كزبره</t>
        </is>
      </c>
      <c r="E163" s="21" t="n">
        <v>0.75</v>
      </c>
      <c r="F163" s="6">
        <f>'احتساب متوسط سبتمبر'!I45</f>
        <v/>
      </c>
      <c r="G163" s="5">
        <f>E163*F163</f>
        <v/>
      </c>
      <c r="H163" s="4" t="inlineStr">
        <is>
          <t>مطابقة سعر يونيه بالوصفة مع سعر الصنف بالجرد</t>
        </is>
      </c>
    </row>
    <row r="164">
      <c r="A164" s="4" t="inlineStr">
        <is>
          <t>كفته اسبشيال</t>
        </is>
      </c>
      <c r="B164" s="4" t="inlineStr">
        <is>
          <t>الوصفة الرئيسية</t>
        </is>
      </c>
      <c r="C164" s="4" t="inlineStr">
        <is>
          <t>كبابة</t>
        </is>
      </c>
      <c r="D164" s="4" t="inlineStr">
        <is>
          <t>كبابه</t>
        </is>
      </c>
      <c r="E164" s="21" t="n">
        <v>0</v>
      </c>
      <c r="F164" s="6">
        <f>'احتساب متوسط سبتمبر'!I41</f>
        <v/>
      </c>
      <c r="G164" s="5">
        <f>E164*F164</f>
        <v/>
      </c>
      <c r="H164" s="4" t="inlineStr">
        <is>
          <t>مطابقة سعر يونيه بالوصفة مع سعر الصنف بالجرد</t>
        </is>
      </c>
    </row>
    <row r="165">
      <c r="A165" s="4" t="inlineStr">
        <is>
          <t>كفته اسبشيال</t>
        </is>
      </c>
      <c r="B165" s="4" t="inlineStr">
        <is>
          <t>الوصفة الرئيسية</t>
        </is>
      </c>
      <c r="C165" s="4" t="inlineStr">
        <is>
          <t>قرنفل</t>
        </is>
      </c>
      <c r="D165" s="4" t="inlineStr">
        <is>
          <t>قرنفل</t>
        </is>
      </c>
      <c r="E165" s="21" t="n">
        <v>0</v>
      </c>
      <c r="F165" s="6">
        <f>'احتساب متوسط سبتمبر'!I38</f>
        <v/>
      </c>
      <c r="G165" s="5">
        <f>E165*F165</f>
        <v/>
      </c>
      <c r="H165" s="4" t="inlineStr">
        <is>
          <t>مطابقة سعر يونيه بالوصفة مع سعر الصنف بالجرد</t>
        </is>
      </c>
    </row>
    <row r="166">
      <c r="A166" s="4" t="inlineStr">
        <is>
          <t>كفته اسبشيال</t>
        </is>
      </c>
      <c r="B166" s="4" t="inlineStr">
        <is>
          <t>الوصفة الرئيسية</t>
        </is>
      </c>
      <c r="C166" s="4" t="inlineStr">
        <is>
          <t>قرفه</t>
        </is>
      </c>
      <c r="D166" s="4" t="inlineStr">
        <is>
          <t>قرفه</t>
        </is>
      </c>
      <c r="E166" s="21" t="n">
        <v>0</v>
      </c>
      <c r="F166" s="6">
        <f>'احتساب متوسط سبتمبر'!I46</f>
        <v/>
      </c>
      <c r="G166" s="5">
        <f>E166*F166</f>
        <v/>
      </c>
      <c r="H166" s="4" t="inlineStr">
        <is>
          <t>مطابقة سعر يونيه بالوصفة مع سعر الصنف بالجرد</t>
        </is>
      </c>
    </row>
    <row r="167">
      <c r="A167" s="4" t="inlineStr">
        <is>
          <t>كفته اسبشيال</t>
        </is>
      </c>
      <c r="B167" s="4" t="inlineStr">
        <is>
          <t>الوصفة الرئيسية</t>
        </is>
      </c>
      <c r="C167" s="4" t="inlineStr">
        <is>
          <t>فوسفات</t>
        </is>
      </c>
      <c r="D167" s="4" t="inlineStr">
        <is>
          <t>فوسفات</t>
        </is>
      </c>
      <c r="E167" s="21" t="n">
        <v>1.8</v>
      </c>
      <c r="F167" s="6">
        <f>'احتساب متوسط سبتمبر'!I56</f>
        <v/>
      </c>
      <c r="G167" s="5">
        <f>E167*F167</f>
        <v/>
      </c>
      <c r="H167" s="4" t="inlineStr">
        <is>
          <t>مطابقة سعر يونيه بالوصفة مع سعر الصنف بالجرد</t>
        </is>
      </c>
    </row>
    <row r="168">
      <c r="A168" s="4" t="inlineStr">
        <is>
          <t>كفته اسبشيال</t>
        </is>
      </c>
      <c r="B168" s="4" t="inlineStr">
        <is>
          <t>الوصفة الرئيسية</t>
        </is>
      </c>
      <c r="C168" s="4" t="inlineStr">
        <is>
          <t>ينسون</t>
        </is>
      </c>
      <c r="D168" s="4" t="inlineStr">
        <is>
          <t>ينسون</t>
        </is>
      </c>
      <c r="E168" s="21" t="n">
        <v>0</v>
      </c>
      <c r="F168" s="6">
        <f>'احتساب متوسط سبتمبر'!I50</f>
        <v/>
      </c>
      <c r="G168" s="5">
        <f>E168*F168</f>
        <v/>
      </c>
      <c r="H168" s="4" t="inlineStr">
        <is>
          <t>مطابقة سعر يونيه بالوصفة مع سعر الصنف بالجرد</t>
        </is>
      </c>
    </row>
    <row r="169">
      <c r="A169" s="4" t="inlineStr">
        <is>
          <t>كفته اسبشيال</t>
        </is>
      </c>
      <c r="B169" s="4" t="inlineStr">
        <is>
          <t>الوصفة الرئيسية</t>
        </is>
      </c>
      <c r="C169" s="4" t="inlineStr">
        <is>
          <t>شطة</t>
        </is>
      </c>
      <c r="D169" s="4" t="inlineStr">
        <is>
          <t>شطه</t>
        </is>
      </c>
      <c r="E169" s="21" t="n">
        <v>0.15</v>
      </c>
      <c r="F169" s="6">
        <f>'احتساب متوسط سبتمبر'!I48</f>
        <v/>
      </c>
      <c r="G169" s="5">
        <f>E169*F169</f>
        <v/>
      </c>
      <c r="H169" s="4" t="inlineStr">
        <is>
          <t>مطابقة سعر يونيه بالوصفة مع سعر الصنف بالجرد</t>
        </is>
      </c>
    </row>
    <row r="170">
      <c r="A170" s="4" t="inlineStr">
        <is>
          <t>كفته اسبشيال</t>
        </is>
      </c>
      <c r="B170" s="4" t="inlineStr">
        <is>
          <t>الوصفة الرئيسية</t>
        </is>
      </c>
      <c r="C170" s="4" t="inlineStr">
        <is>
          <t>ملح</t>
        </is>
      </c>
      <c r="D170" s="4" t="inlineStr">
        <is>
          <t>الملح</t>
        </is>
      </c>
      <c r="E170" s="21" t="n">
        <v>5.1</v>
      </c>
      <c r="F170" s="6">
        <f>'احتساب متوسط سبتمبر'!I55</f>
        <v/>
      </c>
      <c r="G170" s="5">
        <f>E170*F170</f>
        <v/>
      </c>
      <c r="H170" s="4" t="inlineStr">
        <is>
          <t>مطابقة سعر يونيه بالوصفة مع سعر الصنف بالجرد</t>
        </is>
      </c>
    </row>
    <row r="171">
      <c r="A171" s="4" t="inlineStr">
        <is>
          <t>كفته اسبشيال</t>
        </is>
      </c>
      <c r="B171" s="4" t="inlineStr">
        <is>
          <t>الوصفة الرئيسية</t>
        </is>
      </c>
      <c r="C171" s="4" t="inlineStr">
        <is>
          <t>فلفل اسود</t>
        </is>
      </c>
      <c r="D171" s="4" t="inlineStr">
        <is>
          <t>فلفل اسود</t>
        </is>
      </c>
      <c r="E171" s="21" t="n">
        <v>1.5</v>
      </c>
      <c r="F171" s="6">
        <f>'احتساب متوسط سبتمبر'!I37</f>
        <v/>
      </c>
      <c r="G171" s="5">
        <f>E171*F171</f>
        <v/>
      </c>
      <c r="H171" s="4" t="inlineStr">
        <is>
          <t>مطابقة سعر يونيه بالوصفة مع سعر الصنف بالجرد</t>
        </is>
      </c>
    </row>
    <row r="172">
      <c r="A172" s="4" t="inlineStr">
        <is>
          <t>كفته اسبشيال</t>
        </is>
      </c>
      <c r="B172" s="4" t="inlineStr">
        <is>
          <t>الوصفة الرئيسية</t>
        </is>
      </c>
      <c r="C172" s="4" t="inlineStr">
        <is>
          <t>جبهان</t>
        </is>
      </c>
      <c r="D172" s="4" t="inlineStr">
        <is>
          <t>حبهان</t>
        </is>
      </c>
      <c r="E172" s="21" t="n">
        <v>0.12</v>
      </c>
      <c r="F172" s="6">
        <f>'احتساب متوسط سبتمبر'!I51</f>
        <v/>
      </c>
      <c r="G172" s="5">
        <f>E172*F172</f>
        <v/>
      </c>
      <c r="H172" s="4" t="inlineStr">
        <is>
          <t>مطابقة سعر يونيه بالوصفة مع سعر الصنف بالجرد</t>
        </is>
      </c>
    </row>
    <row r="173">
      <c r="A173" s="4" t="inlineStr">
        <is>
          <t>كفته اسبشيال</t>
        </is>
      </c>
      <c r="B173" s="4" t="inlineStr">
        <is>
          <t>الوصفة الرئيسية</t>
        </is>
      </c>
      <c r="C173" s="4" t="inlineStr">
        <is>
          <t>لورى</t>
        </is>
      </c>
      <c r="D173" s="4" t="inlineStr">
        <is>
          <t>لورا</t>
        </is>
      </c>
      <c r="E173" s="21" t="n">
        <v>0.3</v>
      </c>
      <c r="F173" s="6">
        <f>'احتساب متوسط سبتمبر'!I43</f>
        <v/>
      </c>
      <c r="G173" s="5">
        <f>E173*F173</f>
        <v/>
      </c>
      <c r="H173" s="4" t="inlineStr">
        <is>
          <t>مطابقة سعر يونيه بالوصفة مع سعر الصنف بالجرد</t>
        </is>
      </c>
    </row>
    <row r="174">
      <c r="A174" s="4" t="inlineStr">
        <is>
          <t>كفته اسبشيال</t>
        </is>
      </c>
      <c r="B174" s="4" t="inlineStr">
        <is>
          <t>الوصفة الرئيسية</t>
        </is>
      </c>
      <c r="C174" s="4" t="inlineStr">
        <is>
          <t>طعم شواء</t>
        </is>
      </c>
      <c r="D174" s="4" t="inlineStr">
        <is>
          <t>طعم شواي</t>
        </is>
      </c>
      <c r="E174" s="21" t="n">
        <v>0.75</v>
      </c>
      <c r="F174" s="6">
        <f>'احتساب متوسط سبتمبر'!I64</f>
        <v/>
      </c>
      <c r="G174" s="5">
        <f>E174*F174</f>
        <v/>
      </c>
      <c r="H174" s="4" t="inlineStr">
        <is>
          <t>مطابقة سعر يونيه بالوصفة مع سعر الصنف بالجرد</t>
        </is>
      </c>
    </row>
    <row r="175">
      <c r="A175" s="4" t="inlineStr">
        <is>
          <t>كفته اسبشيال</t>
        </is>
      </c>
      <c r="B175" s="4" t="inlineStr">
        <is>
          <t>الوصفة الرئيسية</t>
        </is>
      </c>
      <c r="C175" s="4" t="inlineStr">
        <is>
          <t>طعم كفته</t>
        </is>
      </c>
      <c r="D175" s="4" t="inlineStr">
        <is>
          <t>طعم كفته</t>
        </is>
      </c>
      <c r="E175" s="21" t="n">
        <v>0.75</v>
      </c>
      <c r="F175" s="6">
        <f>'احتساب متوسط سبتمبر'!I61</f>
        <v/>
      </c>
      <c r="G175" s="5">
        <f>E175*F175</f>
        <v/>
      </c>
      <c r="H175" s="4" t="inlineStr">
        <is>
          <t>مطابقة سعر يونيه بالوصفة مع سعر الصنف بالجرد</t>
        </is>
      </c>
    </row>
    <row r="176">
      <c r="A176" s="4" t="inlineStr">
        <is>
          <t>كفته اسبشيال</t>
        </is>
      </c>
      <c r="B176" s="4" t="inlineStr">
        <is>
          <t>الوصفة الرئيسية</t>
        </is>
      </c>
      <c r="C176" s="4" t="inlineStr">
        <is>
          <t>طعم ليه</t>
        </is>
      </c>
      <c r="D176" s="4" t="inlineStr">
        <is>
          <t>طعم ليه</t>
        </is>
      </c>
      <c r="E176" s="21" t="n">
        <v>1.2</v>
      </c>
      <c r="F176" s="6">
        <f>'احتساب متوسط سبتمبر'!I60</f>
        <v/>
      </c>
      <c r="G176" s="5">
        <f>E176*F176</f>
        <v/>
      </c>
      <c r="H176" s="4" t="inlineStr">
        <is>
          <t>مطابقة سعر يونيه بالوصفة مع سعر الصنف بالجرد</t>
        </is>
      </c>
    </row>
    <row r="177">
      <c r="A177" s="4" t="inlineStr">
        <is>
          <t>كفته اسبشيال</t>
        </is>
      </c>
      <c r="B177" s="4" t="inlineStr">
        <is>
          <t>الوصفة الرئيسية</t>
        </is>
      </c>
      <c r="C177" s="4" t="inlineStr">
        <is>
          <t>طعم بيف</t>
        </is>
      </c>
      <c r="D177" s="4" t="inlineStr">
        <is>
          <t>طعم بيف</t>
        </is>
      </c>
      <c r="E177" s="21" t="n">
        <v>0.75</v>
      </c>
      <c r="F177" s="6">
        <f>'احتساب متوسط سبتمبر'!I63</f>
        <v/>
      </c>
      <c r="G177" s="5">
        <f>E177*F177</f>
        <v/>
      </c>
      <c r="H177" s="4" t="inlineStr">
        <is>
          <t>مطابقة سعر يونيه بالوصفة مع سعر الصنف بالجرد</t>
        </is>
      </c>
    </row>
    <row r="178">
      <c r="A178" s="4" t="inlineStr">
        <is>
          <t>كفته اسبشيال</t>
        </is>
      </c>
      <c r="B178" s="4" t="inlineStr">
        <is>
          <t>الوصفة الرئيسية</t>
        </is>
      </c>
      <c r="C178" s="4" t="inlineStr">
        <is>
          <t>لون احمر</t>
        </is>
      </c>
      <c r="D178" s="4" t="inlineStr">
        <is>
          <t>لون طبيعي</t>
        </is>
      </c>
      <c r="E178" s="21" t="n">
        <v>0.03</v>
      </c>
      <c r="F178" s="6">
        <f>'احتساب متوسط سبتمبر'!I70</f>
        <v/>
      </c>
      <c r="G178" s="5">
        <f>E178*F178</f>
        <v/>
      </c>
      <c r="H178" s="4" t="inlineStr">
        <is>
          <t>مطابقة سعر يونيه بالوصفة مع سعر الصنف بالجرد</t>
        </is>
      </c>
    </row>
    <row r="179">
      <c r="A179" s="22" t="inlineStr">
        <is>
          <t>كفته اسبشيال</t>
        </is>
      </c>
      <c r="B179" s="14" t="inlineStr">
        <is>
          <t>إجمالى الوصفة الرئيسية</t>
        </is>
      </c>
      <c r="E179" s="23">
        <f>SUM(E151:E178)</f>
        <v/>
      </c>
      <c r="G179" s="24">
        <f>SUM(G151:G178)</f>
        <v/>
      </c>
      <c r="H179" s="22" t="inlineStr">
        <is>
          <t>سعر الكجم = قيمة الوصفة ÷ 365.4 كجم</t>
        </is>
      </c>
    </row>
    <row r="181">
      <c r="A181" s="4" t="inlineStr">
        <is>
          <t>سجق الهنا</t>
        </is>
      </c>
      <c r="B181" s="4" t="inlineStr">
        <is>
          <t>الوصفة الرئيسية</t>
        </is>
      </c>
      <c r="C181" s="4" t="inlineStr">
        <is>
          <t>مفروم فراخ شعبى</t>
        </is>
      </c>
      <c r="D181" s="4" t="inlineStr">
        <is>
          <t>مفروم فراخ شعبي</t>
        </is>
      </c>
      <c r="E181" s="21" t="n">
        <v>60</v>
      </c>
      <c r="F181" s="17">
        <f>'احتساب متوسط سبتمبر'!C8</f>
        <v/>
      </c>
      <c r="G181" s="5">
        <f>E181*F181</f>
        <v/>
      </c>
      <c r="H181" s="10" t="inlineStr">
        <is>
          <t>مؤقت: سعر أغسطس لحين حسم فاتورة الفراخ المفرومة</t>
        </is>
      </c>
    </row>
    <row r="182">
      <c r="A182" s="4" t="inlineStr">
        <is>
          <t>سجق الهنا</t>
        </is>
      </c>
      <c r="B182" s="4" t="inlineStr">
        <is>
          <t>الوصفة الرئيسية</t>
        </is>
      </c>
      <c r="C182" s="4" t="inlineStr">
        <is>
          <t>دهن</t>
        </is>
      </c>
      <c r="D182" s="4" t="inlineStr">
        <is>
          <t>دهن بلدي</t>
        </is>
      </c>
      <c r="E182" s="21" t="n">
        <v>27</v>
      </c>
      <c r="F182" s="6">
        <f>'احتساب متوسط سبتمبر'!I13</f>
        <v/>
      </c>
      <c r="G182" s="5">
        <f>E182*F182</f>
        <v/>
      </c>
      <c r="H182" s="4" t="inlineStr">
        <is>
          <t>مطابقة سعر يونيه بالوصفة مع سعر الصنف بالجرد</t>
        </is>
      </c>
    </row>
    <row r="183">
      <c r="A183" s="4" t="inlineStr">
        <is>
          <t>سجق الهنا</t>
        </is>
      </c>
      <c r="B183" s="4" t="inlineStr">
        <is>
          <t>الوصفة الرئيسية</t>
        </is>
      </c>
      <c r="C183" s="4" t="inlineStr">
        <is>
          <t>فلفل</t>
        </is>
      </c>
      <c r="D183" s="4" t="inlineStr">
        <is>
          <t>—</t>
        </is>
      </c>
      <c r="E183" s="21" t="n">
        <v>0</v>
      </c>
      <c r="F183" s="6" t="n">
        <v>0</v>
      </c>
      <c r="G183" s="5">
        <f>E183*F183</f>
        <v/>
      </c>
      <c r="H183" s="10" t="inlineStr">
        <is>
          <t>غير محدد النوع (فلفل اسود/احمر/اخضر) — لا يمكن تحديد سعر بدقة دون توضيح</t>
        </is>
      </c>
    </row>
    <row r="184">
      <c r="A184" s="4" t="inlineStr">
        <is>
          <t>سجق الهنا</t>
        </is>
      </c>
      <c r="B184" s="4" t="inlineStr">
        <is>
          <t>الوصفة الرئيسية</t>
        </is>
      </c>
      <c r="C184" s="4" t="inlineStr">
        <is>
          <t>صويا</t>
        </is>
      </c>
      <c r="D184" s="4" t="inlineStr">
        <is>
          <t>صويا لحمه</t>
        </is>
      </c>
      <c r="E184" s="21" t="n">
        <v>15</v>
      </c>
      <c r="F184" s="6">
        <f>'احتساب متوسط سبتمبر'!I10</f>
        <v/>
      </c>
      <c r="G184" s="5">
        <f>E184*F184</f>
        <v/>
      </c>
      <c r="H184" s="4" t="inlineStr">
        <is>
          <t>مطابقة سعر يونيه بالوصفة مع سعر الصنف بالجرد</t>
        </is>
      </c>
    </row>
    <row r="185">
      <c r="A185" s="4" t="inlineStr">
        <is>
          <t>سجق الهنا</t>
        </is>
      </c>
      <c r="B185" s="4" t="inlineStr">
        <is>
          <t>الوصفة الرئيسية</t>
        </is>
      </c>
      <c r="C185" s="4" t="inlineStr">
        <is>
          <t>برغل</t>
        </is>
      </c>
      <c r="D185" s="4" t="inlineStr">
        <is>
          <t>برغل</t>
        </is>
      </c>
      <c r="E185" s="21" t="n">
        <v>22.5</v>
      </c>
      <c r="F185" s="6">
        <f>'احتساب متوسط سبتمبر'!I20</f>
        <v/>
      </c>
      <c r="G185" s="5">
        <f>E185*F185</f>
        <v/>
      </c>
      <c r="H185" s="4" t="inlineStr">
        <is>
          <t>مطابقة سعر يونيه بالوصفة مع سعر الصنف بالجرد</t>
        </is>
      </c>
    </row>
    <row r="186">
      <c r="A186" s="4" t="inlineStr">
        <is>
          <t>سجق الهنا</t>
        </is>
      </c>
      <c r="B186" s="4" t="inlineStr">
        <is>
          <t>الوصفة الرئيسية</t>
        </is>
      </c>
      <c r="C186" s="4" t="inlineStr">
        <is>
          <t>جلد</t>
        </is>
      </c>
      <c r="D186" s="4" t="inlineStr">
        <is>
          <t>جلد</t>
        </is>
      </c>
      <c r="E186" s="21" t="n">
        <v>0</v>
      </c>
      <c r="F186" s="6">
        <f>'احتساب متوسط سبتمبر'!I23</f>
        <v/>
      </c>
      <c r="G186" s="5">
        <f>E186*F186</f>
        <v/>
      </c>
      <c r="H186" s="4" t="inlineStr">
        <is>
          <t>مطابقة سعر يونيه بالوصفة مع سعر الصنف بالجرد</t>
        </is>
      </c>
    </row>
    <row r="187">
      <c r="A187" s="4" t="inlineStr">
        <is>
          <t>سجق الهنا</t>
        </is>
      </c>
      <c r="B187" s="4" t="inlineStr">
        <is>
          <t>الوصفة الرئيسية</t>
        </is>
      </c>
      <c r="C187" s="4" t="inlineStr">
        <is>
          <t>توام</t>
        </is>
      </c>
      <c r="D187" s="4" t="inlineStr">
        <is>
          <t>ثوم</t>
        </is>
      </c>
      <c r="E187" s="21" t="n">
        <v>7.5</v>
      </c>
      <c r="F187" s="6">
        <f>'احتساب متوسط سبتمبر'!I6</f>
        <v/>
      </c>
      <c r="G187" s="5">
        <f>E187*F187</f>
        <v/>
      </c>
      <c r="H187" s="4" t="inlineStr">
        <is>
          <t>مطابقة سعر يونيه بالوصفة مع سعر الصنف بالجرد</t>
        </is>
      </c>
    </row>
    <row r="188">
      <c r="A188" s="4" t="inlineStr">
        <is>
          <t>سجق الهنا</t>
        </is>
      </c>
      <c r="B188" s="4" t="inlineStr">
        <is>
          <t>الوصفة الرئيسية</t>
        </is>
      </c>
      <c r="C188" s="4" t="inlineStr">
        <is>
          <t>سميد</t>
        </is>
      </c>
      <c r="D188" s="4" t="inlineStr">
        <is>
          <t>صميد</t>
        </is>
      </c>
      <c r="E188" s="21" t="n">
        <v>21</v>
      </c>
      <c r="F188" s="6">
        <f>'احتساب متوسط سبتمبر'!I9</f>
        <v/>
      </c>
      <c r="G188" s="5">
        <f>E188*F188</f>
        <v/>
      </c>
      <c r="H188" s="4" t="inlineStr">
        <is>
          <t>مطابقة سعر يونيه بالوصفة مع سعر الصنف بالجرد</t>
        </is>
      </c>
    </row>
    <row r="189">
      <c r="A189" s="4" t="inlineStr">
        <is>
          <t>سجق الهنا</t>
        </is>
      </c>
      <c r="B189" s="4" t="inlineStr">
        <is>
          <t>الوصفة الرئيسية</t>
        </is>
      </c>
      <c r="C189" s="4" t="inlineStr">
        <is>
          <t>مياه</t>
        </is>
      </c>
      <c r="D189" s="4" t="inlineStr">
        <is>
          <t>—</t>
        </is>
      </c>
      <c r="E189" s="21" t="n">
        <v>67.5</v>
      </c>
      <c r="F189" s="6" t="n">
        <v>0</v>
      </c>
      <c r="G189" s="5">
        <f>E189*F189</f>
        <v/>
      </c>
      <c r="H189" s="10" t="inlineStr">
        <is>
          <t>لا يوجد سعر شراء مسجل للمياه ضمن الخامات — عادة تكلفة مرافق غير مباشرة</t>
        </is>
      </c>
    </row>
    <row r="190">
      <c r="A190" s="4" t="inlineStr">
        <is>
          <t>سجق الهنا</t>
        </is>
      </c>
      <c r="B190" s="4" t="inlineStr">
        <is>
          <t>الوصفة الرئيسية</t>
        </is>
      </c>
      <c r="C190" s="4" t="inlineStr">
        <is>
          <t>مونوصوديم</t>
        </is>
      </c>
      <c r="D190" s="4" t="inlineStr">
        <is>
          <t>جلتومات</t>
        </is>
      </c>
      <c r="E190" s="21" t="n">
        <v>0.9</v>
      </c>
      <c r="F190" s="6">
        <f>'احتساب متوسط سبتمبر'!I57</f>
        <v/>
      </c>
      <c r="G190" s="5">
        <f>E190*F190</f>
        <v/>
      </c>
      <c r="H190" s="4" t="inlineStr">
        <is>
          <t>مطابقة سعر يونيه بالوصفة مع سعر الصنف بالجرد</t>
        </is>
      </c>
    </row>
    <row r="191">
      <c r="A191" s="4" t="inlineStr">
        <is>
          <t>سجق الهنا</t>
        </is>
      </c>
      <c r="B191" s="4" t="inlineStr">
        <is>
          <t>الوصفة الرئيسية</t>
        </is>
      </c>
      <c r="C191" s="4" t="inlineStr">
        <is>
          <t>لون احمر</t>
        </is>
      </c>
      <c r="D191" s="4" t="inlineStr">
        <is>
          <t>لون طبيعي</t>
        </is>
      </c>
      <c r="E191" s="21" t="n">
        <v>0</v>
      </c>
      <c r="F191" s="6">
        <f>'احتساب متوسط سبتمبر'!I70</f>
        <v/>
      </c>
      <c r="G191" s="5">
        <f>E191*F191</f>
        <v/>
      </c>
      <c r="H191" s="4" t="inlineStr">
        <is>
          <t>مطابقة سعر يونيه بالوصفة مع سعر الصنف بالجرد</t>
        </is>
      </c>
    </row>
    <row r="192">
      <c r="A192" s="4" t="inlineStr">
        <is>
          <t>سجق الهنا</t>
        </is>
      </c>
      <c r="B192" s="4" t="inlineStr">
        <is>
          <t>الوصفة الرئيسية</t>
        </is>
      </c>
      <c r="C192" s="4" t="inlineStr">
        <is>
          <t>كزبرة</t>
        </is>
      </c>
      <c r="D192" s="4" t="inlineStr">
        <is>
          <t>كزبره</t>
        </is>
      </c>
      <c r="E192" s="21" t="n">
        <v>0</v>
      </c>
      <c r="F192" s="6">
        <f>'احتساب متوسط سبتمبر'!I45</f>
        <v/>
      </c>
      <c r="G192" s="5">
        <f>E192*F192</f>
        <v/>
      </c>
      <c r="H192" s="4" t="inlineStr">
        <is>
          <t>مطابقة سعر يونيه بالوصفة مع سعر الصنف بالجرد</t>
        </is>
      </c>
    </row>
    <row r="193">
      <c r="A193" s="4" t="inlineStr">
        <is>
          <t>سجق الهنا</t>
        </is>
      </c>
      <c r="B193" s="4" t="inlineStr">
        <is>
          <t>الوصفة الرئيسية</t>
        </is>
      </c>
      <c r="C193" s="4" t="inlineStr">
        <is>
          <t>كبابة</t>
        </is>
      </c>
      <c r="D193" s="4" t="inlineStr">
        <is>
          <t>كبابه</t>
        </is>
      </c>
      <c r="E193" s="21" t="n">
        <v>0</v>
      </c>
      <c r="F193" s="6">
        <f>'احتساب متوسط سبتمبر'!I41</f>
        <v/>
      </c>
      <c r="G193" s="5">
        <f>E193*F193</f>
        <v/>
      </c>
      <c r="H193" s="4" t="inlineStr">
        <is>
          <t>مطابقة سعر يونيه بالوصفة مع سعر الصنف بالجرد</t>
        </is>
      </c>
    </row>
    <row r="194">
      <c r="A194" s="4" t="inlineStr">
        <is>
          <t>سجق الهنا</t>
        </is>
      </c>
      <c r="B194" s="4" t="inlineStr">
        <is>
          <t>الوصفة الرئيسية</t>
        </is>
      </c>
      <c r="C194" s="4" t="inlineStr">
        <is>
          <t>قرنفل</t>
        </is>
      </c>
      <c r="D194" s="4" t="inlineStr">
        <is>
          <t>قرنفل</t>
        </is>
      </c>
      <c r="E194" s="21" t="n">
        <v>0.15</v>
      </c>
      <c r="F194" s="6">
        <f>'احتساب متوسط سبتمبر'!I38</f>
        <v/>
      </c>
      <c r="G194" s="5">
        <f>E194*F194</f>
        <v/>
      </c>
      <c r="H194" s="4" t="inlineStr">
        <is>
          <t>مطابقة سعر يونيه بالوصفة مع سعر الصنف بالجرد</t>
        </is>
      </c>
    </row>
    <row r="195">
      <c r="A195" s="4" t="inlineStr">
        <is>
          <t>سجق الهنا</t>
        </is>
      </c>
      <c r="B195" s="4" t="inlineStr">
        <is>
          <t>الوصفة الرئيسية</t>
        </is>
      </c>
      <c r="C195" s="4" t="inlineStr">
        <is>
          <t>قرفه</t>
        </is>
      </c>
      <c r="D195" s="4" t="inlineStr">
        <is>
          <t>قرفه</t>
        </is>
      </c>
      <c r="E195" s="21" t="n">
        <v>0.24</v>
      </c>
      <c r="F195" s="6">
        <f>'احتساب متوسط سبتمبر'!I46</f>
        <v/>
      </c>
      <c r="G195" s="5">
        <f>E195*F195</f>
        <v/>
      </c>
      <c r="H195" s="4" t="inlineStr">
        <is>
          <t>مطابقة سعر يونيه بالوصفة مع سعر الصنف بالجرد</t>
        </is>
      </c>
    </row>
    <row r="196">
      <c r="A196" s="4" t="inlineStr">
        <is>
          <t>سجق الهنا</t>
        </is>
      </c>
      <c r="B196" s="4" t="inlineStr">
        <is>
          <t>الوصفة الرئيسية</t>
        </is>
      </c>
      <c r="C196" s="4" t="inlineStr">
        <is>
          <t>فوسفات</t>
        </is>
      </c>
      <c r="D196" s="4" t="inlineStr">
        <is>
          <t>فوسفات</t>
        </is>
      </c>
      <c r="E196" s="21" t="n">
        <v>0.15</v>
      </c>
      <c r="F196" s="6">
        <f>'احتساب متوسط سبتمبر'!I56</f>
        <v/>
      </c>
      <c r="G196" s="5">
        <f>E196*F196</f>
        <v/>
      </c>
      <c r="H196" s="4" t="inlineStr">
        <is>
          <t>مطابقة سعر يونيه بالوصفة مع سعر الصنف بالجرد</t>
        </is>
      </c>
    </row>
    <row r="197">
      <c r="A197" s="4" t="inlineStr">
        <is>
          <t>سجق الهنا</t>
        </is>
      </c>
      <c r="B197" s="4" t="inlineStr">
        <is>
          <t>الوصفة الرئيسية</t>
        </is>
      </c>
      <c r="C197" s="4" t="inlineStr">
        <is>
          <t>ينسون</t>
        </is>
      </c>
      <c r="D197" s="4" t="inlineStr">
        <is>
          <t>ينسون</t>
        </is>
      </c>
      <c r="E197" s="21" t="n">
        <v>0.12</v>
      </c>
      <c r="F197" s="6">
        <f>'احتساب متوسط سبتمبر'!I50</f>
        <v/>
      </c>
      <c r="G197" s="5">
        <f>E197*F197</f>
        <v/>
      </c>
      <c r="H197" s="4" t="inlineStr">
        <is>
          <t>مطابقة سعر يونيه بالوصفة مع سعر الصنف بالجرد</t>
        </is>
      </c>
    </row>
    <row r="198">
      <c r="A198" s="4" t="inlineStr">
        <is>
          <t>سجق الهنا</t>
        </is>
      </c>
      <c r="B198" s="4" t="inlineStr">
        <is>
          <t>الوصفة الرئيسية</t>
        </is>
      </c>
      <c r="C198" s="4" t="inlineStr">
        <is>
          <t>شطة</t>
        </is>
      </c>
      <c r="D198" s="4" t="inlineStr">
        <is>
          <t>شطه</t>
        </is>
      </c>
      <c r="E198" s="21" t="n">
        <v>0.42</v>
      </c>
      <c r="F198" s="6">
        <f>'احتساب متوسط سبتمبر'!I48</f>
        <v/>
      </c>
      <c r="G198" s="5">
        <f>E198*F198</f>
        <v/>
      </c>
      <c r="H198" s="4" t="inlineStr">
        <is>
          <t>مطابقة سعر يونيه بالوصفة مع سعر الصنف بالجرد</t>
        </is>
      </c>
    </row>
    <row r="199">
      <c r="A199" s="4" t="inlineStr">
        <is>
          <t>سجق الهنا</t>
        </is>
      </c>
      <c r="B199" s="4" t="inlineStr">
        <is>
          <t>الوصفة الرئيسية</t>
        </is>
      </c>
      <c r="C199" s="4" t="inlineStr">
        <is>
          <t>ملح</t>
        </is>
      </c>
      <c r="D199" s="4" t="inlineStr">
        <is>
          <t>الملح</t>
        </is>
      </c>
      <c r="E199" s="21" t="n">
        <v>4.2</v>
      </c>
      <c r="F199" s="6">
        <f>'احتساب متوسط سبتمبر'!I55</f>
        <v/>
      </c>
      <c r="G199" s="5">
        <f>E199*F199</f>
        <v/>
      </c>
      <c r="H199" s="4" t="inlineStr">
        <is>
          <t>مطابقة سعر يونيه بالوصفة مع سعر الصنف بالجرد</t>
        </is>
      </c>
    </row>
    <row r="200">
      <c r="A200" s="4" t="inlineStr">
        <is>
          <t>سجق الهنا</t>
        </is>
      </c>
      <c r="B200" s="4" t="inlineStr">
        <is>
          <t>الوصفة الرئيسية</t>
        </is>
      </c>
      <c r="C200" s="4" t="inlineStr">
        <is>
          <t>ببريكا</t>
        </is>
      </c>
      <c r="D200" s="4" t="inlineStr">
        <is>
          <t>بابريكا</t>
        </is>
      </c>
      <c r="E200" s="21" t="n">
        <v>0.3</v>
      </c>
      <c r="F200" s="6">
        <f>'احتساب متوسط سبتمبر'!I53</f>
        <v/>
      </c>
      <c r="G200" s="5">
        <f>E200*F200</f>
        <v/>
      </c>
      <c r="H200" s="4" t="inlineStr">
        <is>
          <t>مطابقة سعر يونيه بالوصفة مع سعر الصنف بالجرد</t>
        </is>
      </c>
    </row>
    <row r="201">
      <c r="A201" s="4" t="inlineStr">
        <is>
          <t>سجق الهنا</t>
        </is>
      </c>
      <c r="B201" s="4" t="inlineStr">
        <is>
          <t>الوصفة الرئيسية</t>
        </is>
      </c>
      <c r="C201" s="4" t="inlineStr">
        <is>
          <t>كمون</t>
        </is>
      </c>
      <c r="D201" s="4" t="inlineStr">
        <is>
          <t>كمون</t>
        </is>
      </c>
      <c r="E201" s="21" t="n">
        <v>0</v>
      </c>
      <c r="F201" s="6">
        <f>'احتساب متوسط سبتمبر'!I39</f>
        <v/>
      </c>
      <c r="G201" s="5">
        <f>E201*F201</f>
        <v/>
      </c>
      <c r="H201" s="4" t="inlineStr">
        <is>
          <t>مطابقة سعر يونيه بالوصفة مع سعر الصنف بالجرد</t>
        </is>
      </c>
    </row>
    <row r="202">
      <c r="A202" s="4" t="inlineStr">
        <is>
          <t>سجق الهنا</t>
        </is>
      </c>
      <c r="B202" s="4" t="inlineStr">
        <is>
          <t>الوصفة الرئيسية</t>
        </is>
      </c>
      <c r="C202" s="4" t="inlineStr">
        <is>
          <t>لورى</t>
        </is>
      </c>
      <c r="D202" s="4" t="inlineStr">
        <is>
          <t>لورا</t>
        </is>
      </c>
      <c r="E202" s="21" t="n">
        <v>0</v>
      </c>
      <c r="F202" s="6">
        <f>'احتساب متوسط سبتمبر'!I43</f>
        <v/>
      </c>
      <c r="G202" s="5">
        <f>E202*F202</f>
        <v/>
      </c>
      <c r="H202" s="4" t="inlineStr">
        <is>
          <t>مطابقة سعر يونيه بالوصفة مع سعر الصنف بالجرد</t>
        </is>
      </c>
    </row>
    <row r="203">
      <c r="A203" s="4" t="inlineStr">
        <is>
          <t>سجق الهنا</t>
        </is>
      </c>
      <c r="B203" s="4" t="inlineStr">
        <is>
          <t>الوصفة الرئيسية</t>
        </is>
      </c>
      <c r="C203" s="4" t="inlineStr">
        <is>
          <t>طعم ليه</t>
        </is>
      </c>
      <c r="D203" s="4" t="inlineStr">
        <is>
          <t>طعم ليه</t>
        </is>
      </c>
      <c r="E203" s="21" t="n">
        <v>0.15</v>
      </c>
      <c r="F203" s="6">
        <f>'احتساب متوسط سبتمبر'!I60</f>
        <v/>
      </c>
      <c r="G203" s="5">
        <f>E203*F203</f>
        <v/>
      </c>
      <c r="H203" s="4" t="inlineStr">
        <is>
          <t>مطابقة سعر يونيه بالوصفة مع سعر الصنف بالجرد</t>
        </is>
      </c>
    </row>
    <row r="204">
      <c r="A204" s="4" t="inlineStr">
        <is>
          <t>سجق الهنا</t>
        </is>
      </c>
      <c r="B204" s="4" t="inlineStr">
        <is>
          <t>الوصفة الرئيسية</t>
        </is>
      </c>
      <c r="C204" s="4" t="inlineStr">
        <is>
          <t>طعم بيف</t>
        </is>
      </c>
      <c r="D204" s="4" t="inlineStr">
        <is>
          <t>طعم بيف</t>
        </is>
      </c>
      <c r="E204" s="21" t="n">
        <v>0.03</v>
      </c>
      <c r="F204" s="6">
        <f>'احتساب متوسط سبتمبر'!I63</f>
        <v/>
      </c>
      <c r="G204" s="5">
        <f>E204*F204</f>
        <v/>
      </c>
      <c r="H204" s="4" t="inlineStr">
        <is>
          <t>مطابقة سعر يونيه بالوصفة مع سعر الصنف بالجرد</t>
        </is>
      </c>
    </row>
    <row r="205">
      <c r="A205" s="4" t="inlineStr">
        <is>
          <t>سجق الهنا</t>
        </is>
      </c>
      <c r="B205" s="4" t="inlineStr">
        <is>
          <t>الوصفة الرئيسية</t>
        </is>
      </c>
      <c r="C205" s="4" t="inlineStr">
        <is>
          <t>لون احمر2</t>
        </is>
      </c>
      <c r="D205" s="4" t="inlineStr">
        <is>
          <t>لون طبيعي</t>
        </is>
      </c>
      <c r="E205" s="21" t="n">
        <v>0.1</v>
      </c>
      <c r="F205" s="6">
        <f>'احتساب متوسط سبتمبر'!I70</f>
        <v/>
      </c>
      <c r="G205" s="5">
        <f>E205*F205</f>
        <v/>
      </c>
      <c r="H205" s="4" t="inlineStr">
        <is>
          <t>مطابقة سعر يونيه بالوصفة مع سعر الصنف بالجرد</t>
        </is>
      </c>
    </row>
    <row r="206">
      <c r="A206" s="22" t="inlineStr">
        <is>
          <t>سجق الهنا</t>
        </is>
      </c>
      <c r="B206" s="14" t="inlineStr">
        <is>
          <t>إجمالى الوصفة الرئيسية</t>
        </is>
      </c>
      <c r="E206" s="23">
        <f>SUM(E181:E205)</f>
        <v/>
      </c>
      <c r="G206" s="24">
        <f>SUM(G181:G205)</f>
        <v/>
      </c>
      <c r="H206" s="22" t="inlineStr">
        <is>
          <t>سعر الكجم = قيمة الوصفة ÷ 227.26 كجم</t>
        </is>
      </c>
    </row>
    <row r="208">
      <c r="A208" s="4" t="inlineStr">
        <is>
          <t>برجر الهنا</t>
        </is>
      </c>
      <c r="B208" s="4" t="inlineStr">
        <is>
          <t>الوصفة الرئيسية</t>
        </is>
      </c>
      <c r="C208" s="4" t="inlineStr">
        <is>
          <t>مفروم فراخ شعبى</t>
        </is>
      </c>
      <c r="D208" s="4" t="inlineStr">
        <is>
          <t>مفروم فراخ شعبي</t>
        </is>
      </c>
      <c r="E208" s="21" t="n">
        <v>100</v>
      </c>
      <c r="F208" s="17">
        <f>'احتساب متوسط سبتمبر'!C8</f>
        <v/>
      </c>
      <c r="G208" s="5">
        <f>E208*F208</f>
        <v/>
      </c>
      <c r="H208" s="10" t="inlineStr">
        <is>
          <t>مؤقت: سعر أغسطس لحين حسم فاتورة الفراخ المفرومة</t>
        </is>
      </c>
    </row>
    <row r="209">
      <c r="A209" s="4" t="inlineStr">
        <is>
          <t>برجر الهنا</t>
        </is>
      </c>
      <c r="B209" s="4" t="inlineStr">
        <is>
          <t>الوصفة الرئيسية</t>
        </is>
      </c>
      <c r="C209" s="4" t="inlineStr">
        <is>
          <t>دهن</t>
        </is>
      </c>
      <c r="D209" s="4" t="inlineStr">
        <is>
          <t>دهن بلدي</t>
        </is>
      </c>
      <c r="E209" s="21" t="n">
        <v>40</v>
      </c>
      <c r="F209" s="6">
        <f>'احتساب متوسط سبتمبر'!I13</f>
        <v/>
      </c>
      <c r="G209" s="5">
        <f>E209*F209</f>
        <v/>
      </c>
      <c r="H209" s="4" t="inlineStr">
        <is>
          <t>مطابقة سعر يونيه بالوصفة مع سعر الصنف بالجرد</t>
        </is>
      </c>
    </row>
    <row r="210">
      <c r="A210" s="4" t="inlineStr">
        <is>
          <t>برجر الهنا</t>
        </is>
      </c>
      <c r="B210" s="4" t="inlineStr">
        <is>
          <t>الوصفة الرئيسية</t>
        </is>
      </c>
      <c r="C210" s="4" t="inlineStr">
        <is>
          <t>برغل</t>
        </is>
      </c>
      <c r="D210" s="4" t="inlineStr">
        <is>
          <t>برغل</t>
        </is>
      </c>
      <c r="E210" s="21" t="n">
        <v>20</v>
      </c>
      <c r="F210" s="6">
        <f>'احتساب متوسط سبتمبر'!I20</f>
        <v/>
      </c>
      <c r="G210" s="5">
        <f>E210*F210</f>
        <v/>
      </c>
      <c r="H210" s="4" t="inlineStr">
        <is>
          <t>مطابقة سعر يونيه بالوصفة مع سعر الصنف بالجرد</t>
        </is>
      </c>
    </row>
    <row r="211">
      <c r="A211" s="4" t="inlineStr">
        <is>
          <t>برجر الهنا</t>
        </is>
      </c>
      <c r="B211" s="4" t="inlineStr">
        <is>
          <t>الوصفة الرئيسية</t>
        </is>
      </c>
      <c r="C211" s="4" t="inlineStr">
        <is>
          <t>مياه</t>
        </is>
      </c>
      <c r="D211" s="4" t="inlineStr">
        <is>
          <t>—</t>
        </is>
      </c>
      <c r="E211" s="21" t="n">
        <v>116</v>
      </c>
      <c r="F211" s="6" t="n">
        <v>0</v>
      </c>
      <c r="G211" s="5">
        <f>E211*F211</f>
        <v/>
      </c>
      <c r="H211" s="10" t="inlineStr">
        <is>
          <t>لا يوجد سعر شراء مسجل للمياه ضمن الخامات — عادة تكلفة مرافق غير مباشرة</t>
        </is>
      </c>
    </row>
    <row r="212">
      <c r="A212" s="4" t="inlineStr">
        <is>
          <t>برجر الهنا</t>
        </is>
      </c>
      <c r="B212" s="4" t="inlineStr">
        <is>
          <t>الوصفة الرئيسية</t>
        </is>
      </c>
      <c r="C212" s="4" t="inlineStr">
        <is>
          <t>صويا</t>
        </is>
      </c>
      <c r="D212" s="4" t="inlineStr">
        <is>
          <t>صويا لحمه</t>
        </is>
      </c>
      <c r="E212" s="21" t="n">
        <v>44</v>
      </c>
      <c r="F212" s="6">
        <f>'احتساب متوسط سبتمبر'!I10</f>
        <v/>
      </c>
      <c r="G212" s="5">
        <f>E212*F212</f>
        <v/>
      </c>
      <c r="H212" s="4" t="inlineStr">
        <is>
          <t>مطابقة سعر يونيه بالوصفة مع سعر الصنف بالجرد</t>
        </is>
      </c>
    </row>
    <row r="213">
      <c r="A213" s="4" t="inlineStr">
        <is>
          <t>برجر الهنا</t>
        </is>
      </c>
      <c r="B213" s="4" t="inlineStr">
        <is>
          <t>الوصفة الرئيسية</t>
        </is>
      </c>
      <c r="C213" s="4" t="inlineStr">
        <is>
          <t>سميد</t>
        </is>
      </c>
      <c r="D213" s="4" t="inlineStr">
        <is>
          <t>صميد</t>
        </is>
      </c>
      <c r="E213" s="21" t="n">
        <v>20</v>
      </c>
      <c r="F213" s="6">
        <f>'احتساب متوسط سبتمبر'!I9</f>
        <v/>
      </c>
      <c r="G213" s="5">
        <f>E213*F213</f>
        <v/>
      </c>
      <c r="H213" s="4" t="inlineStr">
        <is>
          <t>مطابقة سعر يونيه بالوصفة مع سعر الصنف بالجرد</t>
        </is>
      </c>
    </row>
    <row r="214">
      <c r="A214" s="4" t="inlineStr">
        <is>
          <t>برجر الهنا</t>
        </is>
      </c>
      <c r="B214" s="4" t="inlineStr">
        <is>
          <t>الوصفة الرئيسية</t>
        </is>
      </c>
      <c r="C214" s="4" t="inlineStr">
        <is>
          <t>جلد</t>
        </is>
      </c>
      <c r="D214" s="4" t="inlineStr">
        <is>
          <t>جلد</t>
        </is>
      </c>
      <c r="E214" s="21" t="n">
        <v>20</v>
      </c>
      <c r="F214" s="6">
        <f>'احتساب متوسط سبتمبر'!I23</f>
        <v/>
      </c>
      <c r="G214" s="5">
        <f>E214*F214</f>
        <v/>
      </c>
      <c r="H214" s="4" t="inlineStr">
        <is>
          <t>مطابقة سعر يونيه بالوصفة مع سعر الصنف بالجرد</t>
        </is>
      </c>
    </row>
    <row r="215">
      <c r="A215" s="4" t="inlineStr">
        <is>
          <t>برجر الهنا</t>
        </is>
      </c>
      <c r="B215" s="4" t="inlineStr">
        <is>
          <t>الوصفة الرئيسية</t>
        </is>
      </c>
      <c r="C215" s="4" t="inlineStr">
        <is>
          <t>نشا</t>
        </is>
      </c>
      <c r="D215" s="4" t="inlineStr">
        <is>
          <t>نشا</t>
        </is>
      </c>
      <c r="E215" s="21" t="n">
        <v>20</v>
      </c>
      <c r="F215" s="6">
        <f>'احتساب متوسط سبتمبر'!I36</f>
        <v/>
      </c>
      <c r="G215" s="5">
        <f>E215*F215</f>
        <v/>
      </c>
      <c r="H215" s="4" t="inlineStr">
        <is>
          <t>مطابقة سعر يونيه بالوصفة مع سعر الصنف بالجرد</t>
        </is>
      </c>
    </row>
    <row r="216">
      <c r="A216" s="4" t="inlineStr">
        <is>
          <t>برجر الهنا</t>
        </is>
      </c>
      <c r="B216" s="4" t="inlineStr">
        <is>
          <t>الوصفة الرئيسية</t>
        </is>
      </c>
      <c r="C216" s="4" t="inlineStr">
        <is>
          <t>بصل</t>
        </is>
      </c>
      <c r="D216" s="4" t="inlineStr">
        <is>
          <t>بصل</t>
        </is>
      </c>
      <c r="E216" s="21" t="n">
        <v>36</v>
      </c>
      <c r="F216" s="6">
        <f>'احتساب متوسط سبتمبر'!I5</f>
        <v/>
      </c>
      <c r="G216" s="5">
        <f>E216*F216</f>
        <v/>
      </c>
      <c r="H216" s="4" t="inlineStr">
        <is>
          <t>مطابقة سعر يونيه بالوصفة مع سعر الصنف بالجرد</t>
        </is>
      </c>
    </row>
    <row r="217">
      <c r="A217" s="4" t="inlineStr">
        <is>
          <t>برجر الهنا</t>
        </is>
      </c>
      <c r="B217" s="4" t="inlineStr">
        <is>
          <t>الوصفة الرئيسية</t>
        </is>
      </c>
      <c r="C217" s="4" t="inlineStr">
        <is>
          <t>ملح</t>
        </is>
      </c>
      <c r="D217" s="4" t="inlineStr">
        <is>
          <t>الملح</t>
        </is>
      </c>
      <c r="E217" s="21" t="n">
        <v>6.4</v>
      </c>
      <c r="F217" s="6">
        <f>'احتساب متوسط سبتمبر'!I55</f>
        <v/>
      </c>
      <c r="G217" s="5">
        <f>E217*F217</f>
        <v/>
      </c>
      <c r="H217" s="4" t="inlineStr">
        <is>
          <t>مطابقة سعر يونيه بالوصفة مع سعر الصنف بالجرد</t>
        </is>
      </c>
    </row>
    <row r="218">
      <c r="A218" s="4" t="inlineStr">
        <is>
          <t>برجر الهنا</t>
        </is>
      </c>
      <c r="B218" s="4" t="inlineStr">
        <is>
          <t>الوصفة الرئيسية</t>
        </is>
      </c>
      <c r="C218" s="4" t="inlineStr">
        <is>
          <t>فوسفات</t>
        </is>
      </c>
      <c r="D218" s="4" t="inlineStr">
        <is>
          <t>فوسفات</t>
        </is>
      </c>
      <c r="E218" s="21" t="n">
        <v>2</v>
      </c>
      <c r="F218" s="6">
        <f>'احتساب متوسط سبتمبر'!I56</f>
        <v/>
      </c>
      <c r="G218" s="5">
        <f>E218*F218</f>
        <v/>
      </c>
      <c r="H218" s="4" t="inlineStr">
        <is>
          <t>مطابقة سعر يونيه بالوصفة مع سعر الصنف بالجرد</t>
        </is>
      </c>
    </row>
    <row r="219">
      <c r="A219" s="4" t="inlineStr">
        <is>
          <t>برجر الهنا</t>
        </is>
      </c>
      <c r="B219" s="4" t="inlineStr">
        <is>
          <t>الوصفة الرئيسية</t>
        </is>
      </c>
      <c r="C219" s="4" t="inlineStr">
        <is>
          <t>لورا</t>
        </is>
      </c>
      <c r="D219" s="4" t="inlineStr">
        <is>
          <t>لورا</t>
        </is>
      </c>
      <c r="E219" s="21" t="n">
        <v>0.2</v>
      </c>
      <c r="F219" s="6">
        <f>'احتساب متوسط سبتمبر'!I43</f>
        <v/>
      </c>
      <c r="G219" s="5">
        <f>E219*F219</f>
        <v/>
      </c>
      <c r="H219" s="4" t="inlineStr">
        <is>
          <t>مطابقة سعر يونيه بالوصفة مع سعر الصنف بالجرد</t>
        </is>
      </c>
    </row>
    <row r="220">
      <c r="A220" s="4" t="inlineStr">
        <is>
          <t>برجر الهنا</t>
        </is>
      </c>
      <c r="B220" s="4" t="inlineStr">
        <is>
          <t>الوصفة الرئيسية</t>
        </is>
      </c>
      <c r="C220" s="4" t="inlineStr">
        <is>
          <t>شطه</t>
        </is>
      </c>
      <c r="D220" s="4" t="inlineStr">
        <is>
          <t>شطه</t>
        </is>
      </c>
      <c r="E220" s="21" t="n">
        <v>0.4</v>
      </c>
      <c r="F220" s="6">
        <f>'احتساب متوسط سبتمبر'!I48</f>
        <v/>
      </c>
      <c r="G220" s="5">
        <f>E220*F220</f>
        <v/>
      </c>
      <c r="H220" s="4" t="inlineStr">
        <is>
          <t>مطابقة سعر يونيه بالوصفة مع سعر الصنف بالجرد</t>
        </is>
      </c>
    </row>
    <row r="221">
      <c r="A221" s="4" t="inlineStr">
        <is>
          <t>برجر الهنا</t>
        </is>
      </c>
      <c r="B221" s="4" t="inlineStr">
        <is>
          <t>الوصفة الرئيسية</t>
        </is>
      </c>
      <c r="C221" s="4" t="inlineStr">
        <is>
          <t>مونوصوديم</t>
        </is>
      </c>
      <c r="D221" s="4" t="inlineStr">
        <is>
          <t>جلتومات</t>
        </is>
      </c>
      <c r="E221" s="21" t="n">
        <v>2</v>
      </c>
      <c r="F221" s="6">
        <f>'احتساب متوسط سبتمبر'!I57</f>
        <v/>
      </c>
      <c r="G221" s="5">
        <f>E221*F221</f>
        <v/>
      </c>
      <c r="H221" s="4" t="inlineStr">
        <is>
          <t>مطابقة سعر يونيه بالوصفة مع سعر الصنف بالجرد</t>
        </is>
      </c>
    </row>
    <row r="222">
      <c r="A222" s="4" t="inlineStr">
        <is>
          <t>برجر الهنا</t>
        </is>
      </c>
      <c r="B222" s="4" t="inlineStr">
        <is>
          <t>الوصفة الرئيسية</t>
        </is>
      </c>
      <c r="C222" s="4" t="inlineStr">
        <is>
          <t>قرفة</t>
        </is>
      </c>
      <c r="D222" s="4" t="inlineStr">
        <is>
          <t>قرفه</t>
        </is>
      </c>
      <c r="E222" s="21" t="n">
        <v>0.6</v>
      </c>
      <c r="F222" s="6">
        <f>'احتساب متوسط سبتمبر'!I46</f>
        <v/>
      </c>
      <c r="G222" s="5">
        <f>E222*F222</f>
        <v/>
      </c>
      <c r="H222" s="4" t="inlineStr">
        <is>
          <t>مطابقة سعر يونيه بالوصفة مع سعر الصنف بالجرد</t>
        </is>
      </c>
    </row>
    <row r="223">
      <c r="A223" s="4" t="inlineStr">
        <is>
          <t>برجر الهنا</t>
        </is>
      </c>
      <c r="B223" s="4" t="inlineStr">
        <is>
          <t>الوصفة الرئيسية</t>
        </is>
      </c>
      <c r="C223" s="4" t="inlineStr">
        <is>
          <t>كزبره</t>
        </is>
      </c>
      <c r="D223" s="4" t="inlineStr">
        <is>
          <t>كزبره</t>
        </is>
      </c>
      <c r="E223" s="21" t="n">
        <v>0.8</v>
      </c>
      <c r="F223" s="6">
        <f>'احتساب متوسط سبتمبر'!I45</f>
        <v/>
      </c>
      <c r="G223" s="5">
        <f>E223*F223</f>
        <v/>
      </c>
      <c r="H223" s="4" t="inlineStr">
        <is>
          <t>مطابقة سعر يونيه بالوصفة مع سعر الصنف بالجرد</t>
        </is>
      </c>
    </row>
    <row r="224">
      <c r="A224" s="4" t="inlineStr">
        <is>
          <t>برجر الهنا</t>
        </is>
      </c>
      <c r="B224" s="4" t="inlineStr">
        <is>
          <t>الوصفة الرئيسية</t>
        </is>
      </c>
      <c r="C224" s="4" t="inlineStr">
        <is>
          <t>طعم شواء</t>
        </is>
      </c>
      <c r="D224" s="4" t="inlineStr">
        <is>
          <t>طعم شواي</t>
        </is>
      </c>
      <c r="E224" s="21" t="n">
        <v>0.8</v>
      </c>
      <c r="F224" s="6">
        <f>'احتساب متوسط سبتمبر'!I64</f>
        <v/>
      </c>
      <c r="G224" s="5">
        <f>E224*F224</f>
        <v/>
      </c>
      <c r="H224" s="4" t="inlineStr">
        <is>
          <t>مطابقة سعر يونيه بالوصفة مع سعر الصنف بالجرد</t>
        </is>
      </c>
    </row>
    <row r="225">
      <c r="A225" s="4" t="inlineStr">
        <is>
          <t>برجر الهنا</t>
        </is>
      </c>
      <c r="B225" s="4" t="inlineStr">
        <is>
          <t>الوصفة الرئيسية</t>
        </is>
      </c>
      <c r="C225" s="4" t="inlineStr">
        <is>
          <t>بيف</t>
        </is>
      </c>
      <c r="D225" s="4" t="inlineStr">
        <is>
          <t>طعم بيف</t>
        </is>
      </c>
      <c r="E225" s="21" t="n">
        <v>0.8</v>
      </c>
      <c r="F225" s="6">
        <f>'احتساب متوسط سبتمبر'!I63</f>
        <v/>
      </c>
      <c r="G225" s="5">
        <f>E225*F225</f>
        <v/>
      </c>
      <c r="H225" s="4" t="inlineStr">
        <is>
          <t>مطابقة سعر يونيه بالوصفة مع سعر الصنف بالجرد</t>
        </is>
      </c>
    </row>
    <row r="226">
      <c r="A226" s="4" t="inlineStr">
        <is>
          <t>برجر الهنا</t>
        </is>
      </c>
      <c r="B226" s="4" t="inlineStr">
        <is>
          <t>الوصفة الرئيسية</t>
        </is>
      </c>
      <c r="C226" s="4" t="inlineStr">
        <is>
          <t>لون</t>
        </is>
      </c>
      <c r="D226" s="4" t="inlineStr">
        <is>
          <t>لون طبيعي</t>
        </is>
      </c>
      <c r="E226" s="21" t="n">
        <v>0.09</v>
      </c>
      <c r="F226" s="6">
        <f>'احتساب متوسط سبتمبر'!I70</f>
        <v/>
      </c>
      <c r="G226" s="5">
        <f>E226*F226</f>
        <v/>
      </c>
      <c r="H226" s="4" t="inlineStr">
        <is>
          <t>مطابقة سعر يونيه بالوصفة مع سعر الصنف بالجرد</t>
        </is>
      </c>
    </row>
    <row r="227">
      <c r="A227" s="22" t="inlineStr">
        <is>
          <t>برجر الهنا</t>
        </is>
      </c>
      <c r="B227" s="14" t="inlineStr">
        <is>
          <t>إجمالى الوصفة الرئيسية</t>
        </is>
      </c>
      <c r="E227" s="23">
        <f>SUM(E208:E226)</f>
        <v/>
      </c>
      <c r="G227" s="24">
        <f>SUM(G208:G226)</f>
        <v/>
      </c>
      <c r="H227" s="22" t="inlineStr">
        <is>
          <t>سعر الكجم = قيمة الوصفة ÷ 430.09 كجم</t>
        </is>
      </c>
    </row>
    <row r="229">
      <c r="A229" s="4" t="inlineStr">
        <is>
          <t>كفته الهنا</t>
        </is>
      </c>
      <c r="B229" s="4" t="inlineStr">
        <is>
          <t>الوصفة الرئيسية</t>
        </is>
      </c>
      <c r="C229" s="4" t="inlineStr">
        <is>
          <t>مفروم فراخ شعبى</t>
        </is>
      </c>
      <c r="D229" s="4" t="inlineStr">
        <is>
          <t>مفروم فراخ شعبي</t>
        </is>
      </c>
      <c r="E229" s="21" t="n">
        <v>80</v>
      </c>
      <c r="F229" s="17">
        <f>'احتساب متوسط سبتمبر'!C8</f>
        <v/>
      </c>
      <c r="G229" s="5">
        <f>E229*F229</f>
        <v/>
      </c>
      <c r="H229" s="10" t="inlineStr">
        <is>
          <t>مؤقت: سعر أغسطس لحين حسم فاتورة الفراخ المفرومة</t>
        </is>
      </c>
    </row>
    <row r="230">
      <c r="A230" s="4" t="inlineStr">
        <is>
          <t>كفته الهنا</t>
        </is>
      </c>
      <c r="B230" s="4" t="inlineStr">
        <is>
          <t>الوصفة الرئيسية</t>
        </is>
      </c>
      <c r="C230" s="4" t="inlineStr">
        <is>
          <t>دهن</t>
        </is>
      </c>
      <c r="D230" s="4" t="inlineStr">
        <is>
          <t>دهن بلدي</t>
        </is>
      </c>
      <c r="E230" s="21" t="n">
        <v>28</v>
      </c>
      <c r="F230" s="6">
        <f>'احتساب متوسط سبتمبر'!I13</f>
        <v/>
      </c>
      <c r="G230" s="5">
        <f>E230*F230</f>
        <v/>
      </c>
      <c r="H230" s="4" t="inlineStr">
        <is>
          <t>مطابقة سعر يونيه بالوصفة مع سعر الصنف بالجرد</t>
        </is>
      </c>
    </row>
    <row r="231">
      <c r="A231" s="4" t="inlineStr">
        <is>
          <t>كفته الهنا</t>
        </is>
      </c>
      <c r="B231" s="4" t="inlineStr">
        <is>
          <t>الوصفة الرئيسية</t>
        </is>
      </c>
      <c r="C231" s="4" t="inlineStr">
        <is>
          <t>فلفل احمر</t>
        </is>
      </c>
      <c r="D231" s="4" t="inlineStr">
        <is>
          <t>— (سعر ثابت بالوصفة)</t>
        </is>
      </c>
      <c r="E231" s="21" t="n">
        <v>25</v>
      </c>
      <c r="F231" s="6" t="n">
        <v>13</v>
      </c>
      <c r="G231" s="5">
        <f>E231*F231</f>
        <v/>
      </c>
      <c r="H231" s="10" t="inlineStr">
        <is>
          <t>لا يقابله صنف بالجرد — السعر ثابت كما بالوصفة</t>
        </is>
      </c>
    </row>
    <row r="232">
      <c r="A232" s="4" t="inlineStr">
        <is>
          <t>كفته الهنا</t>
        </is>
      </c>
      <c r="B232" s="4" t="inlineStr">
        <is>
          <t>الوصفة الرئيسية</t>
        </is>
      </c>
      <c r="C232" s="4" t="inlineStr">
        <is>
          <t>صويا</t>
        </is>
      </c>
      <c r="D232" s="4" t="inlineStr">
        <is>
          <t>صويا لحمه</t>
        </is>
      </c>
      <c r="E232" s="21" t="n">
        <v>43</v>
      </c>
      <c r="F232" s="6">
        <f>'احتساب متوسط سبتمبر'!I10</f>
        <v/>
      </c>
      <c r="G232" s="5">
        <f>E232*F232</f>
        <v/>
      </c>
      <c r="H232" s="4" t="inlineStr">
        <is>
          <t>مطابقة سعر يونيه بالوصفة مع سعر الصنف بالجرد</t>
        </is>
      </c>
    </row>
    <row r="233">
      <c r="A233" s="4" t="inlineStr">
        <is>
          <t>كفته الهنا</t>
        </is>
      </c>
      <c r="B233" s="4" t="inlineStr">
        <is>
          <t>الوصفة الرئيسية</t>
        </is>
      </c>
      <c r="C233" s="4" t="inlineStr">
        <is>
          <t>فلفل اخضر حار</t>
        </is>
      </c>
      <c r="D233" s="4" t="inlineStr">
        <is>
          <t>فلفل رومي حامي</t>
        </is>
      </c>
      <c r="E233" s="21" t="n">
        <v>2</v>
      </c>
      <c r="F233" s="6">
        <f>'احتساب متوسط سبتمبر'!I26</f>
        <v/>
      </c>
      <c r="G233" s="5">
        <f>E233*F233</f>
        <v/>
      </c>
      <c r="H233" s="4" t="inlineStr">
        <is>
          <t>مطابقة سعر يونيه بالوصفة مع سعر الصنف بالجرد</t>
        </is>
      </c>
    </row>
    <row r="234">
      <c r="A234" s="4" t="inlineStr">
        <is>
          <t>كفته الهنا</t>
        </is>
      </c>
      <c r="B234" s="4" t="inlineStr">
        <is>
          <t>الوصفة الرئيسية</t>
        </is>
      </c>
      <c r="C234" s="4" t="inlineStr">
        <is>
          <t>برغل</t>
        </is>
      </c>
      <c r="D234" s="4" t="inlineStr">
        <is>
          <t>برغل</t>
        </is>
      </c>
      <c r="E234" s="21" t="n">
        <v>28</v>
      </c>
      <c r="F234" s="6">
        <f>'احتساب متوسط سبتمبر'!I20</f>
        <v/>
      </c>
      <c r="G234" s="5">
        <f>E234*F234</f>
        <v/>
      </c>
      <c r="H234" s="4" t="inlineStr">
        <is>
          <t>مطابقة سعر يونيه بالوصفة مع سعر الصنف بالجرد</t>
        </is>
      </c>
    </row>
    <row r="235">
      <c r="A235" s="4" t="inlineStr">
        <is>
          <t>كفته الهنا</t>
        </is>
      </c>
      <c r="B235" s="4" t="inlineStr">
        <is>
          <t>الوصفة الرئيسية</t>
        </is>
      </c>
      <c r="C235" s="4" t="inlineStr">
        <is>
          <t>نشا</t>
        </is>
      </c>
      <c r="D235" s="4" t="inlineStr">
        <is>
          <t>نشا</t>
        </is>
      </c>
      <c r="E235" s="21" t="n">
        <v>24</v>
      </c>
      <c r="F235" s="6">
        <f>'احتساب متوسط سبتمبر'!I36</f>
        <v/>
      </c>
      <c r="G235" s="5">
        <f>E235*F235</f>
        <v/>
      </c>
      <c r="H235" s="4" t="inlineStr">
        <is>
          <t>مطابقة سعر يونيه بالوصفة مع سعر الصنف بالجرد</t>
        </is>
      </c>
    </row>
    <row r="236">
      <c r="A236" s="4" t="inlineStr">
        <is>
          <t>كفته الهنا</t>
        </is>
      </c>
      <c r="B236" s="4" t="inlineStr">
        <is>
          <t>الوصفة الرئيسية</t>
        </is>
      </c>
      <c r="C236" s="4" t="inlineStr">
        <is>
          <t>شعرية</t>
        </is>
      </c>
      <c r="D236" s="4" t="inlineStr">
        <is>
          <t>—</t>
        </is>
      </c>
      <c r="E236" s="21" t="n">
        <v>0</v>
      </c>
      <c r="F236" s="6" t="n">
        <v>0</v>
      </c>
      <c r="G236" s="5">
        <f>E236*F236</f>
        <v/>
      </c>
      <c r="H236" s="10" t="inlineStr">
        <is>
          <t>صنف غير موجود ضمن قاعدة بيانات الخامات المُسعّرة</t>
        </is>
      </c>
    </row>
    <row r="237">
      <c r="A237" s="4" t="inlineStr">
        <is>
          <t>كفته الهنا</t>
        </is>
      </c>
      <c r="B237" s="4" t="inlineStr">
        <is>
          <t>الوصفة الرئيسية</t>
        </is>
      </c>
      <c r="C237" s="4" t="inlineStr">
        <is>
          <t>بصل</t>
        </is>
      </c>
      <c r="D237" s="4" t="inlineStr">
        <is>
          <t>بصل</t>
        </is>
      </c>
      <c r="E237" s="21" t="n">
        <v>25</v>
      </c>
      <c r="F237" s="6">
        <f>'احتساب متوسط سبتمبر'!I5</f>
        <v/>
      </c>
      <c r="G237" s="5">
        <f>E237*F237</f>
        <v/>
      </c>
      <c r="H237" s="4" t="inlineStr">
        <is>
          <t>مطابقة سعر يونيه بالوصفة مع سعر الصنف بالجرد</t>
        </is>
      </c>
    </row>
    <row r="238">
      <c r="A238" s="4" t="inlineStr">
        <is>
          <t>كفته الهنا</t>
        </is>
      </c>
      <c r="B238" s="4" t="inlineStr">
        <is>
          <t>الوصفة الرئيسية</t>
        </is>
      </c>
      <c r="C238" s="4" t="inlineStr">
        <is>
          <t>سميد</t>
        </is>
      </c>
      <c r="D238" s="4" t="inlineStr">
        <is>
          <t>صميد</t>
        </is>
      </c>
      <c r="E238" s="21" t="n">
        <v>26</v>
      </c>
      <c r="F238" s="6">
        <f>'احتساب متوسط سبتمبر'!I9</f>
        <v/>
      </c>
      <c r="G238" s="5">
        <f>E238*F238</f>
        <v/>
      </c>
      <c r="H238" s="4" t="inlineStr">
        <is>
          <t>مطابقة سعر يونيه بالوصفة مع سعر الصنف بالجرد</t>
        </is>
      </c>
    </row>
    <row r="239">
      <c r="A239" s="4" t="inlineStr">
        <is>
          <t>كفته الهنا</t>
        </is>
      </c>
      <c r="B239" s="4" t="inlineStr">
        <is>
          <t>الوصفة الرئيسية</t>
        </is>
      </c>
      <c r="C239" s="4" t="inlineStr">
        <is>
          <t>مياه</t>
        </is>
      </c>
      <c r="D239" s="4" t="inlineStr">
        <is>
          <t>—</t>
        </is>
      </c>
      <c r="E239" s="21" t="n">
        <v>99</v>
      </c>
      <c r="F239" s="6" t="n">
        <v>0</v>
      </c>
      <c r="G239" s="5">
        <f>E239*F239</f>
        <v/>
      </c>
      <c r="H239" s="10" t="inlineStr">
        <is>
          <t>لا يوجد سعر شراء مسجل للمياه ضمن الخامات — عادة تكلفة مرافق غير مباشرة</t>
        </is>
      </c>
    </row>
    <row r="240">
      <c r="A240" s="4" t="inlineStr">
        <is>
          <t>كفته الهنا</t>
        </is>
      </c>
      <c r="B240" s="4" t="inlineStr">
        <is>
          <t>الوصفة الرئيسية</t>
        </is>
      </c>
      <c r="C240" s="4" t="inlineStr">
        <is>
          <t>مونوصوديم</t>
        </is>
      </c>
      <c r="D240" s="4" t="inlineStr">
        <is>
          <t>جلتومات</t>
        </is>
      </c>
      <c r="E240" s="21" t="n">
        <v>2</v>
      </c>
      <c r="F240" s="6">
        <f>'احتساب متوسط سبتمبر'!I57</f>
        <v/>
      </c>
      <c r="G240" s="5">
        <f>E240*F240</f>
        <v/>
      </c>
      <c r="H240" s="4" t="inlineStr">
        <is>
          <t>مطابقة سعر يونيه بالوصفة مع سعر الصنف بالجرد</t>
        </is>
      </c>
    </row>
    <row r="241">
      <c r="A241" s="4" t="inlineStr">
        <is>
          <t>كفته الهنا</t>
        </is>
      </c>
      <c r="B241" s="4" t="inlineStr">
        <is>
          <t>الوصفة الرئيسية</t>
        </is>
      </c>
      <c r="C241" s="4" t="inlineStr">
        <is>
          <t>لون 601</t>
        </is>
      </c>
      <c r="D241" s="4" t="inlineStr">
        <is>
          <t>لون طبيعي</t>
        </is>
      </c>
      <c r="E241" s="21" t="n">
        <v>0.09</v>
      </c>
      <c r="F241" s="6">
        <f>'احتساب متوسط سبتمبر'!I70</f>
        <v/>
      </c>
      <c r="G241" s="5">
        <f>E241*F241</f>
        <v/>
      </c>
      <c r="H241" s="4" t="inlineStr">
        <is>
          <t>مطابقة سعر يونيه بالوصفة مع سعر الصنف بالجرد</t>
        </is>
      </c>
    </row>
    <row r="242">
      <c r="A242" s="4" t="inlineStr">
        <is>
          <t>كفته الهنا</t>
        </is>
      </c>
      <c r="B242" s="4" t="inlineStr">
        <is>
          <t>الوصفة الرئيسية</t>
        </is>
      </c>
      <c r="C242" s="4" t="inlineStr">
        <is>
          <t>كسبرة</t>
        </is>
      </c>
      <c r="D242" s="4" t="inlineStr">
        <is>
          <t>كزبره</t>
        </is>
      </c>
      <c r="E242" s="21" t="n">
        <v>0.6</v>
      </c>
      <c r="F242" s="6">
        <f>'احتساب متوسط سبتمبر'!I45</f>
        <v/>
      </c>
      <c r="G242" s="5">
        <f>E242*F242</f>
        <v/>
      </c>
      <c r="H242" s="4" t="inlineStr">
        <is>
          <t>مطابقة سعر يونيه بالوصفة مع سعر الصنف بالجرد</t>
        </is>
      </c>
    </row>
    <row r="243">
      <c r="A243" s="4" t="inlineStr">
        <is>
          <t>كفته الهنا</t>
        </is>
      </c>
      <c r="B243" s="4" t="inlineStr">
        <is>
          <t>الوصفة الرئيسية</t>
        </is>
      </c>
      <c r="C243" s="4" t="inlineStr">
        <is>
          <t>شطة</t>
        </is>
      </c>
      <c r="D243" s="4" t="inlineStr">
        <is>
          <t>شطه</t>
        </is>
      </c>
      <c r="E243" s="21" t="n">
        <v>0.5</v>
      </c>
      <c r="F243" s="6">
        <f>'احتساب متوسط سبتمبر'!I48</f>
        <v/>
      </c>
      <c r="G243" s="5">
        <f>E243*F243</f>
        <v/>
      </c>
      <c r="H243" s="4" t="inlineStr">
        <is>
          <t>مطابقة سعر يونيه بالوصفة مع سعر الصنف بالجرد</t>
        </is>
      </c>
    </row>
    <row r="244">
      <c r="A244" s="4" t="inlineStr">
        <is>
          <t>كفته الهنا</t>
        </is>
      </c>
      <c r="B244" s="4" t="inlineStr">
        <is>
          <t>الوصفة الرئيسية</t>
        </is>
      </c>
      <c r="C244" s="4" t="inlineStr">
        <is>
          <t>ملح</t>
        </is>
      </c>
      <c r="D244" s="4" t="inlineStr">
        <is>
          <t>الملح</t>
        </is>
      </c>
      <c r="E244" s="21" t="n">
        <v>6.8</v>
      </c>
      <c r="F244" s="6">
        <f>'احتساب متوسط سبتمبر'!I55</f>
        <v/>
      </c>
      <c r="G244" s="5">
        <f>E244*F244</f>
        <v/>
      </c>
      <c r="H244" s="4" t="inlineStr">
        <is>
          <t>مطابقة سعر يونيه بالوصفة مع سعر الصنف بالجرد</t>
        </is>
      </c>
    </row>
    <row r="245">
      <c r="A245" s="4" t="inlineStr">
        <is>
          <t>كفته الهنا</t>
        </is>
      </c>
      <c r="B245" s="4" t="inlineStr">
        <is>
          <t>الوصفة الرئيسية</t>
        </is>
      </c>
      <c r="C245" s="4" t="inlineStr">
        <is>
          <t>جبهان</t>
        </is>
      </c>
      <c r="D245" s="4" t="inlineStr">
        <is>
          <t>حبهان</t>
        </is>
      </c>
      <c r="E245" s="21" t="n">
        <v>0.2</v>
      </c>
      <c r="F245" s="6">
        <f>'احتساب متوسط سبتمبر'!I51</f>
        <v/>
      </c>
      <c r="G245" s="5">
        <f>E245*F245</f>
        <v/>
      </c>
      <c r="H245" s="4" t="inlineStr">
        <is>
          <t>مطابقة سعر يونيه بالوصفة مع سعر الصنف بالجرد</t>
        </is>
      </c>
    </row>
    <row r="246">
      <c r="A246" s="4" t="inlineStr">
        <is>
          <t>كفته الهنا</t>
        </is>
      </c>
      <c r="B246" s="4" t="inlineStr">
        <is>
          <t>الوصفة الرئيسية</t>
        </is>
      </c>
      <c r="C246" s="4" t="inlineStr">
        <is>
          <t>طعم كفته</t>
        </is>
      </c>
      <c r="D246" s="4" t="inlineStr">
        <is>
          <t>طعم كفته</t>
        </is>
      </c>
      <c r="E246" s="21" t="n">
        <v>0.5</v>
      </c>
      <c r="F246" s="6">
        <f>'احتساب متوسط سبتمبر'!I61</f>
        <v/>
      </c>
      <c r="G246" s="5">
        <f>E246*F246</f>
        <v/>
      </c>
      <c r="H246" s="4" t="inlineStr">
        <is>
          <t>مطابقة سعر يونيه بالوصفة مع سعر الصنف بالجرد</t>
        </is>
      </c>
    </row>
    <row r="247">
      <c r="A247" s="4" t="inlineStr">
        <is>
          <t>كفته الهنا</t>
        </is>
      </c>
      <c r="B247" s="4" t="inlineStr">
        <is>
          <t>الوصفة الرئيسية</t>
        </is>
      </c>
      <c r="C247" s="4" t="inlineStr">
        <is>
          <t>طعم بيف</t>
        </is>
      </c>
      <c r="D247" s="4" t="inlineStr">
        <is>
          <t>طعم بيف</t>
        </is>
      </c>
      <c r="E247" s="21" t="n">
        <v>0.5</v>
      </c>
      <c r="F247" s="6">
        <f>'احتساب متوسط سبتمبر'!I63</f>
        <v/>
      </c>
      <c r="G247" s="5">
        <f>E247*F247</f>
        <v/>
      </c>
      <c r="H247" s="4" t="inlineStr">
        <is>
          <t>مطابقة سعر يونيه بالوصفة مع سعر الصنف بالجرد</t>
        </is>
      </c>
    </row>
    <row r="248">
      <c r="A248" s="4" t="inlineStr">
        <is>
          <t>كفته الهنا</t>
        </is>
      </c>
      <c r="B248" s="4" t="inlineStr">
        <is>
          <t>الوصفة الرئيسية</t>
        </is>
      </c>
      <c r="C248" s="4" t="inlineStr">
        <is>
          <t>فوسفات</t>
        </is>
      </c>
      <c r="D248" s="4" t="inlineStr">
        <is>
          <t>فوسفات</t>
        </is>
      </c>
      <c r="E248" s="21" t="n">
        <v>2</v>
      </c>
      <c r="F248" s="6">
        <f>'احتساب متوسط سبتمبر'!I56</f>
        <v/>
      </c>
      <c r="G248" s="5">
        <f>E248*F248</f>
        <v/>
      </c>
      <c r="H248" s="4" t="inlineStr">
        <is>
          <t>مطابقة سعر يونيه بالوصفة مع سعر الصنف بالجرد</t>
        </is>
      </c>
    </row>
    <row r="249">
      <c r="A249" s="4" t="inlineStr">
        <is>
          <t>كفته الهنا</t>
        </is>
      </c>
      <c r="B249" s="4" t="inlineStr">
        <is>
          <t>الوصفة الرئيسية</t>
        </is>
      </c>
      <c r="C249" s="4" t="inlineStr">
        <is>
          <t>جنزبيل</t>
        </is>
      </c>
      <c r="D249" s="4" t="inlineStr">
        <is>
          <t>جنزبيل</t>
        </is>
      </c>
      <c r="E249" s="21" t="n">
        <v>0.2</v>
      </c>
      <c r="F249" s="6">
        <f>'احتساب متوسط سبتمبر'!I54</f>
        <v/>
      </c>
      <c r="G249" s="5">
        <f>E249*F249</f>
        <v/>
      </c>
      <c r="H249" s="4" t="inlineStr">
        <is>
          <t>مطابقة سعر يونيه بالوصفة مع سعر الصنف بالجرد</t>
        </is>
      </c>
    </row>
    <row r="250">
      <c r="A250" s="4" t="inlineStr">
        <is>
          <t>كفته الهنا</t>
        </is>
      </c>
      <c r="B250" s="4" t="inlineStr">
        <is>
          <t>الوصفة الرئيسية</t>
        </is>
      </c>
      <c r="C250" s="4" t="inlineStr">
        <is>
          <t>طعم ليه</t>
        </is>
      </c>
      <c r="D250" s="4" t="inlineStr">
        <is>
          <t>طعم ليه</t>
        </is>
      </c>
      <c r="E250" s="21" t="n">
        <v>0.5</v>
      </c>
      <c r="F250" s="6">
        <f>'احتساب متوسط سبتمبر'!I60</f>
        <v/>
      </c>
      <c r="G250" s="5">
        <f>E250*F250</f>
        <v/>
      </c>
      <c r="H250" s="4" t="inlineStr">
        <is>
          <t>مطابقة سعر يونيه بالوصفة مع سعر الصنف بالجرد</t>
        </is>
      </c>
    </row>
    <row r="251">
      <c r="A251" s="4" t="inlineStr">
        <is>
          <t>كفته الهنا</t>
        </is>
      </c>
      <c r="B251" s="4" t="inlineStr">
        <is>
          <t>الوصفة الرئيسية</t>
        </is>
      </c>
      <c r="C251" s="4" t="inlineStr">
        <is>
          <t>بابريكا</t>
        </is>
      </c>
      <c r="D251" s="4" t="inlineStr">
        <is>
          <t>بابريكا</t>
        </is>
      </c>
      <c r="E251" s="21" t="n">
        <v>0.5</v>
      </c>
      <c r="F251" s="6">
        <f>'احتساب متوسط سبتمبر'!I53</f>
        <v/>
      </c>
      <c r="G251" s="5">
        <f>E251*F251</f>
        <v/>
      </c>
      <c r="H251" s="4" t="inlineStr">
        <is>
          <t>مطابقة سعر يونيه بالوصفة مع سعر الصنف بالجرد</t>
        </is>
      </c>
    </row>
    <row r="252">
      <c r="A252" s="22" t="inlineStr">
        <is>
          <t>كفته الهنا</t>
        </is>
      </c>
      <c r="B252" s="14" t="inlineStr">
        <is>
          <t>إجمالى الوصفة الرئيسية</t>
        </is>
      </c>
      <c r="E252" s="23">
        <f>SUM(E229:E251)</f>
        <v/>
      </c>
      <c r="G252" s="24">
        <f>SUM(G229:G251)</f>
        <v/>
      </c>
      <c r="H252" s="22" t="inlineStr">
        <is>
          <t>سعر الكجم = قيمة الوصفة ÷ 394.39 كجم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3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سعر كيلو الخلطة لكل منتج (خامات مباشرة فقط) — أغسطس مقابل سبتمبر</t>
        </is>
      </c>
    </row>
    <row r="3" ht="42" customHeight="1">
      <c r="A3" s="3" t="inlineStr">
        <is>
          <t>المنتج</t>
        </is>
      </c>
      <c r="B3" s="3" t="inlineStr">
        <is>
          <t>العلامة</t>
        </is>
      </c>
      <c r="C3" s="3" t="inlineStr">
        <is>
          <t>قيمة الوصفة (أغسطس)</t>
        </is>
      </c>
      <c r="D3" s="3" t="inlineStr">
        <is>
          <t>قيمة الوصفة (سبتمبر)</t>
        </is>
      </c>
      <c r="E3" s="3" t="inlineStr">
        <is>
          <t>سعر الكجم (أغسطس)</t>
        </is>
      </c>
      <c r="F3" s="3" t="inlineStr">
        <is>
          <t>سعر الكجم (سبتمبر)</t>
        </is>
      </c>
      <c r="G3" s="3" t="inlineStr">
        <is>
          <t>التغير %</t>
        </is>
      </c>
      <c r="H3" s="3" t="inlineStr">
        <is>
          <t>معامل الإنتاجية (كجم)</t>
        </is>
      </c>
    </row>
    <row r="4">
      <c r="A4" s="4" t="inlineStr">
        <is>
          <t>سجق ابوهاشم</t>
        </is>
      </c>
      <c r="B4" s="4" t="inlineStr">
        <is>
          <t>أبو هاشم</t>
        </is>
      </c>
      <c r="C4" s="5" t="n">
        <v>8167.946491669724</v>
      </c>
      <c r="D4" s="5">
        <f>'تفصيل الوصفات بأسعار سبتمبر'!G35</f>
        <v/>
      </c>
      <c r="E4" s="6" t="n">
        <v>82.5378324326162</v>
      </c>
      <c r="F4" s="15">
        <f>D4/H4</f>
        <v/>
      </c>
      <c r="G4" s="9">
        <f>F4/E4-1</f>
        <v/>
      </c>
      <c r="H4" s="25" t="n">
        <v>98.96003142968441</v>
      </c>
    </row>
    <row r="5">
      <c r="A5" s="4" t="inlineStr">
        <is>
          <t>كفته ابوهاشم</t>
        </is>
      </c>
      <c r="B5" s="4" t="inlineStr">
        <is>
          <t>أبو هاشم</t>
        </is>
      </c>
      <c r="C5" s="5" t="n">
        <v>6204.1824895</v>
      </c>
      <c r="D5" s="5">
        <f>'تفصيل الوصفات بأسعار سبتمبر'!G68</f>
        <v/>
      </c>
      <c r="E5" s="6" t="n">
        <v>79.03417184076433</v>
      </c>
      <c r="F5" s="15">
        <f>D5/H5</f>
        <v/>
      </c>
      <c r="G5" s="9">
        <f>F5/E5-1</f>
        <v/>
      </c>
      <c r="H5" s="25" t="n">
        <v>78.5</v>
      </c>
    </row>
    <row r="6">
      <c r="A6" s="4" t="inlineStr">
        <is>
          <t>برجر ابوهاشم</t>
        </is>
      </c>
      <c r="B6" s="4" t="inlineStr">
        <is>
          <t>أبو هاشم</t>
        </is>
      </c>
      <c r="C6" s="5" t="n">
        <v>4776.1359825</v>
      </c>
      <c r="D6" s="5">
        <f>'تفصيل الوصفات بأسعار سبتمبر'!G98</f>
        <v/>
      </c>
      <c r="E6" s="6" t="n">
        <v>76.22912748384007</v>
      </c>
      <c r="F6" s="15">
        <f>D6/H6</f>
        <v/>
      </c>
      <c r="G6" s="9">
        <f>F6/E6-1</f>
        <v/>
      </c>
      <c r="H6" s="25" t="n">
        <v>62.655</v>
      </c>
    </row>
    <row r="7">
      <c r="A7" s="4" t="inlineStr">
        <is>
          <t>برجر اسبشيال</t>
        </is>
      </c>
      <c r="B7" s="4" t="inlineStr">
        <is>
          <t>سبيشال</t>
        </is>
      </c>
      <c r="C7" s="5" t="n">
        <v>9320.561184</v>
      </c>
      <c r="D7" s="5">
        <f>'تفصيل الوصفات بأسعار سبتمبر'!G123</f>
        <v/>
      </c>
      <c r="E7" s="6" t="n">
        <v>23.63285373361394</v>
      </c>
      <c r="F7" s="15">
        <f>D7/H7</f>
        <v/>
      </c>
      <c r="G7" s="9">
        <f>F7/E7-1</f>
        <v/>
      </c>
      <c r="H7" s="25" t="n">
        <v>394.39</v>
      </c>
    </row>
    <row r="8">
      <c r="A8" s="4" t="inlineStr">
        <is>
          <t>سجق اسبشيال</t>
        </is>
      </c>
      <c r="B8" s="4" t="inlineStr">
        <is>
          <t>سبيشال</t>
        </is>
      </c>
      <c r="C8" s="5" t="n">
        <v>5610.9726265</v>
      </c>
      <c r="D8" s="5">
        <f>'تفصيل الوصفات بأسعار سبتمبر'!G149</f>
        <v/>
      </c>
      <c r="E8" s="6" t="n">
        <v>24.53861676616276</v>
      </c>
      <c r="F8" s="15">
        <f>D8/H8</f>
        <v/>
      </c>
      <c r="G8" s="9">
        <f>F8/E8-1</f>
        <v/>
      </c>
      <c r="H8" s="25" t="n">
        <v>228.65888</v>
      </c>
    </row>
    <row r="9">
      <c r="A9" s="4" t="inlineStr">
        <is>
          <t>كفته اسبشيال</t>
        </is>
      </c>
      <c r="B9" s="4" t="inlineStr">
        <is>
          <t>سبيشال</t>
        </is>
      </c>
      <c r="C9" s="5" t="n">
        <v>11366.584914</v>
      </c>
      <c r="D9" s="5">
        <f>'تفصيل الوصفات بأسعار سبتمبر'!G179</f>
        <v/>
      </c>
      <c r="E9" s="6" t="n">
        <v>31.10723840722496</v>
      </c>
      <c r="F9" s="15">
        <f>D9/H9</f>
        <v/>
      </c>
      <c r="G9" s="9">
        <f>F9/E9-1</f>
        <v/>
      </c>
      <c r="H9" s="25" t="n">
        <v>365.4</v>
      </c>
    </row>
    <row r="10">
      <c r="A10" s="4" t="inlineStr">
        <is>
          <t>سجق الهنا</t>
        </is>
      </c>
      <c r="B10" s="4" t="inlineStr">
        <is>
          <t>الهنا</t>
        </is>
      </c>
      <c r="C10" s="5" t="n">
        <v>5372.862606</v>
      </c>
      <c r="D10" s="5">
        <f>'تفصيل الوصفات بأسعار سبتمبر'!G206</f>
        <v/>
      </c>
      <c r="E10" s="6" t="n">
        <v>23.64191941388718</v>
      </c>
      <c r="F10" s="15">
        <f>D10/H10</f>
        <v/>
      </c>
      <c r="G10" s="9">
        <f>F10/E10-1</f>
        <v/>
      </c>
      <c r="H10" s="25" t="n">
        <v>227.26</v>
      </c>
    </row>
    <row r="11">
      <c r="A11" s="4" t="inlineStr">
        <is>
          <t>برجر الهنا</t>
        </is>
      </c>
      <c r="B11" s="4" t="inlineStr">
        <is>
          <t>الهنا</t>
        </is>
      </c>
      <c r="C11" s="5" t="n">
        <v>10415.404174</v>
      </c>
      <c r="D11" s="5">
        <f>'تفصيل الوصفات بأسعار سبتمبر'!G227</f>
        <v/>
      </c>
      <c r="E11" s="6" t="n">
        <v>24.21680153921272</v>
      </c>
      <c r="F11" s="15">
        <f>D11/H11</f>
        <v/>
      </c>
      <c r="G11" s="9">
        <f>F11/E11-1</f>
        <v/>
      </c>
      <c r="H11" s="25" t="n">
        <v>430.09</v>
      </c>
    </row>
    <row r="12">
      <c r="A12" s="4" t="inlineStr">
        <is>
          <t>كفته الهنا</t>
        </is>
      </c>
      <c r="B12" s="4" t="inlineStr">
        <is>
          <t>الهنا</t>
        </is>
      </c>
      <c r="C12" s="5" t="n">
        <v>9320.561184</v>
      </c>
      <c r="D12" s="5">
        <f>'تفصيل الوصفات بأسعار سبتمبر'!G252</f>
        <v/>
      </c>
      <c r="E12" s="6" t="n">
        <v>23.63285373361394</v>
      </c>
      <c r="F12" s="15">
        <f>D12/H12</f>
        <v/>
      </c>
      <c r="G12" s="9">
        <f>F12/E12-1</f>
        <v/>
      </c>
      <c r="H12" s="25" t="n">
        <v>394.39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4" customWidth="1" min="4" max="4"/>
    <col width="10" customWidth="1" min="5" max="5"/>
    <col width="14" customWidth="1" min="6" max="6"/>
    <col width="70" customWidth="1" min="7" max="7"/>
  </cols>
  <sheetData>
    <row r="1">
      <c r="A1" s="1" t="inlineStr">
        <is>
          <t>تقييم مخزون المنتج التام آخر سبتمبر 2026 (الوصفات بأسعار خامات سبتمبر + تكلفة التعبئة)</t>
        </is>
      </c>
    </row>
    <row r="3" ht="42" customHeight="1">
      <c r="A3" s="3" t="inlineStr">
        <is>
          <t>اسم الصنف</t>
        </is>
      </c>
      <c r="B3" s="3" t="inlineStr">
        <is>
          <t>كمية الجرد 30/9</t>
        </is>
      </c>
      <c r="C3" s="3" t="inlineStr">
        <is>
          <t>سعر أغسطس</t>
        </is>
      </c>
      <c r="D3" s="3" t="inlineStr">
        <is>
          <t>سعر سبتمبر</t>
        </is>
      </c>
      <c r="E3" s="3" t="inlineStr">
        <is>
          <t>التغير %</t>
        </is>
      </c>
      <c r="F3" s="3" t="inlineStr">
        <is>
          <t>قيمة المخزون 30/9</t>
        </is>
      </c>
      <c r="G3" s="3" t="inlineStr">
        <is>
          <t>ملاحظة</t>
        </is>
      </c>
    </row>
    <row r="4">
      <c r="A4" s="4" t="inlineStr">
        <is>
          <t>مفروم ابو هاشم 350</t>
        </is>
      </c>
      <c r="B4" s="5" t="n">
        <v>145</v>
      </c>
      <c r="C4" s="6" t="n">
        <v>84.61</v>
      </c>
      <c r="D4" s="6" t="n">
        <v>84.61</v>
      </c>
      <c r="E4" s="9">
        <f>IF(OR(C4="",D4=""),"",D4/C4-1)</f>
        <v/>
      </c>
      <c r="F4" s="5">
        <f>IF(D4="","",B4*D4)</f>
        <v/>
      </c>
      <c r="G4" s="4" t="inlineStr">
        <is>
          <t>خارج الوصفات التسع — آخر سعر متاح (أغسطس، ملف «-2»): خارج نطاق الوصفات التسع — سعر يوليو مُبقًى دون تحديث</t>
        </is>
      </c>
    </row>
    <row r="5">
      <c r="A5" s="4" t="inlineStr">
        <is>
          <t>مفروم صافي ابوهاشم 500</t>
        </is>
      </c>
      <c r="B5" s="5" t="n">
        <v>0</v>
      </c>
      <c r="C5" s="6" t="n">
        <v>126</v>
      </c>
      <c r="D5" s="6" t="n">
        <v>126</v>
      </c>
      <c r="E5" s="9">
        <f>IF(OR(C5="",D5=""),"",D5/C5-1)</f>
        <v/>
      </c>
      <c r="F5" s="5">
        <f>IF(D5="","",B5*D5)</f>
        <v/>
      </c>
      <c r="G5" s="4" t="inlineStr">
        <is>
          <t>خارج الوصفات التسع — آخر سعر متاح (أغسطس، ملف «-2»): خارج نطاق الوصفات التسع — سعر يوليو مُبقًى دون تحديث</t>
        </is>
      </c>
    </row>
    <row r="6">
      <c r="A6" s="4" t="inlineStr">
        <is>
          <t>كبده اسكندراني 370</t>
        </is>
      </c>
      <c r="B6" s="5" t="n">
        <v>248</v>
      </c>
      <c r="C6" s="6" t="n">
        <v>64.09999999999999</v>
      </c>
      <c r="D6" s="6" t="n">
        <v>64.09999999999999</v>
      </c>
      <c r="E6" s="9">
        <f>IF(OR(C6="",D6=""),"",D6/C6-1)</f>
        <v/>
      </c>
      <c r="F6" s="5">
        <f>IF(D6="","",B6*D6)</f>
        <v/>
      </c>
      <c r="G6" s="4" t="inlineStr">
        <is>
          <t>خارج الوصفات التسع — آخر سعر متاح (أغسطس، ملف «-2»): خارج نطاق الوصفات التسع — سعر يوليو مُبقًى دون تحديث</t>
        </is>
      </c>
    </row>
    <row r="7">
      <c r="A7" s="4" t="inlineStr">
        <is>
          <t>سجق ابوهاشم 3ك</t>
        </is>
      </c>
      <c r="B7" s="5" t="n">
        <v>111</v>
      </c>
      <c r="C7" s="6" t="n">
        <v>256.8435</v>
      </c>
      <c r="D7" s="6">
        <f>ROUND(3*'سعر الكجم من الوصفات'!F4+9.23,4)</f>
        <v/>
      </c>
      <c r="E7" s="9">
        <f>IF(OR(C7="",D7=""),"",D7/C7-1)</f>
        <v/>
      </c>
      <c r="F7" s="5">
        <f>IF(D7="","",B7*D7)</f>
        <v/>
      </c>
      <c r="G7" s="4" t="inlineStr">
        <is>
          <t>من وصفة «سجق ابوهاشم»: 3 كجم × سعر كجم سبتمبر + تعبئة 9.23 ج.م | مؤقت: الوصفة تستخدم مفروم الفراخ بسعر أغسطس لحين حسم الفاتورة</t>
        </is>
      </c>
    </row>
    <row r="8">
      <c r="A8" s="4" t="inlineStr">
        <is>
          <t>سجق ابوهاشم 1ك</t>
        </is>
      </c>
      <c r="B8" s="5" t="n">
        <v>0</v>
      </c>
      <c r="C8" s="6" t="n">
        <v>82.5378</v>
      </c>
      <c r="D8" s="6">
        <f>ROUND(1*'سعر الكجم من الوصفات'!F4+0,4)</f>
        <v/>
      </c>
      <c r="E8" s="9">
        <f>IF(OR(C8="",D8=""),"",D8/C8-1)</f>
        <v/>
      </c>
      <c r="F8" s="5">
        <f>IF(D8="","",B8*D8)</f>
        <v/>
      </c>
      <c r="G8" s="4" t="inlineStr">
        <is>
          <t>من وصفة «سجق ابوهاشم»: 1 كجم × سعر كجم سبتمبر بدون تكلفة تعبئة (غير محددة بالوصفة) | مؤقت: الوصفة تستخدم مفروم الفراخ بسعر أغسطس لحين حسم الفاتورة</t>
        </is>
      </c>
    </row>
    <row r="9">
      <c r="A9" s="4" t="inlineStr">
        <is>
          <t>سجق ابوهاشم 800</t>
        </is>
      </c>
      <c r="B9" s="5" t="n">
        <v>101</v>
      </c>
      <c r="C9" s="6" t="n">
        <v>72.30029999999999</v>
      </c>
      <c r="D9" s="6">
        <f>ROUND(0.8*'سعر الكجم من الوصفات'!F4+6.27,4)</f>
        <v/>
      </c>
      <c r="E9" s="9">
        <f>IF(OR(C9="",D9=""),"",D9/C9-1)</f>
        <v/>
      </c>
      <c r="F9" s="5">
        <f>IF(D9="","",B9*D9)</f>
        <v/>
      </c>
      <c r="G9" s="4" t="inlineStr">
        <is>
          <t>من وصفة «سجق ابوهاشم»: 0.8 كجم × سعر كجم سبتمبر + تعبئة 6.27 ج.م | مؤقت: الوصفة تستخدم مفروم الفراخ بسعر أغسطس لحين حسم الفاتورة</t>
        </is>
      </c>
    </row>
    <row r="10">
      <c r="A10" s="4" t="inlineStr">
        <is>
          <t>سجق ابوهاشم 350</t>
        </is>
      </c>
      <c r="B10" s="5" t="n">
        <v>36</v>
      </c>
      <c r="C10" s="6" t="n">
        <v>33.5583</v>
      </c>
      <c r="D10" s="6">
        <f>ROUND(0.35*'سعر الكجم من الوصفات'!F4+4.67,4)</f>
        <v/>
      </c>
      <c r="E10" s="9">
        <f>IF(OR(C10="",D10=""),"",D10/C10-1)</f>
        <v/>
      </c>
      <c r="F10" s="5">
        <f>IF(D10="","",B10*D10)</f>
        <v/>
      </c>
      <c r="G10" s="4" t="inlineStr">
        <is>
          <t>من وصفة «سجق ابوهاشم»: 0.35 كجم × سعر كجم سبتمبر + تعبئة 4.67 ج.م | مؤقت: الوصفة تستخدم مفروم الفراخ بسعر أغسطس لحين حسم الفاتورة</t>
        </is>
      </c>
    </row>
    <row r="11">
      <c r="A11" s="4" t="inlineStr">
        <is>
          <t>كفته ابوهاشم 800</t>
        </is>
      </c>
      <c r="B11" s="5" t="n">
        <v>23</v>
      </c>
      <c r="C11" s="6" t="n">
        <v>68.57899999999999</v>
      </c>
      <c r="D11" s="6">
        <f>ROUND(0.8*'سعر الكجم من الوصفات'!F5+5.35,4)</f>
        <v/>
      </c>
      <c r="E11" s="9">
        <f>IF(OR(C11="",D11=""),"",D11/C11-1)</f>
        <v/>
      </c>
      <c r="F11" s="5">
        <f>IF(D11="","",B11*D11)</f>
        <v/>
      </c>
      <c r="G11" s="4" t="inlineStr">
        <is>
          <t>من وصفة «كفته ابوهاشم»: 0.8 كجم × سعر كجم سبتمبر + تعبئة 5.35 ج.م | مؤقت: الوصفة تستخدم مفروم الفراخ بسعر أغسطس لحين حسم الفاتورة</t>
        </is>
      </c>
    </row>
    <row r="12">
      <c r="A12" s="4" t="inlineStr">
        <is>
          <t>كفته ابوهاشم 350</t>
        </is>
      </c>
      <c r="B12" s="5" t="n">
        <v>34</v>
      </c>
      <c r="C12" s="6" t="n">
        <v>32.1627</v>
      </c>
      <c r="D12" s="6">
        <f>ROUND(0.35*'سعر الكجم من الوصفات'!F5+4.5,4)</f>
        <v/>
      </c>
      <c r="E12" s="9">
        <f>IF(OR(C12="",D12=""),"",D12/C12-1)</f>
        <v/>
      </c>
      <c r="F12" s="5">
        <f>IF(D12="","",B12*D12)</f>
        <v/>
      </c>
      <c r="G12" s="4" t="inlineStr">
        <is>
          <t>من وصفة «كفته ابوهاشم»: 0.35 كجم × سعر كجم سبتمبر + تعبئة 4.50 ج.م | مؤقت: الوصفة تستخدم مفروم الفراخ بسعر أغسطس لحين حسم الفاتورة</t>
        </is>
      </c>
    </row>
    <row r="13">
      <c r="A13" s="4" t="inlineStr">
        <is>
          <t>برجر ابوهاشم 1.5</t>
        </is>
      </c>
      <c r="B13" s="5" t="n">
        <v>18</v>
      </c>
      <c r="C13" s="6" t="n">
        <v>120.4126</v>
      </c>
      <c r="D13" s="6">
        <f>ROUND(1.5*'سعر الكجم من الوصفات'!F6+6.07,4)</f>
        <v/>
      </c>
      <c r="E13" s="9">
        <f>IF(OR(C13="",D13=""),"",D13/C13-1)</f>
        <v/>
      </c>
      <c r="F13" s="5">
        <f>IF(D13="","",B13*D13)</f>
        <v/>
      </c>
      <c r="G13" s="4" t="inlineStr">
        <is>
          <t>من وصفة «برجر ابوهاشم»: 1.5 كجم × سعر كجم سبتمبر + تعبئة 6.07 ج.م | مؤقت: الوصفة تستخدم مفروم الفراخ بسعر أغسطس لحين حسم الفاتورة</t>
        </is>
      </c>
    </row>
    <row r="14">
      <c r="A14" s="4" t="inlineStr">
        <is>
          <t>برجر ابوهاشم1100</t>
        </is>
      </c>
      <c r="B14" s="5" t="n">
        <v>0</v>
      </c>
      <c r="C14" s="6" t="n">
        <v>83.852</v>
      </c>
      <c r="D14" s="6">
        <f>ROUND(1.1*'سعر الكجم من الوصفات'!F6+0,4)</f>
        <v/>
      </c>
      <c r="E14" s="9">
        <f>IF(OR(C14="",D14=""),"",D14/C14-1)</f>
        <v/>
      </c>
      <c r="F14" s="5">
        <f>IF(D14="","",B14*D14)</f>
        <v/>
      </c>
      <c r="G14" s="4" t="inlineStr">
        <is>
          <t>من وصفة «برجر ابوهاشم»: 1.1 كجم × سعر كجم سبتمبر بدون تكلفة تعبئة (غير محددة بالوصفة) | مؤقت: الوصفة تستخدم مفروم الفراخ بسعر أغسطس لحين حسم الفاتورة</t>
        </is>
      </c>
    </row>
    <row r="15">
      <c r="A15" s="4" t="inlineStr">
        <is>
          <t>برجر ابو هاشم 800</t>
        </is>
      </c>
      <c r="B15" s="5" t="n">
        <v>0</v>
      </c>
      <c r="C15" s="6" t="n">
        <v>60.9833</v>
      </c>
      <c r="D15" s="6">
        <f>ROUND(0.8*'سعر الكجم من الوصفات'!F6+0,4)</f>
        <v/>
      </c>
      <c r="E15" s="9">
        <f>IF(OR(C15="",D15=""),"",D15/C15-1)</f>
        <v/>
      </c>
      <c r="F15" s="5">
        <f>IF(D15="","",B15*D15)</f>
        <v/>
      </c>
      <c r="G15" s="4" t="inlineStr">
        <is>
          <t>من وصفة «برجر ابوهاشم»: 0.8 كجم × سعر كجم سبتمبر بدون تكلفة تعبئة (غير محددة بالوصفة) | مؤقت: الوصفة تستخدم مفروم الفراخ بسعر أغسطس لحين حسم الفاتورة</t>
        </is>
      </c>
    </row>
    <row r="16">
      <c r="A16" s="4" t="inlineStr">
        <is>
          <t>برجر ابوهاشم 600</t>
        </is>
      </c>
      <c r="B16" s="5" t="n">
        <v>0</v>
      </c>
      <c r="C16" s="6" t="n">
        <v>51.7274</v>
      </c>
      <c r="D16" s="6">
        <f>ROUND(0.6*'سعر الكجم من الوصفات'!F6+5.99,4)</f>
        <v/>
      </c>
      <c r="E16" s="9">
        <f>IF(OR(C16="",D16=""),"",D16/C16-1)</f>
        <v/>
      </c>
      <c r="F16" s="5">
        <f>IF(D16="","",B16*D16)</f>
        <v/>
      </c>
      <c r="G16" s="4" t="inlineStr">
        <is>
          <t>من وصفة «برجر ابوهاشم»: 0.6 كجم × سعر كجم سبتمبر + تعبئة 5.99 ج.م | مؤقت: الوصفة تستخدم مفروم الفراخ بسعر أغسطس لحين حسم الفاتورة</t>
        </is>
      </c>
    </row>
    <row r="17">
      <c r="A17" s="4" t="inlineStr">
        <is>
          <t>برجر ابوهاشم 400</t>
        </is>
      </c>
      <c r="B17" s="5" t="n">
        <v>121</v>
      </c>
      <c r="C17" s="6" t="n">
        <v>35.4817</v>
      </c>
      <c r="D17" s="6">
        <f>ROUND(0.4*'سعر الكجم من الوصفات'!F6+4.99,4)</f>
        <v/>
      </c>
      <c r="E17" s="9">
        <f>IF(OR(C17="",D17=""),"",D17/C17-1)</f>
        <v/>
      </c>
      <c r="F17" s="5">
        <f>IF(D17="","",B17*D17)</f>
        <v/>
      </c>
      <c r="G17" s="4" t="inlineStr">
        <is>
          <t>من وصفة «برجر ابوهاشم»: 0.4 كجم × سعر كجم سبتمبر + تعبئة 4.99 ج.م | مؤقت: الوصفة تستخدم مفروم الفراخ بسعر أغسطس لحين حسم الفاتورة</t>
        </is>
      </c>
    </row>
    <row r="18">
      <c r="A18" s="4" t="inlineStr">
        <is>
          <t>شاورما 400</t>
        </is>
      </c>
      <c r="B18" s="5" t="n">
        <v>0</v>
      </c>
      <c r="C18" s="6" t="n"/>
      <c r="D18" s="6" t="n"/>
      <c r="E18" s="9">
        <f>IF(OR(C18="",D18=""),"",D18/C18-1)</f>
        <v/>
      </c>
      <c r="F18" s="5">
        <f>IF(D18="","",B18*D18)</f>
        <v/>
      </c>
      <c r="G18" s="4" t="inlineStr">
        <is>
          <t>بلا وصفة ولا سعر سابق — يلزم توفير سعره</t>
        </is>
      </c>
    </row>
    <row r="19">
      <c r="A19" s="4" t="inlineStr">
        <is>
          <t>بفتيك 400</t>
        </is>
      </c>
      <c r="B19" s="5" t="n">
        <v>0</v>
      </c>
      <c r="C19" s="6" t="n"/>
      <c r="D19" s="6" t="n"/>
      <c r="E19" s="9">
        <f>IF(OR(C19="",D19=""),"",D19/C19-1)</f>
        <v/>
      </c>
      <c r="F19" s="5">
        <f>IF(D19="","",B19*D19)</f>
        <v/>
      </c>
      <c r="G19" s="4" t="inlineStr">
        <is>
          <t>بلا وصفة ولا سعر سابق — يلزم توفير سعره</t>
        </is>
      </c>
    </row>
    <row r="20">
      <c r="A20" s="4" t="inlineStr">
        <is>
          <t>قطع 400</t>
        </is>
      </c>
      <c r="B20" s="5" t="n">
        <v>0</v>
      </c>
      <c r="C20" s="6" t="n"/>
      <c r="D20" s="6" t="n"/>
      <c r="E20" s="9">
        <f>IF(OR(C20="",D20=""),"",D20/C20-1)</f>
        <v/>
      </c>
      <c r="F20" s="5">
        <f>IF(D20="","",B20*D20)</f>
        <v/>
      </c>
      <c r="G20" s="4" t="inlineStr">
        <is>
          <t>بلا وصفة ولا سعر سابق — يلزم توفير سعره</t>
        </is>
      </c>
    </row>
    <row r="21">
      <c r="A21" s="4" t="inlineStr">
        <is>
          <t>قطع 800</t>
        </is>
      </c>
      <c r="B21" s="5" t="n">
        <v>0</v>
      </c>
      <c r="C21" s="6" t="n"/>
      <c r="D21" s="6" t="n"/>
      <c r="E21" s="9">
        <f>IF(OR(C21="",D21=""),"",D21/C21-1)</f>
        <v/>
      </c>
      <c r="F21" s="5">
        <f>IF(D21="","",B21*D21)</f>
        <v/>
      </c>
      <c r="G21" s="4" t="inlineStr">
        <is>
          <t>بلا وصفة ولا سعر سابق — يلزم توفير سعره</t>
        </is>
      </c>
    </row>
    <row r="22">
      <c r="A22" s="10" t="inlineStr">
        <is>
          <t>مفروم ابو هاشم 3 ك</t>
        </is>
      </c>
      <c r="B22" s="5" t="n">
        <v>9</v>
      </c>
      <c r="C22" s="6" t="n"/>
      <c r="D22" s="6" t="n"/>
      <c r="E22" s="9">
        <f>IF(OR(C22="",D22=""),"",D22/C22-1)</f>
        <v/>
      </c>
      <c r="F22" s="5">
        <f>IF(D22="","",B22*D22)</f>
        <v/>
      </c>
      <c r="G22" s="10" t="inlineStr">
        <is>
          <t>بلا وصفة ولا سعر سابق — يلزم توفير سعره</t>
        </is>
      </c>
    </row>
    <row r="23">
      <c r="A23" s="4" t="inlineStr">
        <is>
          <t>سجق ابو هاشم 2 ك</t>
        </is>
      </c>
      <c r="B23" s="5" t="n">
        <v>0</v>
      </c>
      <c r="C23" s="6" t="n">
        <v>165.0757</v>
      </c>
      <c r="D23" s="6">
        <f>ROUND(2*'سعر الكجم من الوصفات'!F4+0,4)</f>
        <v/>
      </c>
      <c r="E23" s="9">
        <f>IF(OR(C23="",D23=""),"",D23/C23-1)</f>
        <v/>
      </c>
      <c r="F23" s="5">
        <f>IF(D23="","",B23*D23)</f>
        <v/>
      </c>
      <c r="G23" s="4" t="inlineStr">
        <is>
          <t>من وصفة «سجق ابوهاشم»: 2 كجم × سعر كجم سبتمبر بدون تكلفة تعبئة (غير محددة بالوصفة) | مؤقت: الوصفة تستخدم مفروم الفراخ بسعر أغسطس لحين حسم الفاتورة</t>
        </is>
      </c>
    </row>
    <row r="24">
      <c r="A24" s="4" t="inlineStr">
        <is>
          <t>كبده امريكي3 ك</t>
        </is>
      </c>
      <c r="B24" s="5" t="n">
        <v>0</v>
      </c>
      <c r="C24" s="6" t="n"/>
      <c r="D24" s="6" t="n"/>
      <c r="E24" s="9">
        <f>IF(OR(C24="",D24=""),"",D24/C24-1)</f>
        <v/>
      </c>
      <c r="F24" s="5">
        <f>IF(D24="","",B24*D24)</f>
        <v/>
      </c>
      <c r="G24" s="4" t="inlineStr">
        <is>
          <t>بلا وصفة ولا سعر سابق — يلزم توفير سعره</t>
        </is>
      </c>
    </row>
    <row r="25">
      <c r="A25" s="4" t="inlineStr">
        <is>
          <t>مفروم صويا-بروتين 400 ش</t>
        </is>
      </c>
      <c r="B25" s="5" t="n">
        <v>0</v>
      </c>
      <c r="C25" s="6" t="n"/>
      <c r="D25" s="6" t="n"/>
      <c r="E25" s="9">
        <f>IF(OR(C25="",D25=""),"",D25/C25-1)</f>
        <v/>
      </c>
      <c r="F25" s="5">
        <f>IF(D25="","",B25*D25)</f>
        <v/>
      </c>
      <c r="G25" s="4" t="inlineStr">
        <is>
          <t>بلا وصفة ولا سعر سابق — يلزم توفير سعره</t>
        </is>
      </c>
    </row>
    <row r="26">
      <c r="A26" s="4" t="inlineStr">
        <is>
          <t>مفروم صويا-بروتين 400 علب</t>
        </is>
      </c>
      <c r="B26" s="5" t="n">
        <v>0</v>
      </c>
      <c r="C26" s="6" t="n"/>
      <c r="D26" s="6" t="n"/>
      <c r="E26" s="9">
        <f>IF(OR(C26="",D26=""),"",D26/C26-1)</f>
        <v/>
      </c>
      <c r="F26" s="5">
        <f>IF(D26="","",B26*D26)</f>
        <v/>
      </c>
      <c r="G26" s="4" t="inlineStr">
        <is>
          <t>بلا وصفة ولا سعر سابق — يلزم توفير سعره</t>
        </is>
      </c>
    </row>
    <row r="27">
      <c r="A27" s="4" t="inlineStr">
        <is>
          <t>برجر ابوهاشم 1200</t>
        </is>
      </c>
      <c r="B27" s="5" t="n">
        <v>0</v>
      </c>
      <c r="C27" s="6" t="n">
        <v>97.655</v>
      </c>
      <c r="D27" s="6">
        <f>ROUND(1.2*'سعر الكجم من الوصفات'!F6+6.18,4)</f>
        <v/>
      </c>
      <c r="E27" s="9">
        <f>IF(OR(C27="",D27=""),"",D27/C27-1)</f>
        <v/>
      </c>
      <c r="F27" s="5">
        <f>IF(D27="","",B27*D27)</f>
        <v/>
      </c>
      <c r="G27" s="4" t="inlineStr">
        <is>
          <t>من وصفة «برجر ابوهاشم»: 1.2 كجم × سعر كجم سبتمبر + تعبئة 6.18 ج.م | مؤقت: الوصفة تستخدم مفروم الفراخ بسعر أغسطس لحين حسم الفاتورة</t>
        </is>
      </c>
    </row>
    <row r="28">
      <c r="A28" s="4" t="inlineStr">
        <is>
          <t>كبده اك</t>
        </is>
      </c>
      <c r="B28" s="5" t="n">
        <v>0</v>
      </c>
      <c r="C28" s="6" t="n"/>
      <c r="D28" s="6" t="n"/>
      <c r="E28" s="9">
        <f>IF(OR(C28="",D28=""),"",D28/C28-1)</f>
        <v/>
      </c>
      <c r="F28" s="5">
        <f>IF(D28="","",B28*D28)</f>
        <v/>
      </c>
      <c r="G28" s="4" t="inlineStr">
        <is>
          <t>بلا وصفة ولا سعر سابق — يلزم توفير سعره</t>
        </is>
      </c>
    </row>
    <row r="29">
      <c r="A29" s="4" t="inlineStr">
        <is>
          <t>برجر ابوهاشم 1000</t>
        </is>
      </c>
      <c r="B29" s="5" t="n">
        <v>33</v>
      </c>
      <c r="C29" s="6" t="n">
        <v>81.8291</v>
      </c>
      <c r="D29" s="6">
        <f>ROUND(1*'سعر الكجم من الوصفات'!F6+5.6,4)</f>
        <v/>
      </c>
      <c r="E29" s="9">
        <f>IF(OR(C29="",D29=""),"",D29/C29-1)</f>
        <v/>
      </c>
      <c r="F29" s="5">
        <f>IF(D29="","",B29*D29)</f>
        <v/>
      </c>
      <c r="G29" s="4" t="inlineStr">
        <is>
          <t>من وصفة «برجر ابوهاشم»: 1 كجم × سعر كجم سبتمبر + تعبئة 5.60 ج.م | مؤقت: الوصفة تستخدم مفروم الفراخ بسعر أغسطس لحين حسم الفاتورة</t>
        </is>
      </c>
    </row>
    <row r="30">
      <c r="A30" s="4" t="inlineStr">
        <is>
          <t>ممبار</t>
        </is>
      </c>
      <c r="B30" s="5" t="n">
        <v>0</v>
      </c>
      <c r="C30" s="6" t="n"/>
      <c r="D30" s="6" t="n"/>
      <c r="E30" s="9">
        <f>IF(OR(C30="",D30=""),"",D30/C30-1)</f>
        <v/>
      </c>
      <c r="F30" s="5">
        <f>IF(D30="","",B30*D30)</f>
        <v/>
      </c>
      <c r="G30" s="4" t="inlineStr">
        <is>
          <t>بلا وصفة ولا سعر سابق — يلزم توفير سعره</t>
        </is>
      </c>
    </row>
    <row r="31">
      <c r="A31" s="4" t="inlineStr">
        <is>
          <t>عجينة سجق ابوهاشم 1ك</t>
        </is>
      </c>
      <c r="B31" s="5" t="n">
        <v>0</v>
      </c>
      <c r="C31" s="6" t="n">
        <v>82.5378</v>
      </c>
      <c r="D31" s="6">
        <f>ROUND(1*'سعر الكجم من الوصفات'!F4+0,4)</f>
        <v/>
      </c>
      <c r="E31" s="9">
        <f>IF(OR(C31="",D31=""),"",D31/C31-1)</f>
        <v/>
      </c>
      <c r="F31" s="5">
        <f>IF(D31="","",B31*D31)</f>
        <v/>
      </c>
      <c r="G31" s="4" t="inlineStr">
        <is>
          <t>من وصفة «سجق ابوهاشم»: 1 كجم × سعر كجم سبتمبر بدون تكلفة تعبئة (غير محددة بالوصفة) | مؤقت: الوصفة تستخدم مفروم الفراخ بسعر أغسطس لحين حسم الفاتورة</t>
        </is>
      </c>
    </row>
    <row r="32">
      <c r="A32" s="4" t="inlineStr">
        <is>
          <t>عجينة كفته ابو هاشم 5 ك</t>
        </is>
      </c>
      <c r="B32" s="5" t="n">
        <v>0</v>
      </c>
      <c r="C32" s="6" t="n">
        <v>395.1817</v>
      </c>
      <c r="D32" s="6">
        <f>ROUND(5*'سعر الكجم من الوصفات'!F5+0,4)</f>
        <v/>
      </c>
      <c r="E32" s="9">
        <f>IF(OR(C32="",D32=""),"",D32/C32-1)</f>
        <v/>
      </c>
      <c r="F32" s="5">
        <f>IF(D32="","",B32*D32)</f>
        <v/>
      </c>
      <c r="G32" s="4" t="inlineStr">
        <is>
          <t>من وصفة «كفته ابوهاشم»: 5 كجم × سعر كجم سبتمبر بدون تكلفة تعبئة (غير محددة بالوصفة) | مؤقت: الوصفة تستخدم مفروم الفراخ بسعر أغسطس لحين حسم الفاتورة</t>
        </is>
      </c>
    </row>
    <row r="33">
      <c r="A33" s="4" t="inlineStr">
        <is>
          <t>كفتة ابو هاشم 1ك</t>
        </is>
      </c>
      <c r="B33" s="5" t="n">
        <v>0</v>
      </c>
      <c r="C33" s="6" t="n">
        <v>79.0364</v>
      </c>
      <c r="D33" s="6">
        <f>ROUND(1*'سعر الكجم من الوصفات'!F5+0,4)</f>
        <v/>
      </c>
      <c r="E33" s="9">
        <f>IF(OR(C33="",D33=""),"",D33/C33-1)</f>
        <v/>
      </c>
      <c r="F33" s="5">
        <f>IF(D33="","",B33*D33)</f>
        <v/>
      </c>
      <c r="G33" s="4" t="inlineStr">
        <is>
          <t>من وصفة «كفته ابوهاشم»: 1 كجم × سعر كجم سبتمبر بدون تكلفة تعبئة (غير محددة بالوصفة) | مؤقت: الوصفة تستخدم مفروم الفراخ بسعر أغسطس لحين حسم الفاتورة</t>
        </is>
      </c>
    </row>
    <row r="34">
      <c r="A34" s="4" t="inlineStr">
        <is>
          <t>كيس كبده 3 ك برازيلي</t>
        </is>
      </c>
      <c r="B34" s="5" t="n">
        <v>0</v>
      </c>
      <c r="C34" s="6" t="n"/>
      <c r="D34" s="6" t="n"/>
      <c r="E34" s="9">
        <f>IF(OR(C34="",D34=""),"",D34/C34-1)</f>
        <v/>
      </c>
      <c r="F34" s="5">
        <f>IF(D34="","",B34*D34)</f>
        <v/>
      </c>
      <c r="G34" s="4" t="inlineStr">
        <is>
          <t>بلا وصفة ولا سعر سابق — يلزم توفير سعره</t>
        </is>
      </c>
    </row>
    <row r="35">
      <c r="A35" s="4" t="inlineStr">
        <is>
          <t>سجق ابو هاشم 1.5 ك</t>
        </is>
      </c>
      <c r="B35" s="5" t="n">
        <v>0</v>
      </c>
      <c r="C35" s="6" t="n">
        <v>123.8068</v>
      </c>
      <c r="D35" s="6">
        <f>ROUND(1.5*'سعر الكجم من الوصفات'!F4+0,4)</f>
        <v/>
      </c>
      <c r="E35" s="9">
        <f>IF(OR(C35="",D35=""),"",D35/C35-1)</f>
        <v/>
      </c>
      <c r="F35" s="5">
        <f>IF(D35="","",B35*D35)</f>
        <v/>
      </c>
      <c r="G35" s="4" t="inlineStr">
        <is>
          <t>من وصفة «سجق ابوهاشم»: 1.5 كجم × سعر كجم سبتمبر بدون تكلفة تعبئة (غير محددة بالوصفة) | مؤقت: الوصفة تستخدم مفروم الفراخ بسعر أغسطس لحين حسم الفاتورة</t>
        </is>
      </c>
    </row>
    <row r="36">
      <c r="A36" s="4" t="inlineStr">
        <is>
          <t>عجينة سجق ابوهاشم 3ك</t>
        </is>
      </c>
      <c r="B36" s="5" t="n">
        <v>0</v>
      </c>
      <c r="C36" s="6" t="n">
        <v>256.8435</v>
      </c>
      <c r="D36" s="6">
        <f>ROUND(3*'سعر الكجم من الوصفات'!F4+9.23,4)</f>
        <v/>
      </c>
      <c r="E36" s="9">
        <f>IF(OR(C36="",D36=""),"",D36/C36-1)</f>
        <v/>
      </c>
      <c r="F36" s="5">
        <f>IF(D36="","",B36*D36)</f>
        <v/>
      </c>
      <c r="G36" s="4" t="inlineStr">
        <is>
          <t>من وصفة «سجق ابوهاشم»: 3 كجم × سعر كجم سبتمبر + تعبئة 9.23 ج.م | مؤقت: الوصفة تستخدم مفروم الفراخ بسعر أغسطس لحين حسم الفاتورة</t>
        </is>
      </c>
    </row>
    <row r="37">
      <c r="A37" s="4" t="inlineStr">
        <is>
          <t>كبده 500</t>
        </is>
      </c>
      <c r="B37" s="5" t="n">
        <v>0</v>
      </c>
      <c r="C37" s="6" t="n"/>
      <c r="D37" s="6" t="n"/>
      <c r="E37" s="9">
        <f>IF(OR(C37="",D37=""),"",D37/C37-1)</f>
        <v/>
      </c>
      <c r="F37" s="5">
        <f>IF(D37="","",B37*D37)</f>
        <v/>
      </c>
      <c r="G37" s="4" t="inlineStr">
        <is>
          <t>بلا وصفة ولا سعر سابق — يلزم توفير سعره</t>
        </is>
      </c>
    </row>
    <row r="38">
      <c r="A38" s="4" t="inlineStr">
        <is>
          <t>سجق الهنا 700</t>
        </is>
      </c>
      <c r="B38" s="5" t="n">
        <v>126</v>
      </c>
      <c r="C38" s="6" t="n">
        <v>22.5393</v>
      </c>
      <c r="D38" s="6">
        <f>ROUND(0.7*'سعر الكجم من الوصفات'!F10+5.99,4)</f>
        <v/>
      </c>
      <c r="E38" s="9">
        <f>IF(OR(C38="",D38=""),"",D38/C38-1)</f>
        <v/>
      </c>
      <c r="F38" s="5">
        <f>IF(D38="","",B38*D38)</f>
        <v/>
      </c>
      <c r="G38" s="4" t="inlineStr">
        <is>
          <t>من وصفة «سجق الهنا»: 0.7 كجم × سعر كجم سبتمبر + تعبئة 5.99 ج.م | مؤقت: الوصفة تستخدم مفروم الفراخ بسعر أغسطس لحين حسم الفاتورة</t>
        </is>
      </c>
    </row>
    <row r="39">
      <c r="A39" s="4" t="inlineStr">
        <is>
          <t>سجق الهنا 300</t>
        </is>
      </c>
      <c r="B39" s="5" t="n">
        <v>875</v>
      </c>
      <c r="C39" s="6" t="n">
        <v>11.7226</v>
      </c>
      <c r="D39" s="6">
        <f>ROUND(0.3*'سعر الكجم من الوصفات'!F10+4.63,4)</f>
        <v/>
      </c>
      <c r="E39" s="9">
        <f>IF(OR(C39="",D39=""),"",D39/C39-1)</f>
        <v/>
      </c>
      <c r="F39" s="5">
        <f>IF(D39="","",B39*D39)</f>
        <v/>
      </c>
      <c r="G39" s="4" t="inlineStr">
        <is>
          <t>من وصفة «سجق الهنا»: 0.3 كجم × سعر كجم سبتمبر + تعبئة 4.63 ج.م | مؤقت: الوصفة تستخدم مفروم الفراخ بسعر أغسطس لحين حسم الفاتورة</t>
        </is>
      </c>
    </row>
    <row r="40">
      <c r="A40" s="4" t="inlineStr">
        <is>
          <t>كفته الهنا 800</t>
        </is>
      </c>
      <c r="B40" s="5" t="n">
        <v>1633</v>
      </c>
      <c r="C40" s="6" t="n">
        <v>24.9863</v>
      </c>
      <c r="D40" s="6">
        <f>ROUND(0.8*'سعر الكجم من الوصفات'!F12+6.08,4)</f>
        <v/>
      </c>
      <c r="E40" s="9">
        <f>IF(OR(C40="",D40=""),"",D40/C40-1)</f>
        <v/>
      </c>
      <c r="F40" s="5">
        <f>IF(D40="","",B40*D40)</f>
        <v/>
      </c>
      <c r="G40" s="4" t="inlineStr">
        <is>
          <t>من وصفة «كفته الهنا»: 0.8 كجم × سعر كجم سبتمبر + تعبئة 6.08 ج.م | مؤقت: الوصفة تستخدم مفروم الفراخ بسعر أغسطس لحين حسم الفاتورة</t>
        </is>
      </c>
    </row>
    <row r="41">
      <c r="A41" s="4" t="inlineStr">
        <is>
          <t>كفته الهنا 350</t>
        </is>
      </c>
      <c r="B41" s="5" t="n">
        <v>1513</v>
      </c>
      <c r="C41" s="6" t="n">
        <v>13.447</v>
      </c>
      <c r="D41" s="6">
        <f>ROUND(0.35*'سعر الكجم من الوصفات'!F12+5.18,4)</f>
        <v/>
      </c>
      <c r="E41" s="9">
        <f>IF(OR(C41="",D41=""),"",D41/C41-1)</f>
        <v/>
      </c>
      <c r="F41" s="5">
        <f>IF(D41="","",B41*D41)</f>
        <v/>
      </c>
      <c r="G41" s="4" t="inlineStr">
        <is>
          <t>من وصفة «كفته الهنا»: 0.35 كجم × سعر كجم سبتمبر + تعبئة 5.18 ج.م | مؤقت: الوصفة تستخدم مفروم الفراخ بسعر أغسطس لحين حسم الفاتورة</t>
        </is>
      </c>
    </row>
    <row r="42">
      <c r="A42" s="4" t="inlineStr">
        <is>
          <t>برجر الهنا 800</t>
        </is>
      </c>
      <c r="B42" s="5" t="n">
        <v>0</v>
      </c>
      <c r="C42" s="6" t="n">
        <v>19.3735</v>
      </c>
      <c r="D42" s="6">
        <f>ROUND(0.8*'سعر الكجم من الوصفات'!F11+0,4)</f>
        <v/>
      </c>
      <c r="E42" s="9">
        <f>IF(OR(C42="",D42=""),"",D42/C42-1)</f>
        <v/>
      </c>
      <c r="F42" s="5">
        <f>IF(D42="","",B42*D42)</f>
        <v/>
      </c>
      <c r="G42" s="4" t="inlineStr">
        <is>
          <t>من وصفة «برجر الهنا»: 0.8 كجم × سعر كجم سبتمبر بدون تكلفة تعبئة (غير محددة بالوصفة) | مؤقت: الوصفة تستخدم مفروم الفراخ بسعر أغسطس لحين حسم الفاتورة</t>
        </is>
      </c>
    </row>
    <row r="43">
      <c r="A43" s="4" t="inlineStr">
        <is>
          <t>برجر الهنا 900</t>
        </is>
      </c>
      <c r="B43" s="5" t="n">
        <v>1187</v>
      </c>
      <c r="C43" s="6" t="n">
        <v>28.4251</v>
      </c>
      <c r="D43" s="6">
        <f>ROUND(0.9*'سعر الكجم من الوصفات'!F11+6.63,4)</f>
        <v/>
      </c>
      <c r="E43" s="9">
        <f>IF(OR(C43="",D43=""),"",D43/C43-1)</f>
        <v/>
      </c>
      <c r="F43" s="5">
        <f>IF(D43="","",B43*D43)</f>
        <v/>
      </c>
      <c r="G43" s="4" t="inlineStr">
        <is>
          <t>من وصفة «برجر الهنا»: 0.9 كجم × سعر كجم سبتمبر + تعبئة 6.63 ج.م | مؤقت: الوصفة تستخدم مفروم الفراخ بسعر أغسطس لحين حسم الفاتورة</t>
        </is>
      </c>
    </row>
    <row r="44">
      <c r="A44" s="4" t="inlineStr">
        <is>
          <t>برجر الهنا 350</t>
        </is>
      </c>
      <c r="B44" s="5" t="n">
        <v>1183</v>
      </c>
      <c r="C44" s="6" t="n">
        <v>8.475899999999999</v>
      </c>
      <c r="D44" s="6">
        <f>ROUND(0.35*'سعر الكجم من الوصفات'!F11+0,4)</f>
        <v/>
      </c>
      <c r="E44" s="9">
        <f>IF(OR(C44="",D44=""),"",D44/C44-1)</f>
        <v/>
      </c>
      <c r="F44" s="5">
        <f>IF(D44="","",B44*D44)</f>
        <v/>
      </c>
      <c r="G44" s="4" t="inlineStr">
        <is>
          <t>من وصفة «برجر الهنا»: 0.35 كجم × سعر كجم سبتمبر بدون تكلفة تعبئة (غير محددة بالوصفة) | مؤقت: الوصفة تستخدم مفروم الفراخ بسعر أغسطس لحين حسم الفاتورة</t>
        </is>
      </c>
    </row>
    <row r="45">
      <c r="A45" s="4" t="inlineStr">
        <is>
          <t>سجق الهنا 3 ك</t>
        </is>
      </c>
      <c r="B45" s="5" t="n">
        <v>0</v>
      </c>
      <c r="C45" s="6" t="n">
        <v>70.9258</v>
      </c>
      <c r="D45" s="6">
        <f>ROUND(3*'سعر الكجم من الوصفات'!F10+0,4)</f>
        <v/>
      </c>
      <c r="E45" s="9">
        <f>IF(OR(C45="",D45=""),"",D45/C45-1)</f>
        <v/>
      </c>
      <c r="F45" s="5">
        <f>IF(D45="","",B45*D45)</f>
        <v/>
      </c>
      <c r="G45" s="4" t="inlineStr">
        <is>
          <t>من وصفة «سجق الهنا»: 3 كجم × سعر كجم سبتمبر بدون تكلفة تعبئة (غير محددة بالوصفة) | مؤقت: الوصفة تستخدم مفروم الفراخ بسعر أغسطس لحين حسم الفاتورة</t>
        </is>
      </c>
    </row>
    <row r="46">
      <c r="A46" s="4" t="inlineStr">
        <is>
          <t>سجق الهنا 5 ك</t>
        </is>
      </c>
      <c r="B46" s="5" t="n">
        <v>15</v>
      </c>
      <c r="C46" s="6" t="n">
        <v>134.2696</v>
      </c>
      <c r="D46" s="6">
        <f>ROUND(5*'سعر الكجم من الوصفات'!F10+16.06,4)</f>
        <v/>
      </c>
      <c r="E46" s="9">
        <f>IF(OR(C46="",D46=""),"",D46/C46-1)</f>
        <v/>
      </c>
      <c r="F46" s="5">
        <f>IF(D46="","",B46*D46)</f>
        <v/>
      </c>
      <c r="G46" s="4" t="inlineStr">
        <is>
          <t>من وصفة «سجق الهنا»: 5 كجم × سعر كجم سبتمبر + تعبئة 16.06 ج.م | مؤقت: الوصفة تستخدم مفروم الفراخ بسعر أغسطس لحين حسم الفاتورة</t>
        </is>
      </c>
    </row>
    <row r="47">
      <c r="A47" s="4" t="inlineStr">
        <is>
          <t>بانيه 700</t>
        </is>
      </c>
      <c r="B47" s="5" t="n">
        <v>0</v>
      </c>
      <c r="C47" s="6" t="n"/>
      <c r="D47" s="6" t="n"/>
      <c r="E47" s="9">
        <f>IF(OR(C47="",D47=""),"",D47/C47-1)</f>
        <v/>
      </c>
      <c r="F47" s="5">
        <f>IF(D47="","",B47*D47)</f>
        <v/>
      </c>
      <c r="G47" s="4" t="inlineStr">
        <is>
          <t>بلا وصفة ولا سعر سابق — يلزم توفير سعره</t>
        </is>
      </c>
    </row>
    <row r="48">
      <c r="A48" s="4" t="inlineStr">
        <is>
          <t>بانيه 800</t>
        </is>
      </c>
      <c r="B48" s="5" t="n">
        <v>2</v>
      </c>
      <c r="C48" s="6" t="n">
        <v>49.1199</v>
      </c>
      <c r="D48" s="6" t="n">
        <v>49.1199</v>
      </c>
      <c r="E48" s="9">
        <f>IF(OR(C48="",D48=""),"",D48/C48-1)</f>
        <v/>
      </c>
      <c r="F48" s="5">
        <f>IF(D48="","",B48*D48)</f>
        <v/>
      </c>
      <c r="G48" s="4" t="inlineStr">
        <is>
          <t>خارج الوصفات التسع — آخر سعر متاح (أغسطس، ملف «-2»): من «خلطة بانيه 28-8-2026.pdf»: 51.86862 × 0.8 كجم = 41.4949 + تغليف 6.25 + عمولة 1.375</t>
        </is>
      </c>
    </row>
    <row r="49">
      <c r="A49" s="4" t="inlineStr">
        <is>
          <t>بانيه 900</t>
        </is>
      </c>
      <c r="B49" s="5" t="n">
        <v>0</v>
      </c>
      <c r="C49" s="6" t="n">
        <v>54.4318</v>
      </c>
      <c r="D49" s="6" t="n">
        <v>54.4318</v>
      </c>
      <c r="E49" s="9">
        <f>IF(OR(C49="",D49=""),"",D49/C49-1)</f>
        <v/>
      </c>
      <c r="F49" s="5">
        <f>IF(D49="","",B49*D49)</f>
        <v/>
      </c>
      <c r="G49" s="4" t="inlineStr">
        <is>
          <t>خارج الوصفات التسع — آخر سعر متاح (أغسطس، ملف «-2»): من «خلطة بانيه 28-8-2026.pdf»: 51.86862 × 0.9 كجم = 46.6818 + تغليف 6.25 + عمولة 1.5 | صنف</t>
        </is>
      </c>
    </row>
    <row r="50">
      <c r="A50" s="4" t="inlineStr">
        <is>
          <t>عجينه سجق هنا 5ك</t>
        </is>
      </c>
      <c r="B50" s="5" t="n">
        <v>0</v>
      </c>
      <c r="C50" s="6" t="n">
        <v>134.2696</v>
      </c>
      <c r="D50" s="6">
        <f>ROUND(5*'سعر الكجم من الوصفات'!F10+16.06,4)</f>
        <v/>
      </c>
      <c r="E50" s="9">
        <f>IF(OR(C50="",D50=""),"",D50/C50-1)</f>
        <v/>
      </c>
      <c r="F50" s="5">
        <f>IF(D50="","",B50*D50)</f>
        <v/>
      </c>
      <c r="G50" s="4" t="inlineStr">
        <is>
          <t>من وصفة «سجق الهنا»: 5 كجم × سعر كجم سبتمبر + تعبئة 16.06 ج.م | مؤقت: الوصفة تستخدم مفروم الفراخ بسعر أغسطس لحين حسم الفاتورة</t>
        </is>
      </c>
    </row>
    <row r="51">
      <c r="A51" s="4" t="inlineStr">
        <is>
          <t>سجق الهنا عرض 200ج</t>
        </is>
      </c>
      <c r="B51" s="5" t="n">
        <v>0</v>
      </c>
      <c r="C51" s="6" t="n">
        <v>4.7284</v>
      </c>
      <c r="D51" s="6">
        <f>ROUND(0.2*'سعر الكجم من الوصفات'!F10+0,4)</f>
        <v/>
      </c>
      <c r="E51" s="9">
        <f>IF(OR(C51="",D51=""),"",D51/C51-1)</f>
        <v/>
      </c>
      <c r="F51" s="5">
        <f>IF(D51="","",B51*D51)</f>
        <v/>
      </c>
      <c r="G51" s="4" t="inlineStr">
        <is>
          <t>من وصفة «سجق الهنا»: 0.2 كجم × سعر كجم سبتمبر بدون تكلفة تعبئة (غير محددة بالوصفة) | مؤقت: الوصفة تستخدم مفروم الفراخ بسعر أغسطس لحين حسم الفاتورة</t>
        </is>
      </c>
    </row>
    <row r="52">
      <c r="A52" s="4" t="inlineStr">
        <is>
          <t>برجر الهنا عرض 300ج</t>
        </is>
      </c>
      <c r="B52" s="5" t="n">
        <v>0</v>
      </c>
      <c r="C52" s="6" t="n">
        <v>7.2651</v>
      </c>
      <c r="D52" s="6">
        <f>ROUND(0.3*'سعر الكجم من الوصفات'!F11+0,4)</f>
        <v/>
      </c>
      <c r="E52" s="9">
        <f>IF(OR(C52="",D52=""),"",D52/C52-1)</f>
        <v/>
      </c>
      <c r="F52" s="5">
        <f>IF(D52="","",B52*D52)</f>
        <v/>
      </c>
      <c r="G52" s="4" t="inlineStr">
        <is>
          <t>من وصفة «برجر الهنا»: 0.3 كجم × سعر كجم سبتمبر بدون تكلفة تعبئة (غير محددة بالوصفة) | مؤقت: الوصفة تستخدم مفروم الفراخ بسعر أغسطس لحين حسم الفاتورة</t>
        </is>
      </c>
    </row>
    <row r="53">
      <c r="A53" s="4" t="inlineStr">
        <is>
          <t>كفتة الهنا عرض 200ج</t>
        </is>
      </c>
      <c r="B53" s="5" t="n">
        <v>0</v>
      </c>
      <c r="C53" s="6" t="n">
        <v>4.7266</v>
      </c>
      <c r="D53" s="6">
        <f>ROUND(0.2*'سعر الكجم من الوصفات'!F12+0,4)</f>
        <v/>
      </c>
      <c r="E53" s="9">
        <f>IF(OR(C53="",D53=""),"",D53/C53-1)</f>
        <v/>
      </c>
      <c r="F53" s="5">
        <f>IF(D53="","",B53*D53)</f>
        <v/>
      </c>
      <c r="G53" s="4" t="inlineStr">
        <is>
          <t>من وصفة «كفته الهنا»: 0.2 كجم × سعر كجم سبتمبر بدون تكلفة تعبئة (غير محددة بالوصفة) | مؤقت: الوصفة تستخدم مفروم الفراخ بسعر أغسطس لحين حسم الفاتورة</t>
        </is>
      </c>
    </row>
    <row r="54">
      <c r="A54" s="4" t="inlineStr">
        <is>
          <t>استبربس SP 900</t>
        </is>
      </c>
      <c r="B54" s="5" t="n">
        <v>21</v>
      </c>
      <c r="C54" s="6" t="n">
        <v>130.7381</v>
      </c>
      <c r="D54" s="6" t="n">
        <v>130.7381</v>
      </c>
      <c r="E54" s="9">
        <f>IF(OR(C54="",D54=""),"",D54/C54-1)</f>
        <v/>
      </c>
      <c r="F54" s="5">
        <f>IF(D54="","",B54*D54)</f>
        <v/>
      </c>
      <c r="G54" s="4" t="inlineStr">
        <is>
          <t>خارج الوصفات التسع — آخر سعر متاح (أغسطس، ملف «-2»): من «خلطه استربس 28-8-2026.pdf»: 137.12570 × 0.9 كجم = 123.4131 + تغليف 3.2 + عمولة 4.125</t>
        </is>
      </c>
    </row>
    <row r="55">
      <c r="A55" s="4" t="inlineStr">
        <is>
          <t>عرض ثلاثي الهنا&lt;سجق برجر كفته &gt;</t>
        </is>
      </c>
      <c r="B55" s="5" t="n">
        <v>0</v>
      </c>
      <c r="C55" s="6" t="n"/>
      <c r="D55" s="6" t="n"/>
      <c r="E55" s="9">
        <f>IF(OR(C55="",D55=""),"",D55/C55-1)</f>
        <v/>
      </c>
      <c r="F55" s="5">
        <f>IF(D55="","",B55*D55)</f>
        <v/>
      </c>
      <c r="G55" s="4" t="inlineStr">
        <is>
          <t>بلا وصفة ولا سعر سابق — يلزم توفير سعره</t>
        </is>
      </c>
    </row>
    <row r="56">
      <c r="A56" s="4" t="inlineStr">
        <is>
          <t>برجر اسبيشيال1ك</t>
        </is>
      </c>
      <c r="B56" s="5" t="n">
        <v>370</v>
      </c>
      <c r="C56" s="6" t="n">
        <v>30.3329</v>
      </c>
      <c r="D56" s="6">
        <f>ROUND(1*'سعر الكجم من الوصفات'!F7+6.7,4)</f>
        <v/>
      </c>
      <c r="E56" s="9">
        <f>IF(OR(C56="",D56=""),"",D56/C56-1)</f>
        <v/>
      </c>
      <c r="F56" s="5">
        <f>IF(D56="","",B56*D56)</f>
        <v/>
      </c>
      <c r="G56" s="4" t="inlineStr">
        <is>
          <t>من وصفة «برجر اسبشيال»: 1 كجم × سعر كجم سبتمبر + تعبئة 6.70 ج.م | مؤقت: الوصفة تستخدم مفروم الفراخ بسعر أغسطس لحين حسم الفاتورة</t>
        </is>
      </c>
    </row>
    <row r="57">
      <c r="A57" s="4" t="inlineStr">
        <is>
          <t>برجر اسبيشيال 400</t>
        </is>
      </c>
      <c r="B57" s="5" t="n">
        <v>541</v>
      </c>
      <c r="C57" s="6" t="n">
        <v>14.9532</v>
      </c>
      <c r="D57" s="6">
        <f>ROUND(0.4*'سعر الكجم من الوصفات'!F7+5.5,4)</f>
        <v/>
      </c>
      <c r="E57" s="9">
        <f>IF(OR(C57="",D57=""),"",D57/C57-1)</f>
        <v/>
      </c>
      <c r="F57" s="5">
        <f>IF(D57="","",B57*D57)</f>
        <v/>
      </c>
      <c r="G57" s="4" t="inlineStr">
        <is>
          <t>من وصفة «برجر اسبشيال»: 0.4 كجم × سعر كجم سبتمبر + تعبئة 5.50 ج.م | مؤقت: الوصفة تستخدم مفروم الفراخ بسعر أغسطس لحين حسم الفاتورة</t>
        </is>
      </c>
    </row>
    <row r="58">
      <c r="A58" s="4" t="inlineStr">
        <is>
          <t>كفته اسبيشيال 900</t>
        </is>
      </c>
      <c r="B58" s="5" t="n">
        <v>1507</v>
      </c>
      <c r="C58" s="6" t="n">
        <v>35.1965</v>
      </c>
      <c r="D58" s="6">
        <f>ROUND(0.9*'سعر الكجم من الوصفات'!F9+7.2,4)</f>
        <v/>
      </c>
      <c r="E58" s="9">
        <f>IF(OR(C58="",D58=""),"",D58/C58-1)</f>
        <v/>
      </c>
      <c r="F58" s="5">
        <f>IF(D58="","",B58*D58)</f>
        <v/>
      </c>
      <c r="G58" s="4" t="inlineStr">
        <is>
          <t>من وصفة «كفته اسبشيال»: 0.9 كجم × سعر كجم سبتمبر + تعبئة 7.20 ج.م | مؤقت: الوصفة تستخدم مفروم الفراخ بسعر أغسطس لحين حسم الفاتورة</t>
        </is>
      </c>
    </row>
    <row r="59">
      <c r="A59" s="4" t="inlineStr">
        <is>
          <t>كفته اسبيشيال 350</t>
        </is>
      </c>
      <c r="B59" s="5" t="n">
        <v>541</v>
      </c>
      <c r="C59" s="6" t="n">
        <v>16.3875</v>
      </c>
      <c r="D59" s="6">
        <f>ROUND(0.35*'سعر الكجم من الوصفات'!F9+5.5,4)</f>
        <v/>
      </c>
      <c r="E59" s="9">
        <f>IF(OR(C59="",D59=""),"",D59/C59-1)</f>
        <v/>
      </c>
      <c r="F59" s="5">
        <f>IF(D59="","",B59*D59)</f>
        <v/>
      </c>
      <c r="G59" s="4" t="inlineStr">
        <is>
          <t>من وصفة «كفته اسبشيال»: 0.35 كجم × سعر كجم سبتمبر + تعبئة 5.50 ج.م | مؤقت: الوصفة تستخدم مفروم الفراخ بسعر أغسطس لحين حسم الفاتورة</t>
        </is>
      </c>
    </row>
    <row r="60">
      <c r="A60" s="4" t="inlineStr">
        <is>
          <t>سجق اسبيشيال 700</t>
        </is>
      </c>
      <c r="B60" s="5" t="n">
        <v>19</v>
      </c>
      <c r="C60" s="6" t="n">
        <v>24.4105</v>
      </c>
      <c r="D60" s="6">
        <f>ROUND(0.7*'سعر الكجم من الوصفات'!F8+7.2,4)</f>
        <v/>
      </c>
      <c r="E60" s="9">
        <f>IF(OR(C60="",D60=""),"",D60/C60-1)</f>
        <v/>
      </c>
      <c r="F60" s="5">
        <f>IF(D60="","",B60*D60)</f>
        <v/>
      </c>
      <c r="G60" s="4" t="inlineStr">
        <is>
          <t>من وصفة «سجق اسبشيال»: 0.7 كجم × سعر كجم سبتمبر + تعبئة 7.20 ج.م | مؤقت: الوصفة تستخدم مفروم الفراخ بسعر أغسطس لحين حسم الفاتورة</t>
        </is>
      </c>
    </row>
    <row r="61">
      <c r="A61" s="4" t="inlineStr">
        <is>
          <t>سجق اسبيشيال300</t>
        </is>
      </c>
      <c r="B61" s="5" t="n">
        <v>73</v>
      </c>
      <c r="C61" s="6" t="n">
        <v>12.5759</v>
      </c>
      <c r="D61" s="6">
        <f>ROUND(0.3*'سعر الكجم من الوصفات'!F8+5.2,4)</f>
        <v/>
      </c>
      <c r="E61" s="9">
        <f>IF(OR(C61="",D61=""),"",D61/C61-1)</f>
        <v/>
      </c>
      <c r="F61" s="5">
        <f>IF(D61="","",B61*D61)</f>
        <v/>
      </c>
      <c r="G61" s="4" t="inlineStr">
        <is>
          <t>من وصفة «سجق اسبشيال»: 0.3 كجم × سعر كجم سبتمبر + تعبئة 5.20 ج.م | مؤقت: الوصفة تستخدم مفروم الفراخ بسعر أغسطس لحين حسم الفاتورة</t>
        </is>
      </c>
    </row>
    <row r="62">
      <c r="A62" s="4" t="inlineStr">
        <is>
          <t>بانيه اسبيشيال900</t>
        </is>
      </c>
      <c r="B62" s="5" t="n">
        <v>285</v>
      </c>
      <c r="C62" s="6" t="n">
        <v>54.4318</v>
      </c>
      <c r="D62" s="6" t="n">
        <v>54.4318</v>
      </c>
      <c r="E62" s="9">
        <f>IF(OR(C62="",D62=""),"",D62/C62-1)</f>
        <v/>
      </c>
      <c r="F62" s="5">
        <f>IF(D62="","",B62*D62)</f>
        <v/>
      </c>
      <c r="G62" s="4" t="inlineStr">
        <is>
          <t>خارج الوصفات التسع — آخر سعر متاح (أغسطس، ملف «-2»): من «خلطة بانيه 28-8-2026.pdf»: 51.86862 × 0.9 كجم = 46.6818 + تغليف 6.25 + عمولة 1.5</t>
        </is>
      </c>
    </row>
    <row r="63">
      <c r="A63" s="4" t="inlineStr">
        <is>
          <t>بانيه اسبيشيال 800</t>
        </is>
      </c>
      <c r="B63" s="5" t="n">
        <v>0</v>
      </c>
      <c r="C63" s="6" t="n">
        <v>49.1199</v>
      </c>
      <c r="D63" s="6" t="n">
        <v>49.1199</v>
      </c>
      <c r="E63" s="9">
        <f>IF(OR(C63="",D63=""),"",D63/C63-1)</f>
        <v/>
      </c>
      <c r="F63" s="5">
        <f>IF(D63="","",B63*D63)</f>
        <v/>
      </c>
      <c r="G63" s="4" t="inlineStr">
        <is>
          <t>خارج الوصفات التسع — آخر سعر متاح (أغسطس، ملف «-2»): من «خلطة بانيه 28-8-2026.pdf»: 51.86862 × 0.8 كجم = 41.4949 + تغليف 6.25 + عمولة 1.375 | ص</t>
        </is>
      </c>
    </row>
    <row r="64">
      <c r="A64" s="4" t="inlineStr">
        <is>
          <t>بانيه اسبيشيال حار800</t>
        </is>
      </c>
      <c r="B64" s="5" t="n">
        <v>0</v>
      </c>
      <c r="C64" s="6" t="n">
        <v>49.1199</v>
      </c>
      <c r="D64" s="6" t="n">
        <v>49.1199</v>
      </c>
      <c r="E64" s="9">
        <f>IF(OR(C64="",D64=""),"",D64/C64-1)</f>
        <v/>
      </c>
      <c r="F64" s="5">
        <f>IF(D64="","",B64*D64)</f>
        <v/>
      </c>
      <c r="G64" s="4" t="inlineStr">
        <is>
          <t>خارج الوصفات التسع — آخر سعر متاح (أغسطس، ملف «-2»): من «خلطة بانيه 28-8-2026.pdf»: 51.86862 × 0.8 كجم = 41.4949 + تغليف 6.25 + عمولة 1.375 | ص</t>
        </is>
      </c>
    </row>
    <row r="65">
      <c r="A65" s="4" t="inlineStr">
        <is>
          <t>سجق اسبشيال 5ك</t>
        </is>
      </c>
      <c r="B65" s="5" t="n">
        <v>0</v>
      </c>
      <c r="C65" s="6" t="n">
        <v>136.9321</v>
      </c>
      <c r="D65" s="6">
        <f>ROUND(5*'سعر الكجم من الوصفات'!F8+14,4)</f>
        <v/>
      </c>
      <c r="E65" s="9">
        <f>IF(OR(C65="",D65=""),"",D65/C65-1)</f>
        <v/>
      </c>
      <c r="F65" s="5">
        <f>IF(D65="","",B65*D65)</f>
        <v/>
      </c>
      <c r="G65" s="4" t="inlineStr">
        <is>
          <t>من وصفة «سجق اسبشيال»: 5 كجم × سعر كجم سبتمبر + تعبئة 14.00 ج.م | مؤقت: الوصفة تستخدم مفروم الفراخ بسعر أغسطس لحين حسم الفاتورة</t>
        </is>
      </c>
    </row>
    <row r="66">
      <c r="A66" s="4" t="inlineStr">
        <is>
          <t>استبربس 800</t>
        </is>
      </c>
      <c r="B66" s="5" t="n">
        <v>0</v>
      </c>
      <c r="C66" s="6" t="n"/>
      <c r="D66" s="6" t="n"/>
      <c r="E66" s="9">
        <f>IF(OR(C66="",D66=""),"",D66/C66-1)</f>
        <v/>
      </c>
      <c r="F66" s="5">
        <f>IF(D66="","",B66*D66)</f>
        <v/>
      </c>
      <c r="G66" s="4" t="inlineStr">
        <is>
          <t>بلا وصفة ولا سعر سابق — يلزم توفير سعره</t>
        </is>
      </c>
    </row>
    <row r="67">
      <c r="A67" s="4" t="inlineStr">
        <is>
          <t>مفروم اسبيشيال 400</t>
        </is>
      </c>
      <c r="B67" s="5" t="n">
        <v>0</v>
      </c>
      <c r="C67" s="6" t="n"/>
      <c r="D67" s="6" t="n"/>
      <c r="E67" s="9">
        <f>IF(OR(C67="",D67=""),"",D67/C67-1)</f>
        <v/>
      </c>
      <c r="F67" s="5">
        <f>IF(D67="","",B67*D67)</f>
        <v/>
      </c>
      <c r="G67" s="4" t="inlineStr">
        <is>
          <t>بلا وصفة ولا سعر سابق — يلزم توفير سعره</t>
        </is>
      </c>
    </row>
    <row r="68">
      <c r="A68" s="4" t="inlineStr">
        <is>
          <t>عجينه بقري اسبيشيال 5 كيلو</t>
        </is>
      </c>
      <c r="B68" s="5" t="n">
        <v>16</v>
      </c>
      <c r="C68" s="6" t="n">
        <v>390</v>
      </c>
      <c r="D68" s="6" t="n">
        <v>390</v>
      </c>
      <c r="E68" s="9">
        <f>IF(OR(C68="",D68=""),"",D68/C68-1)</f>
        <v/>
      </c>
      <c r="F68" s="5">
        <f>IF(D68="","",B68*D68)</f>
        <v/>
      </c>
      <c r="G68" s="4" t="inlineStr">
        <is>
          <t>خارج الوصفات التسع — آخر سعر متاح (أغسطس، ملف «-2»): خارج نطاق الوصفات التسع — سعر يوليو مُبقًى دون تحديث</t>
        </is>
      </c>
    </row>
    <row r="69">
      <c r="A69" s="4" t="inlineStr">
        <is>
          <t>عجينه مفروم صويا</t>
        </is>
      </c>
      <c r="B69" s="5" t="n">
        <v>0</v>
      </c>
      <c r="C69" s="6" t="n"/>
      <c r="D69" s="6" t="n"/>
      <c r="E69" s="9">
        <f>IF(OR(C69="",D69=""),"",D69/C69-1)</f>
        <v/>
      </c>
      <c r="F69" s="5">
        <f>IF(D69="","",B69*D69)</f>
        <v/>
      </c>
      <c r="G69" s="4" t="inlineStr">
        <is>
          <t>بلا وصفة ولا سعر سابق — يلزم توفير سعره</t>
        </is>
      </c>
    </row>
    <row r="70">
      <c r="A70" s="4" t="inlineStr">
        <is>
          <t>كبده اسبيشيال 400</t>
        </is>
      </c>
      <c r="B70" s="5" t="n">
        <v>0</v>
      </c>
      <c r="C70" s="6" t="n"/>
      <c r="D70" s="6" t="n"/>
      <c r="E70" s="9">
        <f>IF(OR(C70="",D70=""),"",D70/C70-1)</f>
        <v/>
      </c>
      <c r="F70" s="5">
        <f>IF(D70="","",B70*D70)</f>
        <v/>
      </c>
      <c r="G70" s="4" t="inlineStr">
        <is>
          <t>بلا وصفة ولا سعر سابق — يلزم توفير سعره</t>
        </is>
      </c>
    </row>
    <row r="71">
      <c r="A71" s="4" t="inlineStr">
        <is>
          <t>برجر مخصوص</t>
        </is>
      </c>
      <c r="B71" s="5" t="n">
        <v>0</v>
      </c>
      <c r="C71" s="6" t="n"/>
      <c r="D71" s="6" t="n"/>
      <c r="E71" s="9">
        <f>IF(OR(C71="",D71=""),"",D71/C71-1)</f>
        <v/>
      </c>
      <c r="F71" s="5">
        <f>IF(D71="","",B71*D71)</f>
        <v/>
      </c>
      <c r="G71" s="4" t="inlineStr">
        <is>
          <t>بلا وصفة ولا سعر سابق — يلزم توفير سعره</t>
        </is>
      </c>
    </row>
    <row r="72">
      <c r="A72" s="4" t="inlineStr">
        <is>
          <t>كفتة مخصوص</t>
        </is>
      </c>
      <c r="B72" s="5" t="n">
        <v>0</v>
      </c>
      <c r="C72" s="6" t="n"/>
      <c r="D72" s="6" t="n"/>
      <c r="E72" s="9">
        <f>IF(OR(C72="",D72=""),"",D72/C72-1)</f>
        <v/>
      </c>
      <c r="F72" s="5">
        <f>IF(D72="","",B72*D72)</f>
        <v/>
      </c>
      <c r="G72" s="4" t="inlineStr">
        <is>
          <t>بلا وصفة ولا سعر سابق — يلزم توفير سعره</t>
        </is>
      </c>
    </row>
    <row r="73">
      <c r="A73" s="4" t="inlineStr">
        <is>
          <t>سجق مخصوص 1ك</t>
        </is>
      </c>
      <c r="B73" s="5" t="n">
        <v>0</v>
      </c>
      <c r="C73" s="6" t="n"/>
      <c r="D73" s="6" t="n"/>
      <c r="E73" s="9">
        <f>IF(OR(C73="",D73=""),"",D73/C73-1)</f>
        <v/>
      </c>
      <c r="F73" s="5">
        <f>IF(D73="","",B73*D73)</f>
        <v/>
      </c>
      <c r="G73" s="4" t="inlineStr">
        <is>
          <t>بلا وصفة ولا سعر سابق — يلزم توفير سعره</t>
        </is>
      </c>
    </row>
    <row r="74">
      <c r="A74" s="4" t="inlineStr">
        <is>
          <t>عرض ثلاثي &lt;سجق برجر كفته 700جرام&gt;</t>
        </is>
      </c>
      <c r="B74" s="5" t="n">
        <v>0</v>
      </c>
      <c r="C74" s="6" t="n"/>
      <c r="D74" s="6" t="n"/>
      <c r="E74" s="9">
        <f>IF(OR(C74="",D74=""),"",D74/C74-1)</f>
        <v/>
      </c>
      <c r="F74" s="5">
        <f>IF(D74="","",B74*D74)</f>
        <v/>
      </c>
      <c r="G74" s="4" t="inlineStr">
        <is>
          <t>بلا وصفة ولا سعر سابق — يلزم توفير سعره</t>
        </is>
      </c>
    </row>
    <row r="75">
      <c r="A75" s="4" t="inlineStr">
        <is>
          <t>عجينه بقري اسبيشيال 500جرام</t>
        </is>
      </c>
      <c r="B75" s="5" t="n">
        <v>0</v>
      </c>
      <c r="C75" s="6" t="n"/>
      <c r="D75" s="6" t="n"/>
      <c r="E75" s="9">
        <f>IF(OR(C75="",D75=""),"",D75/C75-1)</f>
        <v/>
      </c>
      <c r="F75" s="5">
        <f>IF(D75="","",B75*D75)</f>
        <v/>
      </c>
      <c r="G75" s="4" t="inlineStr">
        <is>
          <t>بلا وصفة ولا سعر سابق — يلزم توفير سعره</t>
        </is>
      </c>
    </row>
    <row r="76">
      <c r="A76" s="4" t="inlineStr">
        <is>
          <t>بانيه 5كيلو حار</t>
        </is>
      </c>
      <c r="B76" s="5" t="n">
        <v>0</v>
      </c>
      <c r="C76" s="6" t="n"/>
      <c r="D76" s="6" t="n"/>
      <c r="E76" s="9">
        <f>IF(OR(C76="",D76=""),"",D76/C76-1)</f>
        <v/>
      </c>
      <c r="F76" s="5">
        <f>IF(D76="","",B76*D76)</f>
        <v/>
      </c>
      <c r="G76" s="4" t="inlineStr">
        <is>
          <t>بلا وصفة ولا سعر سابق — يلزم توفير سعره</t>
        </is>
      </c>
    </row>
    <row r="77">
      <c r="A77" s="4" t="inlineStr">
        <is>
          <t>عجينة بقرى 250ج</t>
        </is>
      </c>
      <c r="B77" s="5" t="n">
        <v>0</v>
      </c>
      <c r="C77" s="6" t="n"/>
      <c r="D77" s="6" t="n"/>
      <c r="E77" s="9">
        <f>IF(OR(C77="",D77=""),"",D77/C77-1)</f>
        <v/>
      </c>
      <c r="F77" s="5">
        <f>IF(D77="","",B77*D77)</f>
        <v/>
      </c>
      <c r="G77" s="4" t="inlineStr">
        <is>
          <t>بلا وصفة ولا سعر سابق — يلزم توفير سعره</t>
        </is>
      </c>
    </row>
    <row r="78">
      <c r="A78" s="4" t="inlineStr">
        <is>
          <t>مفروم صافى 5ك</t>
        </is>
      </c>
      <c r="B78" s="5" t="n">
        <v>0</v>
      </c>
      <c r="C78" s="6" t="n"/>
      <c r="D78" s="6" t="n"/>
      <c r="E78" s="9">
        <f>IF(OR(C78="",D78=""),"",D78/C78-1)</f>
        <v/>
      </c>
      <c r="F78" s="5">
        <f>IF(D78="","",B78*D78)</f>
        <v/>
      </c>
      <c r="G78" s="4" t="inlineStr">
        <is>
          <t>بلا وصفة ولا سعر سابق — يلزم توفير سعره</t>
        </is>
      </c>
    </row>
    <row r="79">
      <c r="A79" s="4" t="inlineStr">
        <is>
          <t>موزة فرخة</t>
        </is>
      </c>
      <c r="B79" s="5" t="n">
        <v>0</v>
      </c>
      <c r="C79" s="6" t="n"/>
      <c r="D79" s="6" t="n"/>
      <c r="E79" s="9">
        <f>IF(OR(C79="",D79=""),"",D79/C79-1)</f>
        <v/>
      </c>
      <c r="F79" s="5">
        <f>IF(D79="","",B79*D79)</f>
        <v/>
      </c>
      <c r="G79" s="4" t="inlineStr">
        <is>
          <t>بلا وصفة ولا سعر سابق — يلزم توفير سعره</t>
        </is>
      </c>
    </row>
    <row r="80">
      <c r="A80" s="4" t="inlineStr">
        <is>
          <t>بانيه بارد دوفا</t>
        </is>
      </c>
      <c r="B80" s="5" t="n">
        <v>0</v>
      </c>
      <c r="C80" s="6" t="n"/>
      <c r="D80" s="6" t="n"/>
      <c r="E80" s="9">
        <f>IF(OR(C80="",D80=""),"",D80/C80-1)</f>
        <v/>
      </c>
      <c r="F80" s="5">
        <f>IF(D80="","",B80*D80)</f>
        <v/>
      </c>
      <c r="G80" s="4" t="inlineStr">
        <is>
          <t>بلا وصفة ولا سعر سابق — يلزم توفير سعره</t>
        </is>
      </c>
    </row>
    <row r="81">
      <c r="A81" s="4" t="inlineStr">
        <is>
          <t>خام عجينة سجق أبو هاشم</t>
        </is>
      </c>
      <c r="B81" s="5" t="n">
        <v>0</v>
      </c>
      <c r="C81" s="6" t="n"/>
      <c r="D81" s="6" t="n"/>
      <c r="E81" s="9">
        <f>IF(OR(C81="",D81=""),"",D81/C81-1)</f>
        <v/>
      </c>
      <c r="F81" s="5">
        <f>IF(D81="","",B81*D81)</f>
        <v/>
      </c>
      <c r="G81" s="4" t="inlineStr">
        <is>
          <t>بلا وصفة ولا سعر سابق — يلزم توفير سعره</t>
        </is>
      </c>
    </row>
    <row r="82">
      <c r="A82" s="4" t="inlineStr">
        <is>
          <t>خام عجينة كفته أبو هاشم</t>
        </is>
      </c>
      <c r="B82" s="5" t="n">
        <v>0</v>
      </c>
      <c r="C82" s="6" t="n"/>
      <c r="D82" s="6" t="n"/>
      <c r="E82" s="9">
        <f>IF(OR(C82="",D82=""),"",D82/C82-1)</f>
        <v/>
      </c>
      <c r="F82" s="5">
        <f>IF(D82="","",B82*D82)</f>
        <v/>
      </c>
      <c r="G82" s="4" t="inlineStr">
        <is>
          <t>بلا وصفة ولا سعر سابق — يلزم توفير سعره</t>
        </is>
      </c>
    </row>
    <row r="83">
      <c r="A83" s="4" t="inlineStr">
        <is>
          <t>خام عجينة برجر أبو هاشم</t>
        </is>
      </c>
      <c r="B83" s="5" t="n">
        <v>0</v>
      </c>
      <c r="C83" s="6" t="n"/>
      <c r="D83" s="6" t="n"/>
      <c r="E83" s="9">
        <f>IF(OR(C83="",D83=""),"",D83/C83-1)</f>
        <v/>
      </c>
      <c r="F83" s="5">
        <f>IF(D83="","",B83*D83)</f>
        <v/>
      </c>
      <c r="G83" s="4" t="inlineStr">
        <is>
          <t>بلا وصفة ولا سعر سابق — يلزم توفير سعره</t>
        </is>
      </c>
    </row>
    <row r="84">
      <c r="A84" s="4" t="inlineStr">
        <is>
          <t>خام مفروم صافى 5ك</t>
        </is>
      </c>
      <c r="B84" s="5" t="n">
        <v>0</v>
      </c>
      <c r="C84" s="6" t="n"/>
      <c r="D84" s="6" t="n"/>
      <c r="E84" s="9">
        <f>IF(OR(C84="",D84=""),"",D84/C84-1)</f>
        <v/>
      </c>
      <c r="F84" s="5">
        <f>IF(D84="","",B84*D84)</f>
        <v/>
      </c>
      <c r="G84" s="4" t="inlineStr">
        <is>
          <t>بلا وصفة ولا سعر سابق — يلزم توفير سعره</t>
        </is>
      </c>
    </row>
    <row r="85">
      <c r="A85" s="4" t="inlineStr">
        <is>
          <t>خام عجينة برجر اسبيشيال</t>
        </is>
      </c>
      <c r="B85" s="5" t="n">
        <v>0</v>
      </c>
      <c r="C85" s="6" t="n"/>
      <c r="D85" s="6" t="n"/>
      <c r="E85" s="9">
        <f>IF(OR(C85="",D85=""),"",D85/C85-1)</f>
        <v/>
      </c>
      <c r="F85" s="5">
        <f>IF(D85="","",B85*D85)</f>
        <v/>
      </c>
      <c r="G85" s="4" t="inlineStr">
        <is>
          <t>بلا وصفة ولا سعر سابق — يلزم توفير سعره</t>
        </is>
      </c>
    </row>
    <row r="86">
      <c r="A86" s="4" t="inlineStr">
        <is>
          <t>خاج عجينة كفته اسبيشيال</t>
        </is>
      </c>
      <c r="B86" s="5" t="n">
        <v>0</v>
      </c>
      <c r="C86" s="6" t="n"/>
      <c r="D86" s="6" t="n"/>
      <c r="E86" s="9">
        <f>IF(OR(C86="",D86=""),"",D86/C86-1)</f>
        <v/>
      </c>
      <c r="F86" s="5">
        <f>IF(D86="","",B86*D86)</f>
        <v/>
      </c>
      <c r="G86" s="4" t="inlineStr">
        <is>
          <t>بلا وصفة ولا سعر سابق — يلزم توفير سعره</t>
        </is>
      </c>
    </row>
    <row r="87">
      <c r="A87" s="4" t="inlineStr">
        <is>
          <t>خام مفروم اسبيشيال</t>
        </is>
      </c>
      <c r="B87" s="5" t="n">
        <v>0</v>
      </c>
      <c r="C87" s="6" t="n"/>
      <c r="D87" s="6" t="n"/>
      <c r="E87" s="9">
        <f>IF(OR(C87="",D87=""),"",D87/C87-1)</f>
        <v/>
      </c>
      <c r="F87" s="5">
        <f>IF(D87="","",B87*D87)</f>
        <v/>
      </c>
      <c r="G87" s="4" t="inlineStr">
        <is>
          <t>بلا وصفة ولا سعر سابق — يلزم توفير سعره</t>
        </is>
      </c>
    </row>
    <row r="88">
      <c r="A88" s="4" t="inlineStr">
        <is>
          <t>خام عجينه بقري اسبيشيال</t>
        </is>
      </c>
      <c r="B88" s="5" t="n">
        <v>0</v>
      </c>
      <c r="C88" s="6" t="n"/>
      <c r="D88" s="6" t="n"/>
      <c r="E88" s="9">
        <f>IF(OR(C88="",D88=""),"",D88/C88-1)</f>
        <v/>
      </c>
      <c r="F88" s="5">
        <f>IF(D88="","",B88*D88)</f>
        <v/>
      </c>
      <c r="G88" s="4" t="inlineStr">
        <is>
          <t>بلا وصفة ولا سعر سابق — يلزم توفير سعره</t>
        </is>
      </c>
    </row>
    <row r="89">
      <c r="A89" s="4" t="inlineStr">
        <is>
          <t>خام عجينه مفروم صويا</t>
        </is>
      </c>
      <c r="B89" s="5" t="n">
        <v>0</v>
      </c>
      <c r="C89" s="6" t="n"/>
      <c r="D89" s="6" t="n"/>
      <c r="E89" s="9">
        <f>IF(OR(C89="",D89=""),"",D89/C89-1)</f>
        <v/>
      </c>
      <c r="F89" s="5">
        <f>IF(D89="","",B89*D89)</f>
        <v/>
      </c>
      <c r="G89" s="4" t="inlineStr">
        <is>
          <t>بلا وصفة ولا سعر سابق — يلزم توفير سعره</t>
        </is>
      </c>
    </row>
    <row r="90">
      <c r="A90" s="4" t="inlineStr">
        <is>
          <t>خام عجينه سجق اسبيشيال</t>
        </is>
      </c>
      <c r="B90" s="5" t="n">
        <v>0</v>
      </c>
      <c r="C90" s="6" t="n"/>
      <c r="D90" s="6" t="n"/>
      <c r="E90" s="9">
        <f>IF(OR(C90="",D90=""),"",D90/C90-1)</f>
        <v/>
      </c>
      <c r="F90" s="5">
        <f>IF(D90="","",B90*D90)</f>
        <v/>
      </c>
      <c r="G90" s="4" t="inlineStr">
        <is>
          <t>بلا وصفة ولا سعر سابق — يلزم توفير سعره</t>
        </is>
      </c>
    </row>
    <row r="91">
      <c r="A91" s="4" t="inlineStr">
        <is>
          <t>خام مفروم صويا الهنا</t>
        </is>
      </c>
      <c r="B91" s="5" t="n">
        <v>0</v>
      </c>
      <c r="C91" s="6" t="n"/>
      <c r="D91" s="6" t="n"/>
      <c r="E91" s="9">
        <f>IF(OR(C91="",D91=""),"",D91/C91-1)</f>
        <v/>
      </c>
      <c r="F91" s="5">
        <f>IF(D91="","",B91*D91)</f>
        <v/>
      </c>
      <c r="G91" s="4" t="inlineStr">
        <is>
          <t>بلا وصفة ولا سعر سابق — يلزم توفير سعره</t>
        </is>
      </c>
    </row>
    <row r="92">
      <c r="A92" s="4" t="inlineStr">
        <is>
          <t>خام عجينة برجر الهنا</t>
        </is>
      </c>
      <c r="B92" s="5" t="n">
        <v>0</v>
      </c>
      <c r="C92" s="6" t="n"/>
      <c r="D92" s="6" t="n"/>
      <c r="E92" s="9">
        <f>IF(OR(C92="",D92=""),"",D92/C92-1)</f>
        <v/>
      </c>
      <c r="F92" s="5">
        <f>IF(D92="","",B92*D92)</f>
        <v/>
      </c>
      <c r="G92" s="4" t="inlineStr">
        <is>
          <t>بلا وصفة ولا سعر سابق — يلزم توفير سعره</t>
        </is>
      </c>
    </row>
    <row r="93">
      <c r="A93" s="4" t="inlineStr">
        <is>
          <t>خام عجينة كفته الهنا</t>
        </is>
      </c>
      <c r="B93" s="5" t="n">
        <v>0</v>
      </c>
      <c r="C93" s="6" t="n"/>
      <c r="D93" s="6" t="n"/>
      <c r="E93" s="9">
        <f>IF(OR(C93="",D93=""),"",D93/C93-1)</f>
        <v/>
      </c>
      <c r="F93" s="5">
        <f>IF(D93="","",B93*D93)</f>
        <v/>
      </c>
      <c r="G93" s="4" t="inlineStr">
        <is>
          <t>بلا وصفة ولا سعر سابق — يلزم توفير سعره</t>
        </is>
      </c>
    </row>
    <row r="94">
      <c r="A94" s="4" t="inlineStr">
        <is>
          <t>خام عجينة سجق الهنا</t>
        </is>
      </c>
      <c r="B94" s="5" t="n">
        <v>0</v>
      </c>
      <c r="C94" s="6" t="n"/>
      <c r="D94" s="6" t="n"/>
      <c r="E94" s="9">
        <f>IF(OR(C94="",D94=""),"",D94/C94-1)</f>
        <v/>
      </c>
      <c r="F94" s="5">
        <f>IF(D94="","",B94*D94)</f>
        <v/>
      </c>
      <c r="G94" s="4" t="inlineStr">
        <is>
          <t>بلا وصفة ولا سعر سابق — يلزم توفير سعره</t>
        </is>
      </c>
    </row>
    <row r="95">
      <c r="A95" s="4" t="inlineStr">
        <is>
          <t>كفته أبو هاشم 2 ك</t>
        </is>
      </c>
      <c r="B95" s="5" t="n">
        <v>0</v>
      </c>
      <c r="C95" s="6" t="n"/>
      <c r="D95" s="6">
        <f>ROUND(2*'سعر الكجم من الوصفات'!F5+0,4)</f>
        <v/>
      </c>
      <c r="E95" s="9">
        <f>IF(OR(C95="",D95=""),"",D95/C95-1)</f>
        <v/>
      </c>
      <c r="F95" s="5">
        <f>IF(D95="","",B95*D95)</f>
        <v/>
      </c>
      <c r="G95" s="4" t="inlineStr">
        <is>
          <t>من وصفة «كفته ابوهاشم»: 2 كجم × سعر كجم سبتمبر بدون تكلفة تعبئة (غير محددة بالوصفة) | مؤقت: الوصفة تستخدم مفروم الفراخ بسعر أغسطس لحين حسم الفاتورة</t>
        </is>
      </c>
    </row>
    <row r="96">
      <c r="A96" s="4" t="inlineStr">
        <is>
          <t>لحمة قطع كيلو أبو هاشم</t>
        </is>
      </c>
      <c r="B96" s="5" t="n">
        <v>0</v>
      </c>
      <c r="C96" s="6" t="n"/>
      <c r="D96" s="6" t="n"/>
      <c r="E96" s="9">
        <f>IF(OR(C96="",D96=""),"",D96/C96-1)</f>
        <v/>
      </c>
      <c r="F96" s="5">
        <f>IF(D96="","",B96*D96)</f>
        <v/>
      </c>
      <c r="G96" s="4" t="inlineStr">
        <is>
          <t>بلا وصفة ولا سعر سابق — يلزم توفير سعره</t>
        </is>
      </c>
    </row>
    <row r="97">
      <c r="A97" s="4" t="inlineStr">
        <is>
          <t>كبده اسبيشيال 3 ك</t>
        </is>
      </c>
      <c r="B97" s="5" t="n">
        <v>0</v>
      </c>
      <c r="C97" s="6" t="n"/>
      <c r="D97" s="6" t="n"/>
      <c r="E97" s="9">
        <f>IF(OR(C97="",D97=""),"",D97/C97-1)</f>
        <v/>
      </c>
      <c r="F97" s="5">
        <f>IF(D97="","",B97*D97)</f>
        <v/>
      </c>
      <c r="G97" s="4" t="inlineStr">
        <is>
          <t>بلا وصفة ولا سعر سابق — يلزم توفير سعره</t>
        </is>
      </c>
    </row>
    <row r="98">
      <c r="A98" s="4" t="inlineStr">
        <is>
          <t>بفتيك 600</t>
        </is>
      </c>
      <c r="B98" s="5" t="n">
        <v>0</v>
      </c>
      <c r="C98" s="6" t="n"/>
      <c r="D98" s="6" t="n"/>
      <c r="E98" s="9">
        <f>IF(OR(C98="",D98=""),"",D98/C98-1)</f>
        <v/>
      </c>
      <c r="F98" s="5">
        <f>IF(D98="","",B98*D98)</f>
        <v/>
      </c>
      <c r="G98" s="4" t="inlineStr">
        <is>
          <t>بلا وصفة ولا سعر سابق — يلزم توفير سعره</t>
        </is>
      </c>
    </row>
    <row r="99">
      <c r="A99" s="4" t="inlineStr">
        <is>
          <t>عجينة كفته الهنا الـ5 ك</t>
        </is>
      </c>
      <c r="B99" s="5" t="n">
        <v>0</v>
      </c>
      <c r="C99" s="6" t="n">
        <v>132.4243</v>
      </c>
      <c r="D99" s="6">
        <f>ROUND(5*'سعر الكجم من الوصفات'!F12+14.26,4)</f>
        <v/>
      </c>
      <c r="E99" s="9">
        <f>IF(OR(C99="",D99=""),"",D99/C99-1)</f>
        <v/>
      </c>
      <c r="F99" s="5">
        <f>IF(D99="","",B99*D99)</f>
        <v/>
      </c>
      <c r="G99" s="4" t="inlineStr">
        <is>
          <t>من وصفة «كفته الهنا»: 5 كجم × سعر كجم سبتمبر + تعبئة 14.26 ج.م | مؤقت: الوصفة تستخدم مفروم الفراخ بسعر أغسطس لحين حسم الفاتورة</t>
        </is>
      </c>
    </row>
    <row r="100">
      <c r="A100" s="4" t="inlineStr">
        <is>
          <t>عجينة بقري 1 ك</t>
        </is>
      </c>
      <c r="B100" s="5" t="n">
        <v>0</v>
      </c>
      <c r="C100" s="6" t="n"/>
      <c r="D100" s="6" t="n"/>
      <c r="E100" s="9">
        <f>IF(OR(C100="",D100=""),"",D100/C100-1)</f>
        <v/>
      </c>
      <c r="F100" s="5">
        <f>IF(D100="","",B100*D100)</f>
        <v/>
      </c>
      <c r="G100" s="4" t="inlineStr">
        <is>
          <t>بلا وصفة ولا سعر سابق — يلزم توفير سعره</t>
        </is>
      </c>
    </row>
    <row r="101">
      <c r="A101" s="4" t="inlineStr">
        <is>
          <t>عجينة بقري 3 ك</t>
        </is>
      </c>
      <c r="B101" s="5" t="n">
        <v>0</v>
      </c>
      <c r="C101" s="6" t="n"/>
      <c r="D101" s="6" t="n"/>
      <c r="E101" s="9">
        <f>IF(OR(C101="",D101=""),"",D101/C101-1)</f>
        <v/>
      </c>
      <c r="F101" s="5">
        <f>IF(D101="","",B101*D101)</f>
        <v/>
      </c>
      <c r="G101" s="4" t="inlineStr">
        <is>
          <t>بلا وصفة ولا سعر سابق — يلزم توفير سعره</t>
        </is>
      </c>
    </row>
    <row r="102">
      <c r="A102" s="4" t="inlineStr">
        <is>
          <t>استبربس GB 2</t>
        </is>
      </c>
      <c r="B102" s="5" t="n">
        <v>0</v>
      </c>
      <c r="C102" s="6" t="n">
        <v>100</v>
      </c>
      <c r="D102" s="6" t="n">
        <v>100</v>
      </c>
      <c r="E102" s="9">
        <f>IF(OR(C102="",D102=""),"",D102/C102-1)</f>
        <v/>
      </c>
      <c r="F102" s="5">
        <f>IF(D102="","",B102*D102)</f>
        <v/>
      </c>
      <c r="G102" s="4" t="inlineStr">
        <is>
          <t>خارج الوصفات التسع — آخر سعر متاح (أغسطس، ملف «-2»): خارج نطاق الوصفات التسع — سعر يوليو مُبقًى دون تحديث</t>
        </is>
      </c>
    </row>
    <row r="103">
      <c r="A103" s="4" t="inlineStr">
        <is>
          <t>استربس الهنا 900</t>
        </is>
      </c>
      <c r="B103" s="5" t="n">
        <v>0</v>
      </c>
      <c r="C103" s="6" t="n"/>
      <c r="D103" s="6" t="n">
        <v>136</v>
      </c>
      <c r="E103" s="9">
        <f>IF(OR(C103="",D103=""),"",D103/C103-1)</f>
        <v/>
      </c>
      <c r="F103" s="5">
        <f>IF(D103="","",B103*D103)</f>
        <v/>
      </c>
      <c r="G103" s="4" t="inlineStr">
        <is>
          <t>خارج الوصفات التسع — آخر سعر متاح (يوليو)</t>
        </is>
      </c>
    </row>
    <row r="104">
      <c r="A104" s="4" t="inlineStr">
        <is>
          <t>بانيه 1 ك</t>
        </is>
      </c>
      <c r="B104" s="5" t="n">
        <v>0</v>
      </c>
      <c r="C104" s="6" t="n">
        <v>51.8686</v>
      </c>
      <c r="D104" s="6" t="n">
        <v>51.8686</v>
      </c>
      <c r="E104" s="9">
        <f>IF(OR(C104="",D104=""),"",D104/C104-1)</f>
        <v/>
      </c>
      <c r="F104" s="5">
        <f>IF(D104="","",B104*D104)</f>
        <v/>
      </c>
      <c r="G104" s="4" t="inlineStr">
        <is>
          <t>خارج الوصفات التسع — آخر سعر متاح (أغسطس، ملف «-2»): سعر كيلو الخلطة كما هو بملف «خلطة بانيه 28-8-2026.pdf» (بلا تغليف أو عمولة) | صنف لم يكن م</t>
        </is>
      </c>
    </row>
    <row r="105">
      <c r="A105" s="4" t="inlineStr">
        <is>
          <t>استربس 1kg</t>
        </is>
      </c>
      <c r="B105" s="5" t="n">
        <v>0</v>
      </c>
      <c r="C105" s="6" t="n">
        <v>137.1257</v>
      </c>
      <c r="D105" s="6" t="n">
        <v>137.1257</v>
      </c>
      <c r="E105" s="9">
        <f>IF(OR(C105="",D105=""),"",D105/C105-1)</f>
        <v/>
      </c>
      <c r="F105" s="5">
        <f>IF(D105="","",B105*D105)</f>
        <v/>
      </c>
      <c r="G105" s="4" t="inlineStr">
        <is>
          <t>خارج الوصفات التسع — آخر سعر متاح (أغسطس، ملف «-2»): سعر كيلو الخلطة كما هو بملف «خلطه استربس 28-8-2026.pdf» (بلا تغليف أو عمولة) | صنف لم يكن  | نفس صنف «استربس 1 ك»</t>
        </is>
      </c>
    </row>
    <row r="107">
      <c r="A107" s="12" t="inlineStr">
        <is>
          <t>إجمالى قيمة مخزون المنتج التام آخر سبتمبر (الأصناف المُسعّرة)</t>
        </is>
      </c>
      <c r="F107" s="13">
        <f>SUM(F4:F105)</f>
        <v/>
      </c>
    </row>
    <row r="109">
      <c r="A109" s="12" t="inlineStr">
        <is>
          <t>إجمالى قيمة المخزون الكلى آخر سبتمبر (خامات + منتج تام)</t>
        </is>
      </c>
      <c r="F109" s="13">
        <f>F107+'احتساب متوسط سبتمبر'!L171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1" t="inlineStr">
        <is>
          <t>صنفا الفراخ المفرومة — بيانات شراء متعارضة (السعر بملف سبتمبر تُرك كما هو)</t>
        </is>
      </c>
    </row>
    <row r="3" ht="42" customHeight="1">
      <c r="A3" s="3" t="inlineStr">
        <is>
          <t>القراءة</t>
        </is>
      </c>
      <c r="B3" s="3" t="inlineStr">
        <is>
          <t>مفروم فراخ شعبي</t>
        </is>
      </c>
      <c r="C3" s="3" t="inlineStr">
        <is>
          <t>مفروم فراخ فاخر</t>
        </is>
      </c>
    </row>
    <row r="4">
      <c r="A4" s="4" t="inlineStr">
        <is>
          <t>متوسط سبتمبر — كما سُجّلت بالتقرير</t>
        </is>
      </c>
      <c r="B4" s="6" t="n">
        <v>35.6294</v>
      </c>
      <c r="C4" s="6" t="n">
        <v>50.3771</v>
      </c>
    </row>
    <row r="5">
      <c r="A5" s="4" t="inlineStr">
        <is>
          <t>متوسط سبتمبر — باستبعاد الفاتورة 1111115217</t>
        </is>
      </c>
      <c r="B5" s="6" t="n">
        <v>32.1107</v>
      </c>
      <c r="C5" s="6" t="n">
        <v>58.2481</v>
      </c>
    </row>
    <row r="6">
      <c r="A6" s="4" t="inlineStr">
        <is>
          <t>متوسط سبتمبر — بعكس سعرَى الفاتورة (C=30، A=57)</t>
        </is>
      </c>
      <c r="B6" s="6" t="n">
        <v>31.8123</v>
      </c>
      <c r="C6" s="6" t="n">
        <v>57.9003</v>
      </c>
    </row>
    <row r="7">
      <c r="A7" s="4" t="inlineStr">
        <is>
          <t>متوسط أغسطس (للمقارنة)</t>
        </is>
      </c>
      <c r="B7" s="6" t="n">
        <v>28.386</v>
      </c>
      <c r="C7" s="6" t="n">
        <v>55.082</v>
      </c>
    </row>
    <row r="8">
      <c r="A8" s="4" t="inlineStr">
        <is>
          <t>السعر الموجود بملف سبتمبر (تُرك)</t>
        </is>
      </c>
      <c r="B8" s="6" t="n">
        <v>30</v>
      </c>
      <c r="C8" s="6" t="n">
        <v>60</v>
      </c>
    </row>
    <row r="9">
      <c r="A9" s="4" t="inlineStr">
        <is>
          <t>كمية جرد 30/9</t>
        </is>
      </c>
      <c r="B9" s="5" t="n">
        <v>860</v>
      </c>
      <c r="C9" s="5" t="n">
        <v>370</v>
      </c>
    </row>
    <row r="11" ht="48" customHeight="1">
      <c r="A11" s="4" t="inlineStr">
        <is>
          <t>فاتورة 1111115217 (09/09): «مفروم فراخ C» 1,500 كجم بسعر 57 بينما نطاق الرتبة C 30–35، وفى نفس الفاتورة «مفروم فراخ A» بسعر 30 بينما نطاق A 55–60 — السعران يبدوان معكوسين</t>
        </is>
      </c>
      <c r="B11" s="26" t="n"/>
      <c r="C11" s="27" t="n"/>
    </row>
  </sheetData>
  <mergeCells count="2">
    <mergeCell ref="A1:C1"/>
    <mergeCell ref="A11:C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المطابقة النهائية — كل فحص يجب أن يكون الفرق صفرًا</t>
        </is>
      </c>
    </row>
    <row r="3" ht="42" customHeight="1">
      <c r="A3" s="3" t="inlineStr">
        <is>
          <t>الفحص</t>
        </is>
      </c>
      <c r="B3" s="3" t="inlineStr">
        <is>
          <t>القيمة المحسوبة</t>
        </is>
      </c>
      <c r="C3" s="3" t="inlineStr">
        <is>
          <t>القيمة المرجعية</t>
        </is>
      </c>
      <c r="D3" s="3" t="inlineStr">
        <is>
          <t>الفرق</t>
        </is>
      </c>
      <c r="E3" s="3" t="inlineStr">
        <is>
          <t>النتيجة</t>
        </is>
      </c>
    </row>
    <row r="4">
      <c r="A4" s="4" t="inlineStr">
        <is>
          <t>إجمالى أسطر مشتريات سبتمبر = الإجمالى المطبوع بالتقرير</t>
        </is>
      </c>
      <c r="B4" s="5">
        <f>'مشتريات سبتمبر التفصيلية'!H94</f>
        <v/>
      </c>
      <c r="C4" s="5">
        <f>'مشتريات سبتمبر التفصيلية'!H95</f>
        <v/>
      </c>
      <c r="D4" s="5">
        <f>B4-C4</f>
        <v/>
      </c>
      <c r="E4" s="20">
        <f>IF(ABS(D4)&lt;=0.005,"✔ مطابق","✘ فرق")</f>
        <v/>
      </c>
    </row>
    <row r="5">
      <c r="A5" s="4" t="inlineStr">
        <is>
          <t>المشتريات المحمّلة على الأصناف + المجمّع + المستبعدة = إجمالى المشتريات</t>
        </is>
      </c>
      <c r="B5" s="5">
        <f>'احتساب متوسط سبتمبر'!F171+'احتساب متوسط سبتمبر'!F174+'مشتريات سبتمبر التفصيلية'!H96</f>
        <v/>
      </c>
      <c r="C5" s="5">
        <f>'مشتريات سبتمبر التفصيلية'!H94</f>
        <v/>
      </c>
      <c r="D5" s="5">
        <f>B5-C5</f>
        <v/>
      </c>
      <c r="E5" s="20">
        <f>IF(ABS(D5)&lt;=0.005,"✔ مطابق","✘ فرق")</f>
        <v/>
      </c>
    </row>
    <row r="6">
      <c r="A6" s="4" t="inlineStr">
        <is>
          <t>قيمة أول المدة بورقة الاحتساب = قيمة أصناف جرد 31/8 المنقولة لسبتمبر</t>
        </is>
      </c>
      <c r="B6" s="5">
        <f>'احتساب متوسط سبتمبر'!D171</f>
        <v/>
      </c>
      <c r="C6" s="5">
        <f>N('رصيد أول المدة (31-8)'!F5)+N('رصيد أول المدة (31-8)'!F6)+N('رصيد أول المدة (31-8)'!F7)+N('رصيد أول المدة (31-8)'!F8)+N('رصيد أول المدة (31-8)'!F9)+N('رصيد أول المدة (31-8)'!F10)+N('رصيد أول المدة (31-8)'!F11)+N('رصيد أول المدة (31-8)'!F12)+N('رصيد أول المدة (31-8)'!F13)+N('رصيد أول المدة (31-8)'!F14)+N('رصيد أول المدة (31-8)'!F15)+N('رصيد أول المدة (31-8)'!F16)+N('رصيد أول المدة (31-8)'!F17)+N('رصيد أول المدة (31-8)'!F18)+N('رصيد أول المدة (31-8)'!F19)+N('رصيد أول المدة (31-8)'!F20)+N('رصيد أول المدة (31-8)'!F21)+N('رصيد أول المدة (31-8)'!F22)+N('رصيد أول المدة (31-8)'!F23)+N('رصيد أول المدة (31-8)'!F24)+N('رصيد أول المدة (31-8)'!F25)+N('رصيد أول المدة (31-8)'!F26)+N('رصيد أول المدة (31-8)'!F27)+N('رصيد أول المدة (31-8)'!F28)+N('رصيد أول المدة (31-8)'!F29)+N('رصيد أول المدة (31-8)'!F30)+N('رصيد أول المدة (31-8)'!F31)+N('رصيد أول المدة (31-8)'!F32)+N('رصيد أول المدة (31-8)'!F33)+N('رصيد أول المدة (31-8)'!F34)+N('رصيد أول المدة (31-8)'!F35)+N('رصيد أول المدة (31-8)'!F36)+N('رصيد أول المدة (31-8)'!F37)+N('رصيد أول المدة (31-8)'!F38)+N('رصيد أول المدة (31-8)'!F39)+N('رصيد أول المدة (31-8)'!F40)+N('رصيد أول المدة (31-8)'!F41)+N('رصيد أول المدة (31-8)'!F42)+N('رصيد أول المدة (31-8)'!F43)+N('رصيد أول المدة (31-8)'!F44)+N('رصيد أول المدة (31-8)'!F45)+N('رصيد أول المدة (31-8)'!F46)+N('رصيد أول المدة (31-8)'!F47)+N('رصيد أول المدة (31-8)'!F48)+N('رصيد أول المدة (31-8)'!F49)+N('رصيد أول المدة (31-8)'!F50)+N('رصيد أول المدة (31-8)'!F51)+N('رصيد أول المدة (31-8)'!F52)+N('رصيد أول المدة (31-8)'!F53)+N('رصيد أول المدة (31-8)'!F54)+N('رصيد أول المدة (31-8)'!F55)+N('رصيد أول المدة (31-8)'!F56)+N('رصيد أول المدة (31-8)'!F57)+N('رصيد أول المدة (31-8)'!F58)+N('رصيد أول المدة (31-8)'!F59)+N('رصيد أول المدة (31-8)'!F60)+N('رصيد أول المدة (31-8)'!F61)+N('رصيد أول المدة (31-8)'!F62)+N('رصيد أول المدة (31-8)'!F63)+N('رصيد أول المدة (31-8)'!F64)+N('رصيد أول المدة (31-8)'!F65)+N('رصيد أول المدة (31-8)'!F66)+N('رصيد أول المدة (31-8)'!F67)+N('رصيد أول المدة (31-8)'!F68)+N('رصيد أول المدة (31-8)'!F69)+N('رصيد أول المدة (31-8)'!F70)+N('رصيد أول المدة (31-8)'!F71)+N('رصيد أول المدة (31-8)'!F72)+N('رصيد أول المدة (31-8)'!F73)+N('رصيد أول المدة (31-8)'!F74)+N('رصيد أول المدة (31-8)'!F75)+N('رصيد أول المدة (31-8)'!F76)+N('رصيد أول المدة (31-8)'!F77)+N('رصيد أول المدة (31-8)'!F78)+N('رصيد أول المدة (31-8)'!F79)+N('رصيد أول المدة (31-8)'!F80)+N('رصيد أول المدة (31-8)'!F81)+N('رصيد أول المدة (31-8)'!F82)+N('رصيد أول المدة (31-8)'!F83)+N('رصيد أول المدة (31-8)'!F84)+N('رصيد أول المدة (31-8)'!F85)+N('رصيد أول المدة (31-8)'!F86)+N('رصيد أول المدة (31-8)'!F87)+N('رصيد أول المدة (31-8)'!F88)+N('رصيد أول المدة (31-8)'!F89)+N('رصيد أول المدة (31-8)'!F90)+N('رصيد أول المدة (31-8)'!F91)+N('رصيد أول المدة (31-8)'!F92)+N('رصيد أول المدة (31-8)'!F93)+N('رصيد أول المدة (31-8)'!F94)+N('رصيد أول المدة (31-8)'!F95)+N('رصيد أول المدة (31-8)'!F96)+N('رصيد أول المدة (31-8)'!F97)+N('رصيد أول المدة (31-8)'!F98)+N('رصيد أول المدة (31-8)'!F99)+N('رصيد أول المدة (31-8)'!F100)+N('رصيد أول المدة (31-8)'!F101)+N('رصيد أول المدة (31-8)'!F102)+N('رصيد أول المدة (31-8)'!F103)+N('رصيد أول المدة (31-8)'!F104)+N('رصيد أول المدة (31-8)'!F105)+N('رصيد أول المدة (31-8)'!F106)+N('رصيد أول المدة (31-8)'!F107)+N('رصيد أول المدة (31-8)'!F108)+N('رصيد أول المدة (31-8)'!F109)+N('رصيد أول المدة (31-8)'!F110)+N('رصيد أول المدة (31-8)'!F111)+N('رصيد أول المدة (31-8)'!F112)+N('رصيد أول المدة (31-8)'!F113)+N('رصيد أول المدة (31-8)'!F143)+N('رصيد أول المدة (31-8)'!F114)+N('رصيد أول المدة (31-8)'!F115)+N('رصيد أول المدة (31-8)'!F116)+N('رصيد أول المدة (31-8)'!F117)+N('رصيد أول المدة (31-8)'!F118)+N('رصيد أول المدة (31-8)'!F119)+N('رصيد أول المدة (31-8)'!F120)+N('رصيد أول المدة (31-8)'!F121)+N('رصيد أول المدة (31-8)'!F123)+N('رصيد أول المدة (31-8)'!F124)+N('رصيد أول المدة (31-8)'!F125)+N('رصيد أول المدة (31-8)'!F126)+N('رصيد أول المدة (31-8)'!F127)+N('رصيد أول المدة (31-8)'!F128)+N('رصيد أول المدة (31-8)'!F129)+N('رصيد أول المدة (31-8)'!F130)+N('رصيد أول المدة (31-8)'!F131)+N('رصيد أول المدة (31-8)'!F132)+N('رصيد أول المدة (31-8)'!F133)+N('رصيد أول المدة (31-8)'!F134)+N('رصيد أول المدة (31-8)'!F135)+N('رصيد أول المدة (31-8)'!F136)+N('رصيد أول المدة (31-8)'!F137)+N('رصيد أول المدة (31-8)'!F138)+N('رصيد أول المدة (31-8)'!F140)+N('رصيد أول المدة (31-8)'!F139)+N('رصيد أول المدة (31-8)'!F146)+N('رصيد أول المدة (31-8)'!F151)+N('رصيد أول المدة (31-8)'!F147)+N('رصيد أول المدة (31-8)'!F148)+N('رصيد أول المدة (31-8)'!F149)+N('رصيد أول المدة (31-8)'!F150)+N('رصيد أول المدة (31-8)'!F141)+N('رصيد أول المدة (31-8)'!F142)+N('رصيد أول المدة (31-8)'!F144)+N('رصيد أول المدة (31-8)'!F152)+N('رصيد أول المدة (31-8)'!F145)</f>
        <v/>
      </c>
      <c r="D6" s="5">
        <f>B6-C6</f>
        <v/>
      </c>
      <c r="E6" s="20">
        <f>IF(ABS(D6)&lt;=0.005,"✔ مطابق","✘ فرق")</f>
        <v/>
      </c>
    </row>
    <row r="7">
      <c r="A7" s="4" t="inlineStr">
        <is>
          <t>قيمة مخزون الخامات 30/9 = Σ (كمية جرد 30/9 × السعر المُدخل بالملف)</t>
        </is>
      </c>
      <c r="B7" s="5">
        <f>'احتساب متوسط سبتمبر'!L171</f>
        <v/>
      </c>
      <c r="C7" s="5">
        <f>SUMPRODUCT('احتساب متوسط سبتمبر'!K5:K169,'احتساب متوسط سبتمبر'!J5:J169)</f>
        <v/>
      </c>
      <c r="D7" s="5">
        <f>B7-C7</f>
        <v/>
      </c>
      <c r="E7" s="20">
        <f>IF(ABS(D7)&lt;=0.01,"✔ مطابق","✘ فرق")</f>
        <v/>
      </c>
    </row>
    <row r="8">
      <c r="A8" s="4" t="inlineStr">
        <is>
          <t>أسعار ملف «تسعير جرد اخر شهر ٩» = الاحتساب المستقل (عدد الأصناف)</t>
        </is>
      </c>
      <c r="B8" s="5" t="n">
        <v>165</v>
      </c>
      <c r="C8" s="5" t="n">
        <v>165</v>
      </c>
      <c r="D8" s="5" t="n">
        <v>0</v>
      </c>
      <c r="E8" s="4" t="inlineStr">
        <is>
          <t>✔ مطابق</t>
        </is>
      </c>
    </row>
    <row r="9">
      <c r="A9" s="4" t="inlineStr">
        <is>
          <t>قيمة مخزون الخامات بملف سبتمبر بعد إعادة الاحتساب (Σ عمود القيمة)</t>
        </is>
      </c>
      <c r="B9" s="5" t="n">
        <v>2202045.11</v>
      </c>
      <c r="C9" s="5" t="n">
        <v>2202045.11</v>
      </c>
      <c r="D9" s="5" t="n">
        <v>0</v>
      </c>
      <c r="E9" s="4" t="inlineStr">
        <is>
          <t>✔ مطابق</t>
        </is>
      </c>
    </row>
    <row r="10">
      <c r="A10" s="4" t="inlineStr">
        <is>
          <t>قيمة جرد 31/8 المعدَّل × متوسط أغسطس = إجمالى ملف «-2» + أثر فروق الكميات بينهما (-19,014.85، أغلبه «زيت سيارات» 2 بالجرد مقابل 16 بملف «-2»)</t>
        </is>
      </c>
      <c r="B10" s="5" t="n">
        <v>2642846.25</v>
      </c>
      <c r="C10" s="5" t="n">
        <v>2642846.24</v>
      </c>
      <c r="D10" s="5" t="n">
        <v>0.009999999776482582</v>
      </c>
      <c r="E10" s="4" t="inlineStr">
        <is>
          <t>✔ مطابق</t>
        </is>
      </c>
    </row>
    <row r="11">
      <c r="A11" s="4" t="inlineStr">
        <is>
          <t>أصناف جرد 31/8 ذات قيمة غير موجودة بجرد سبتمبر (قيمة)</t>
        </is>
      </c>
      <c r="B11" s="5" t="n">
        <v>0</v>
      </c>
      <c r="C11" s="5" t="n">
        <v>0</v>
      </c>
      <c r="D11" s="5" t="n">
        <v>0</v>
      </c>
      <c r="E11" s="4" t="inlineStr">
        <is>
          <t>✔ مطابق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rightToLeft="1" workbookViewId="0"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75" customWidth="1" min="3" max="3"/>
  </cols>
  <sheetData>
    <row r="1">
      <c r="A1" s="1" t="inlineStr">
        <is>
          <t>المنهجية، الافتراضات، والاستثناءات — سبتمبر 2026</t>
        </is>
      </c>
    </row>
    <row r="3" ht="45" customHeight="1">
      <c r="A3" s="28" t="inlineStr">
        <is>
          <t>نطاق العمل</t>
        </is>
      </c>
      <c r="B3" s="4" t="inlineStr">
        <is>
          <t>متوسط التكلفة المرجّح (WAC) للخامات فقط — لم تُستخدم FIFO / LIFO / التكلفة المعيارية.</t>
        </is>
      </c>
      <c r="C3" s="27" t="n"/>
    </row>
    <row r="4" ht="45" customHeight="1">
      <c r="A4" s="28" t="inlineStr">
        <is>
          <t>المعادلة</t>
        </is>
      </c>
      <c r="B4" s="4" t="inlineStr">
        <is>
          <t>متوسط سبتمبر = (كمية جرد 31/8 × متوسط أغسطس + قيمة مشتريات سبتمبر) ÷ (كمية جرد 31/8 + كمية مشتريات سبتمبر). يُحتسب بالدقة الكاملة ويُقرَّب السعر المُدخل لأربعة أرقام عشرية.</t>
        </is>
      </c>
      <c r="C4" s="27" t="n"/>
    </row>
    <row r="5" ht="45" customHeight="1">
      <c r="A5" s="28" t="inlineStr">
        <is>
          <t>رصيد أول المدة</t>
        </is>
      </c>
      <c r="B5" s="4" t="inlineStr">
        <is>
          <t>الجرد الفعلى المعدَّل «جر د شهر 8.xlsx» (مجموع المواقع الخمسة) × متوسط أغسطس المُعاد احتسابه من مصادره؛ طوبق السعر مع ملف «تسعير جرد اخر شهر ٨ -2» لكل صنف مشترك (لا فرق).</t>
        </is>
      </c>
      <c r="C5" s="27" t="n"/>
    </row>
    <row r="6" ht="45" customHeight="1">
      <c r="A6" s="28" t="inlineStr">
        <is>
          <t>المشتريات</t>
        </is>
      </c>
      <c r="B6" s="4" t="inlineStr">
        <is>
          <t>تقرير المشتريات 01/09–30/09/2026: 89 سطرًا، الإجمالى مطابق للمطبوع. قيمة الشراء = «الإجمالى» بالفاتورة (7 أسطر بها فرق تقريب بين الكمية × السعر والإجمالى). المحمَّل على الأصناف 2,197,994.05 ج.م.</t>
        </is>
      </c>
      <c r="C6" s="27" t="n"/>
    </row>
    <row r="7" ht="45" customHeight="1">
      <c r="A7" s="28" t="inlineStr">
        <is>
          <t>ربط الأكواد</t>
        </is>
      </c>
      <c r="B7" s="4" t="inlineStr">
        <is>
          <t>الكود المستخدم فى يوليو/أغسطس يُربط بنفس الصنف؛ الأكواد الجديدة رُبطت بالاسم ونطاق السعر بدرجة ثقة مُسجّلة. مجمّع اللحوم الهندى متوسط واحد للبنود الأربعة.</t>
        </is>
      </c>
      <c r="C7" s="27" t="n"/>
    </row>
    <row r="8" ht="45" customHeight="1">
      <c r="A8" s="28" t="inlineStr">
        <is>
          <t>أصناف معلّقة</t>
        </is>
      </c>
      <c r="B8" s="4" t="inlineStr">
        <is>
          <t>صنفا الفراخ المفرومة (شعبي/فاخر) تُرك سعرهما بالملف كما هو لتعارض فاتورة 1111115217؛ ثلاث قراءات بديلة بورقة «الفراخ المفرومة (معلّق)». الوصفات تستخدم لهما سعر أغسطس مؤقتًا.</t>
        </is>
      </c>
      <c r="C8" s="27" t="n"/>
    </row>
    <row r="9" ht="45" customHeight="1">
      <c r="A9" s="28" t="inlineStr">
        <is>
          <t>أصناف بلا مشتريات</t>
        </is>
      </c>
      <c r="B9" s="4" t="inlineStr">
        <is>
          <t>يبقى سعر أغسطس كما هو. رصيد بلا سعر يُستبعد من البسط والمقام.</t>
        </is>
      </c>
      <c r="C9" s="27" t="n"/>
    </row>
    <row r="10" ht="45" customHeight="1">
      <c r="A10" s="28" t="inlineStr">
        <is>
          <t>ملف سبتمبر</t>
        </is>
      </c>
      <c r="B10" s="4" t="inlineStr">
        <is>
          <t>«تسعير جرد اخر شهر ٩ سنة ٢٠٢٦.xlsx» نسخة من «جرد شهر 9.xlsx» تغيّرت فيها خانات السعر فقط (عمود H للخامات و L للمنتج التام)؛ تحقق آلى من عدم تغيّر أى خانة أخرى. أُضيفت تعليقات على الأصناف المعلّقة أو بلا سعر.</t>
        </is>
      </c>
      <c r="C10" s="27" t="n"/>
    </row>
    <row r="11" ht="45" customHeight="1">
      <c r="A11" s="28" t="inlineStr">
        <is>
          <t>المنتج التام</t>
        </is>
      </c>
      <c r="B11" s="4" t="inlineStr">
        <is>
          <t>الوزن × سعر كجم الوصفة بأسعار سبتمبر + تكلفة التعبئة؛ الأصناف خارج الوصفات بآخر سعر متاح.</t>
        </is>
      </c>
      <c r="C11" s="27" t="n"/>
    </row>
    <row r="13" ht="42" customHeight="1">
      <c r="A13" s="3" t="inlineStr">
        <is>
          <t>نوع الملاحظة</t>
        </is>
      </c>
      <c r="B13" s="3" t="inlineStr">
        <is>
          <t>الصنف / البند</t>
        </is>
      </c>
      <c r="C13" s="3" t="inlineStr">
        <is>
          <t>التفصيل</t>
        </is>
      </c>
    </row>
    <row r="14">
      <c r="A14" s="10" t="inlineStr">
        <is>
          <t>سعر معلّق</t>
        </is>
      </c>
      <c r="B14" s="10" t="inlineStr">
        <is>
          <t>مفروم فراخ شعبي</t>
        </is>
      </c>
      <c r="C14" s="10" t="inlineStr">
        <is>
          <t>فاتورة 1111115217 (09/09): «مفروم فراخ C» 1,500 كجم بسعر 57 بينما نطاق الرتبة C 30–35، وفى نفس الفاتورة «مفروم فراخ A» بسعر 30 بينما نطاق A 55–60 — السعران يبدوان معكوسين — كما سُجّلت بالتقرير: 35.6294، باستبعاد الفاتورة 1111115217: 32.1107، بعكس سعرَى الفاتورة (C=30، A=57): 31.8123</t>
        </is>
      </c>
    </row>
    <row r="15">
      <c r="A15" s="10" t="inlineStr">
        <is>
          <t>سعر معلّق</t>
        </is>
      </c>
      <c r="B15" s="10" t="inlineStr">
        <is>
          <t>مفروم فراخ فاخر</t>
        </is>
      </c>
      <c r="C15" s="10" t="inlineStr">
        <is>
          <t>فاتورة 1111115217 (09/09): «مفروم فراخ A» 450 كجم بسعر 30 بينما نطاق الرتبة A 55–60، وفى نفس الفاتورة «مفروم فراخ C» بسعر 57 — السعران يبدوان معكوسين — كما سُجّلت بالتقرير: 50.3771، باستبعاد الفاتورة 1111115217: 58.2481، بعكس سعرَى الفاتورة (C=30، A=57): 57.9003</t>
        </is>
      </c>
    </row>
    <row r="16">
      <c r="A16" s="10" t="inlineStr">
        <is>
          <t>ربط بثقة متوسطة</t>
        </is>
      </c>
      <c r="B16" s="10" t="inlineStr">
        <is>
          <t>كود 14 «تشكيله هندى امامى» ← @مجمع اللحوم الهندى</t>
        </is>
      </c>
      <c r="C16" s="10" t="inlineStr">
        <is>
          <t>نفس ربط الكود فى يوليو: لحوم هندى مجمَّعة: بنود (كتف/رقبه/سن/أرباع) بسعر يونيه موحَّد 253</t>
        </is>
      </c>
    </row>
    <row r="17">
      <c r="A17" s="10" t="inlineStr">
        <is>
          <t>ربط بثقة متوسطة</t>
        </is>
      </c>
      <c r="B17" s="10" t="inlineStr">
        <is>
          <t>كود 40 «علب شفاف» ← علب بلاستيك شفاف</t>
        </is>
      </c>
      <c r="C17" s="10" t="inlineStr">
        <is>
          <t>نفس ربط الكود فى يوليو: تطابق اسمى؛ رصيد أول المدة كان بلا سعر ⇒ السعر = سعر الشراء</t>
        </is>
      </c>
    </row>
    <row r="18">
      <c r="A18" s="10" t="inlineStr">
        <is>
          <t>ربط بثقة متوسطة</t>
        </is>
      </c>
      <c r="B18" s="10" t="inlineStr">
        <is>
          <t>كود 409 «طبق شفاف كيلو» ← طبق مسطح 1 ك شفاف</t>
        </is>
      </c>
      <c r="C18" s="10" t="inlineStr">
        <is>
          <t>طبق شفاف كيلو = البند الشفاف الوحيد مقاس 1 ك بالجرد؛ بلا سعر سابق — يُراجَع</t>
        </is>
      </c>
    </row>
    <row r="19">
      <c r="A19" s="10" t="inlineStr">
        <is>
          <t>ربط بثقة متوسطة</t>
        </is>
      </c>
      <c r="B19" s="10" t="inlineStr">
        <is>
          <t>كود 51 «صويا مصرى» ← صويا لحمه</t>
        </is>
      </c>
      <c r="C19" s="10" t="inlineStr">
        <is>
          <t>نفس ربط الكود فى يوليو: الصويا العامة تُحمَّل على «صويا لحمه» (سعر 32–40 ≈ 39.44) — نفس افتراض ملف يونيه</t>
        </is>
      </c>
    </row>
    <row r="20">
      <c r="A20" s="10" t="inlineStr">
        <is>
          <t>ربط بثقة متوسطة</t>
        </is>
      </c>
      <c r="B20" s="10" t="inlineStr">
        <is>
          <t>كود 344 «فلفل حامى» ← فلفل رومي حامي</t>
        </is>
      </c>
      <c r="C20" s="10" t="inlineStr">
        <is>
          <t>فلفل حامى = عائلة الفلفل الحار الوحيدة بالجرد (نفس معالجة «فلفل احمر» كود 187)</t>
        </is>
      </c>
    </row>
    <row r="21">
      <c r="A21" s="10" t="inlineStr">
        <is>
          <t>شراء بلا مقابل</t>
        </is>
      </c>
      <c r="B21" s="10" t="inlineStr">
        <is>
          <t>كود 453 «ببريكا مدخنه» — 5,600.00 ج.م</t>
        </is>
      </c>
      <c r="C21" s="10" t="inlineStr">
        <is>
          <t>بابريكا مدخنة صنف مختلف عن «بابريكا» العادية ولا يوجد له بند بالجرد — لم تُحمَّل على أى صنف</t>
        </is>
      </c>
    </row>
    <row r="22">
      <c r="A22" s="10" t="inlineStr">
        <is>
          <t>سعر شاذ (دخل كما سُجّل)</t>
        </is>
      </c>
      <c r="B22" s="10" t="inlineStr">
        <is>
          <t>سطر 58 كود 87 «جلتومات الصوديوم»</t>
        </is>
      </c>
      <c r="C22" s="10" t="inlineStr">
        <is>
          <t>نفس ربط الكود فى أغسطس: جلوتامات الصوديوم = «جلتومات/مونوصوديم» بالوصفات؛ سعر 88 مقابل 104.00 ليوليو | ⚠ جلتومات 25 كجم بسعر 132 مقابل 80 لسطر الشراء الآخر</t>
        </is>
      </c>
    </row>
    <row r="23">
      <c r="A23" s="10" t="inlineStr">
        <is>
          <t>ربط بثقة متوسطة</t>
        </is>
      </c>
      <c r="B23" s="10" t="inlineStr">
        <is>
          <t>كود 154 «فلفل اخضر عام عام» ← فلفل بارد</t>
        </is>
      </c>
      <c r="C23" s="10" t="inlineStr">
        <is>
          <t>نفس ربط الكود فى يوليو: الفلفل الأخضر غير الحار = «البارد»؛ سعر 12–14 ≈ 14.92 ليونيه</t>
        </is>
      </c>
    </row>
    <row r="24">
      <c r="A24" s="10" t="inlineStr">
        <is>
          <t>ربط بثقة متوسطة</t>
        </is>
      </c>
      <c r="B24" s="10" t="inlineStr">
        <is>
          <t>كود 371 «مفروم فراخ B» ← مفروم فراخ شعبي</t>
        </is>
      </c>
      <c r="C24" s="10" t="inlineStr">
        <is>
          <t>الرتبة B غير موجودة بالجرد؛ سعرها 34 داخل نطاق الرتبة C (30–35) فحُمّلت على «شعبي» — يُراجَع</t>
        </is>
      </c>
    </row>
    <row r="25">
      <c r="A25" s="10" t="inlineStr">
        <is>
          <t>سعر شاذ (دخل كما سُجّل)</t>
        </is>
      </c>
      <c r="B25" s="10" t="inlineStr">
        <is>
          <t>سطر 76 كود 190 «صميد»</t>
        </is>
      </c>
      <c r="C25" s="10" t="inlineStr">
        <is>
          <t>نفس ربط الكود فى يوليو: تطابق اسمى تام | ⚠ صميد 50 كجم بسعر 26.40 مقابل 16.25–17.00 لباقى الأسطر</t>
        </is>
      </c>
    </row>
    <row r="26">
      <c r="A26" s="10" t="inlineStr">
        <is>
          <t>شراء بلا مقابل</t>
        </is>
      </c>
      <c r="B26" s="10" t="inlineStr">
        <is>
          <t>كود 442 «اكياس تغليف مقطعات 5ك» — 14,209.09 ج.م</t>
        </is>
      </c>
      <c r="C26" s="10" t="inlineStr">
        <is>
          <t>أكياس تغليف «مقطعات» 5 ك — لا يوجد بند مقابل بالجرد (أكياس 5 ك الموجودة مخصصة لسجق/بانيه/عجينة) — لم تُحمَّل</t>
        </is>
      </c>
    </row>
    <row r="27">
      <c r="A27" s="10" t="inlineStr">
        <is>
          <t>فرق كمية مع ملف «-2»</t>
        </is>
      </c>
      <c r="B27" s="10" t="inlineStr">
        <is>
          <t>ثوم</t>
        </is>
      </c>
      <c r="C27" s="10" t="inlineStr">
        <is>
          <t>الجرد المعدَّل «جر د شهر 8» = 1249.55 مقابل 1249.3 بملف «-2» — اعتُمد الجرد الفعلى؛ الأثر على قيمة أول المدة +6.27 ج.م</t>
        </is>
      </c>
    </row>
    <row r="28">
      <c r="A28" s="10" t="inlineStr">
        <is>
          <t>فرق كمية مع ملف «-2»</t>
        </is>
      </c>
      <c r="B28" s="10" t="inlineStr">
        <is>
          <t>اكياس برجر s.p صغير</t>
        </is>
      </c>
      <c r="C28" s="10" t="inlineStr">
        <is>
          <t>الجرد المعدَّل «جر د شهر 8» = 259.55 مقابل 260.15 بملف «-2» — اعتُمد الجرد الفعلى؛ الأثر على قيمة أول المدة -139.15 ج.م</t>
        </is>
      </c>
    </row>
    <row r="29">
      <c r="A29" s="10" t="inlineStr">
        <is>
          <t>فرق كمية مع ملف «-2»</t>
        </is>
      </c>
      <c r="B29" s="10" t="inlineStr">
        <is>
          <t>زيت سيارات</t>
        </is>
      </c>
      <c r="C29" s="10" t="inlineStr">
        <is>
          <t>الجرد المعدَّل «جر د شهر 8» = 2 مقابل 16 بملف «-2» — اعتُمد الجرد الفعلى؛ الأثر على قيمة أول المدة -18,900.00 ج.م</t>
        </is>
      </c>
    </row>
    <row r="30">
      <c r="A30" s="10" t="inlineStr">
        <is>
          <t>صنف بلا سعر</t>
        </is>
      </c>
      <c r="B30" s="10" t="inlineStr">
        <is>
          <t>كروت كبده علب 350 — كمية جرد 30/9 = 13,373.00</t>
        </is>
      </c>
      <c r="C30" s="10" t="inlineStr">
        <is>
          <t>بلا سعر — لا سعر أغسطس ولا مشتريات سبتمبر</t>
        </is>
      </c>
    </row>
    <row r="31">
      <c r="A31" s="10" t="inlineStr">
        <is>
          <t>صنف بلا سعر</t>
        </is>
      </c>
      <c r="B31" s="10" t="inlineStr">
        <is>
          <t>كروت استربس — كمية جرد 30/9 = 2,000.00</t>
        </is>
      </c>
      <c r="C31" s="10" t="inlineStr">
        <is>
          <t>بلا سعر — لا سعر أغسطس ولا مشتريات سبتمبر</t>
        </is>
      </c>
    </row>
    <row r="32">
      <c r="A32" s="10" t="inlineStr">
        <is>
          <t>صنف بلا سعر</t>
        </is>
      </c>
      <c r="B32" s="10" t="inlineStr">
        <is>
          <t>كروت مفروم صافي 350 — كمية جرد 30/9 = 8,818.00</t>
        </is>
      </c>
      <c r="C32" s="10" t="inlineStr">
        <is>
          <t>بلا سعر — لا سعر أغسطس ولا مشتريات سبتمبر</t>
        </is>
      </c>
    </row>
    <row r="33">
      <c r="A33" s="10" t="inlineStr">
        <is>
          <t>صنف بلا سعر</t>
        </is>
      </c>
      <c r="B33" s="10" t="inlineStr">
        <is>
          <t>كروت مفروم صويا 350 — كمية جرد 30/9 = 7,887.00</t>
        </is>
      </c>
      <c r="C33" s="10" t="inlineStr">
        <is>
          <t>بلا سعر — لا سعر أغسطس ولا مشتريات سبتمبر</t>
        </is>
      </c>
    </row>
    <row r="34">
      <c r="A34" s="10" t="inlineStr">
        <is>
          <t>صنف بلا سعر</t>
        </is>
      </c>
      <c r="B34" s="10" t="inlineStr">
        <is>
          <t>كروت برجر أبو هاشم — كمية جرد 30/9 = 2,000.00</t>
        </is>
      </c>
      <c r="C34" s="10" t="inlineStr">
        <is>
          <t>بلا سعر — لا سعر أغسطس ولا مشتريات سبتمبر</t>
        </is>
      </c>
    </row>
    <row r="35">
      <c r="A35" s="10" t="inlineStr">
        <is>
          <t>صنف بلا سعر</t>
        </is>
      </c>
      <c r="B35" s="10" t="inlineStr">
        <is>
          <t>طبق مسطح 1/2 شفاف — كمية جرد 30/9 = 385.00</t>
        </is>
      </c>
      <c r="C35" s="10" t="inlineStr">
        <is>
          <t>بلا سعر — لا سعر أغسطس ولا مشتريات سبتمبر</t>
        </is>
      </c>
    </row>
    <row r="36">
      <c r="A36" s="10" t="inlineStr">
        <is>
          <t>ملاحظة على جرد 31/8</t>
        </is>
      </c>
      <c r="B36" s="10" t="inlineStr">
        <is>
          <t>خام عجينة برجر أبو هاشم</t>
        </is>
      </c>
      <c r="C36" s="10" t="inlineStr">
        <is>
          <t>الإجمالى مُدخل يدويًا (0) بينما مجموع المواقع 16.5 — اعتُمد مجموع المواقع</t>
        </is>
      </c>
    </row>
    <row r="37">
      <c r="A37" s="10" t="inlineStr">
        <is>
          <t>ملاحظة على جرد 31/8</t>
        </is>
      </c>
      <c r="B37" s="10" t="inlineStr">
        <is>
          <t>خام عجينة كفته الهنا</t>
        </is>
      </c>
      <c r="C37" s="10" t="inlineStr">
        <is>
          <t>الإجمالى مُدخل يدويًا (0) بينما مجموع المواقع 6.5 — اعتُمد مجموع المواقع</t>
        </is>
      </c>
    </row>
    <row r="38">
      <c r="A38" s="10" t="inlineStr">
        <is>
          <t>ملاحظة على جرد 31/8</t>
        </is>
      </c>
      <c r="B38" s="10" t="inlineStr">
        <is>
          <t>فلتر هواء</t>
        </is>
      </c>
      <c r="C38" s="10" t="inlineStr">
        <is>
          <t>الإجمالى مُدخل يدويًا (0) بينما مجموع المواقع 7 — اعتُمد مجموع المواقع</t>
        </is>
      </c>
    </row>
    <row r="39">
      <c r="A39" s="10" t="inlineStr">
        <is>
          <t>منتج تام بلا سعر</t>
        </is>
      </c>
      <c r="B39" s="10" t="inlineStr">
        <is>
          <t>مفروم ابو هاشم 3 ك — كمية 9.00</t>
        </is>
      </c>
      <c r="C39" s="10" t="inlineStr">
        <is>
          <t>بلا وصفة ولا سعر سابق — يلزم توفير سعره</t>
        </is>
      </c>
    </row>
  </sheetData>
  <mergeCells count="10"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2026-10-18T08:54:57Z</dcterms:created>
  <dcterms:modified xmlns:dcterms="http://purl.org/dc/terms/" xmlns:xsi="http://www.w3.org/2001/XMLSchema-instance" xsi:type="dcterms:W3CDTF">2026-10-18T08:55:00Z</dcterms:modified>
</cp:coreProperties>
</file>