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1000001_{F172D8E8-00A2-5F46-8378-BBD236CB8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دخل شهر ٧سنة ٢٠٢٥" sheetId="1" r:id="rId1"/>
    <sheet name="دخل شهر ٨ سنة ٢٠٢٥" sheetId="2" r:id="rId2"/>
    <sheet name="شهر 9سنة ٢٠٢٥" sheetId="3" r:id="rId3"/>
    <sheet name="شهر 10سنة ٢٠٢٥" sheetId="4" r:id="rId4"/>
    <sheet name="شهر 11سنة ٢٠٢٥" sheetId="5" r:id="rId5"/>
    <sheet name="شهر 12سنة ٢٠٢٥" sheetId="6" r:id="rId6"/>
  </sheets>
  <definedNames>
    <definedName name="_xlnm.Print_Area" localSheetId="1">'دخل شهر ٨ سنة ٢٠٢٥'!$E$6:$H$55</definedName>
    <definedName name="_xlnm.Print_Area" localSheetId="4">'شهر 11سنة ٢٠٢٥'!$I$10:$L$56</definedName>
    <definedName name="_xlnm.Print_Area" localSheetId="5">'شهر 12سنة ٢٠٢٥'!$G$4:$J$51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6" l="1"/>
  <c r="I7" i="6"/>
  <c r="I30" i="6"/>
  <c r="J28" i="6"/>
  <c r="I12" i="6"/>
  <c r="I13" i="6"/>
  <c r="I19" i="6"/>
  <c r="I26" i="6"/>
  <c r="J10" i="6"/>
  <c r="J45" i="6"/>
  <c r="H51" i="6"/>
  <c r="I59" i="5"/>
  <c r="I60" i="5"/>
  <c r="K12" i="5"/>
  <c r="K35" i="5"/>
  <c r="K37" i="5"/>
  <c r="K44" i="5"/>
  <c r="L33" i="5"/>
  <c r="K18" i="5"/>
  <c r="K19" i="5"/>
  <c r="K24" i="5"/>
  <c r="K32" i="5"/>
  <c r="L15" i="5"/>
  <c r="L50" i="5"/>
  <c r="J56" i="5"/>
  <c r="I10" i="4"/>
  <c r="I35" i="4"/>
  <c r="J33" i="4"/>
  <c r="I18" i="4"/>
  <c r="I23" i="4"/>
  <c r="I26" i="4"/>
  <c r="J13" i="4"/>
  <c r="J50" i="4"/>
  <c r="J56" i="4"/>
  <c r="I10" i="3"/>
  <c r="I35" i="3"/>
  <c r="I36" i="3"/>
  <c r="J33" i="3"/>
  <c r="I18" i="3"/>
  <c r="I20" i="3"/>
  <c r="I22" i="3"/>
  <c r="I23" i="3"/>
  <c r="J13" i="3"/>
  <c r="J50" i="3"/>
  <c r="J56" i="3"/>
  <c r="G9" i="2"/>
  <c r="G32" i="2"/>
  <c r="G33" i="2"/>
  <c r="H31" i="2"/>
  <c r="G16" i="2"/>
  <c r="G20" i="2"/>
  <c r="G21" i="2"/>
  <c r="G30" i="2"/>
  <c r="H12" i="2"/>
  <c r="H48" i="2"/>
  <c r="H55" i="2"/>
  <c r="D9" i="1"/>
  <c r="D32" i="1"/>
  <c r="D33" i="1"/>
  <c r="E31" i="1"/>
  <c r="D15" i="1"/>
  <c r="D16" i="1"/>
  <c r="D30" i="1"/>
  <c r="E12" i="1"/>
  <c r="E48" i="1"/>
  <c r="E55" i="1"/>
</calcChain>
</file>

<file path=xl/sharedStrings.xml><?xml version="1.0" encoding="utf-8"?>
<sst xmlns="http://schemas.openxmlformats.org/spreadsheetml/2006/main" count="250" uniqueCount="76">
  <si>
    <t>صافي المبيعات</t>
  </si>
  <si>
    <t>تكلفة المبيعات</t>
  </si>
  <si>
    <t>مجمل الربح</t>
  </si>
  <si>
    <t>مصروفات إدارية وعمومية شهر7</t>
  </si>
  <si>
    <t xml:space="preserve"> </t>
  </si>
  <si>
    <t>منظفات ومكافحة</t>
  </si>
  <si>
    <t xml:space="preserve">محامى </t>
  </si>
  <si>
    <t xml:space="preserve">أخرى </t>
  </si>
  <si>
    <t>ايجارات</t>
  </si>
  <si>
    <t>بدلات ومكافئات</t>
  </si>
  <si>
    <t xml:space="preserve">تصنيع لدى الغير </t>
  </si>
  <si>
    <t xml:space="preserve">غفرة رمضان </t>
  </si>
  <si>
    <t>عمالة خارجية</t>
  </si>
  <si>
    <t>مصاريف المكتب</t>
  </si>
  <si>
    <t>فهمى</t>
  </si>
  <si>
    <t xml:space="preserve">ضيافات وكافيهات </t>
  </si>
  <si>
    <t xml:space="preserve">صيانات وقطه غيار </t>
  </si>
  <si>
    <t>تامينات</t>
  </si>
  <si>
    <t xml:space="preserve">صحة وتموين </t>
  </si>
  <si>
    <t>كهرباء</t>
  </si>
  <si>
    <t>مرتبات</t>
  </si>
  <si>
    <t>مصروفات بيعية وتسوقية شهر 7</t>
  </si>
  <si>
    <t>عمولة البيع +بدلات السفر والاكراميات</t>
  </si>
  <si>
    <t xml:space="preserve">دخان  المبيعات </t>
  </si>
  <si>
    <t>عربية 1639</t>
  </si>
  <si>
    <t>عربية 1642</t>
  </si>
  <si>
    <t>عربية الفاستر 1842</t>
  </si>
  <si>
    <t>عربية 3782</t>
  </si>
  <si>
    <t>عربية 4195</t>
  </si>
  <si>
    <t xml:space="preserve">عربية جامبو </t>
  </si>
  <si>
    <t xml:space="preserve">عربية مدير بيع </t>
  </si>
  <si>
    <t>زيت</t>
  </si>
  <si>
    <t xml:space="preserve">مكتب المبيعات </t>
  </si>
  <si>
    <t xml:space="preserve">فنادق </t>
  </si>
  <si>
    <t xml:space="preserve">مصاريف تمويلية </t>
  </si>
  <si>
    <t>مصاريق قرض السيارة والحساب</t>
  </si>
  <si>
    <t>مصاريف قرض المبادرة</t>
  </si>
  <si>
    <t>صافى الربح</t>
  </si>
  <si>
    <t xml:space="preserve">مياه شقة العاملين </t>
  </si>
  <si>
    <t xml:space="preserve">فواتير كهرباء ونت </t>
  </si>
  <si>
    <t xml:space="preserve">مكتب المحاسبة </t>
  </si>
  <si>
    <t xml:space="preserve">تامينات و اتعاب محمد عطية </t>
  </si>
  <si>
    <t>ديون اعدمت</t>
  </si>
  <si>
    <t>مصروفات بيعية وتسوقية شهر 8</t>
  </si>
  <si>
    <t>مصروفات إدارية وعمومية شهر 8</t>
  </si>
  <si>
    <t xml:space="preserve">  </t>
  </si>
  <si>
    <t>بوفيه</t>
  </si>
  <si>
    <t>دفاترمبيعات</t>
  </si>
  <si>
    <t xml:space="preserve"> شقة العاملين </t>
  </si>
  <si>
    <t>اعمال الخير</t>
  </si>
  <si>
    <t>مصروفات بيعية وتسوقية شهر 9</t>
  </si>
  <si>
    <t>مصروفات إدارية وعمومية شهر 9</t>
  </si>
  <si>
    <t>تصنيع لدى الغير</t>
  </si>
  <si>
    <t>حكومية</t>
  </si>
  <si>
    <t>صحة وتموين وشرطة</t>
  </si>
  <si>
    <t>بيعى وتسويقى</t>
  </si>
  <si>
    <t xml:space="preserve">باركوود منتجات </t>
  </si>
  <si>
    <t>مصروفات إدارية وعمومية شهر 11</t>
  </si>
  <si>
    <t>مصروفات بيعية وتسوقية شهر 11</t>
  </si>
  <si>
    <t xml:space="preserve">غرامات اخر قضية </t>
  </si>
  <si>
    <t>عربية ميكس فود</t>
  </si>
  <si>
    <t>عمولة البيع +بدلات  والاكراميات</t>
  </si>
  <si>
    <t xml:space="preserve">صحة وتموين  وهدايا ورشا </t>
  </si>
  <si>
    <t>مصروفات إدارية وعمومية شهر 12</t>
  </si>
  <si>
    <t xml:space="preserve">عمولة البيع +بدلات  </t>
  </si>
  <si>
    <t xml:space="preserve">تامينات و  حكومى  </t>
  </si>
  <si>
    <t xml:space="preserve"> وهدايا ورشا </t>
  </si>
  <si>
    <t>مصاريف تمويلية 12</t>
  </si>
  <si>
    <t>محامى</t>
  </si>
  <si>
    <t>+</t>
  </si>
  <si>
    <t>مصروفات بيعية وتسوقية شهر 12</t>
  </si>
  <si>
    <t xml:space="preserve">زيت + فلاتر للعربيات </t>
  </si>
  <si>
    <t>ايجار عربية 1842</t>
  </si>
  <si>
    <t>مصاريق قرض السيارة  من شهر 9 الى 12</t>
  </si>
  <si>
    <t>مصاريف قرض المبادرة من شهر 9 الى شهر 12</t>
  </si>
  <si>
    <t xml:space="preserve">تصنيع لدى الغير البانيه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</si>
</sst>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4"/>
      <color rgb="FF000000"/>
      <name val="Calibri"/>
    </font>
    <font>
      <b/>
      <sz val="14"/>
      <color indexed="8"/>
      <name val="Arial"/>
    </font>
    <font>
      <sz val="11"/>
      <color rgb="FF000000"/>
      <name val="Calibri"/>
    </font>
    <font>
      <b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 readingOrder="2"/>
    </xf>
    <xf numFmtId="4" fontId="2" fillId="0" borderId="0" xfId="0" applyNumberFormat="1" applyFont="1" applyAlignment="1">
      <alignment vertical="top"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4" fontId="1" fillId="0" borderId="0" xfId="0" applyNumberFormat="1" applyFont="1" applyAlignment="1"/>
    <xf numFmtId="4" fontId="3" fillId="0" borderId="0" xfId="0" applyNumberFormat="1" applyFont="1" applyAlignment="1"/>
    <xf numFmtId="0" fontId="4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www.wps.cn/officeDocument/2020/cellImage" Target="NUL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58"/>
  <sheetViews>
    <sheetView tabSelected="1" workbookViewId="0">
      <selection activeCell="E12" sqref="E12"/>
    </sheetView>
  </sheetViews>
  <sheetFormatPr defaultColWidth="9.953125" defaultRowHeight="15" x14ac:dyDescent="0.2"/>
  <cols>
    <col min="2" max="2" width="32.1484375" bestFit="1" customWidth="1"/>
    <col min="3" max="3" width="37.80078125" bestFit="1" customWidth="1"/>
    <col min="4" max="4" width="17.890625" bestFit="1" customWidth="1"/>
    <col min="5" max="5" width="16.41015625" bestFit="1" customWidth="1"/>
    <col min="14" max="14" width="32.1484375" bestFit="1" customWidth="1"/>
    <col min="15" max="15" width="37.80078125" bestFit="1" customWidth="1"/>
    <col min="16" max="16" width="17.890625" bestFit="1" customWidth="1"/>
    <col min="17" max="17" width="16.41015625" bestFit="1" customWidth="1"/>
  </cols>
  <sheetData>
    <row r="4" spans="2:5" ht="18.75" x14ac:dyDescent="0.2">
      <c r="B4" s="1"/>
      <c r="C4" s="2"/>
      <c r="D4" s="3"/>
    </row>
    <row r="5" spans="2:5" ht="18.75" x14ac:dyDescent="0.2">
      <c r="B5" s="1"/>
      <c r="C5" s="2"/>
      <c r="D5" s="3"/>
    </row>
    <row r="6" spans="2:5" ht="18.75" x14ac:dyDescent="0.2">
      <c r="B6" s="1"/>
      <c r="C6" s="2"/>
      <c r="D6" s="3"/>
    </row>
    <row r="7" spans="2:5" ht="18.75" x14ac:dyDescent="0.25">
      <c r="B7" s="2" t="s">
        <v>0</v>
      </c>
      <c r="C7" s="4"/>
      <c r="D7" s="3">
        <v>2536929</v>
      </c>
    </row>
    <row r="8" spans="2:5" ht="18.75" x14ac:dyDescent="0.2">
      <c r="B8" s="1"/>
      <c r="C8" s="2" t="s">
        <v>1</v>
      </c>
      <c r="D8" s="3">
        <v>1289237</v>
      </c>
    </row>
    <row r="9" spans="2:5" ht="18.75" x14ac:dyDescent="0.2">
      <c r="B9" s="1"/>
      <c r="C9" s="2" t="s">
        <v>2</v>
      </c>
      <c r="D9" s="3">
        <f>D7-D8</f>
        <v>1247692</v>
      </c>
    </row>
    <row r="10" spans="2:5" ht="18.75" x14ac:dyDescent="0.2">
      <c r="B10" s="1"/>
      <c r="C10" s="2"/>
      <c r="D10" s="3"/>
    </row>
    <row r="11" spans="2:5" ht="18.75" x14ac:dyDescent="0.2">
      <c r="B11" s="1"/>
      <c r="C11" s="2"/>
      <c r="D11" s="3"/>
    </row>
    <row r="12" spans="2:5" ht="18.75" x14ac:dyDescent="0.25">
      <c r="B12" s="1" t="s">
        <v>3</v>
      </c>
      <c r="C12" s="4" t="s">
        <v>4</v>
      </c>
      <c r="E12" s="4">
        <f>SUM(D13:D30)</f>
        <v>463487</v>
      </c>
    </row>
    <row r="13" spans="2:5" ht="18.75" x14ac:dyDescent="0.25">
      <c r="B13" s="1"/>
      <c r="C13" s="4" t="s">
        <v>5</v>
      </c>
      <c r="D13" s="4">
        <v>3400</v>
      </c>
    </row>
    <row r="14" spans="2:5" ht="18.75" x14ac:dyDescent="0.25">
      <c r="B14" s="1"/>
      <c r="C14" s="4" t="s">
        <v>6</v>
      </c>
      <c r="D14" s="4">
        <v>10000</v>
      </c>
    </row>
    <row r="15" spans="2:5" ht="18.75" x14ac:dyDescent="0.25">
      <c r="B15" s="1"/>
      <c r="C15" s="4" t="s">
        <v>7</v>
      </c>
      <c r="D15" s="4">
        <f>6616+80</f>
        <v>6696</v>
      </c>
    </row>
    <row r="16" spans="2:5" ht="18.75" x14ac:dyDescent="0.25">
      <c r="B16" s="1"/>
      <c r="C16" s="4" t="s">
        <v>8</v>
      </c>
      <c r="D16" s="4">
        <f>7000+3800+2000+4000+42350</f>
        <v>59150</v>
      </c>
    </row>
    <row r="17" spans="2:6" ht="18.75" x14ac:dyDescent="0.25">
      <c r="B17" s="1"/>
      <c r="C17" s="4" t="s">
        <v>9</v>
      </c>
      <c r="D17" s="4">
        <v>14995</v>
      </c>
      <c r="E17" s="4"/>
      <c r="F17" s="4"/>
    </row>
    <row r="18" spans="2:6" ht="18.75" x14ac:dyDescent="0.25">
      <c r="B18" s="1"/>
      <c r="C18" s="4" t="s">
        <v>10</v>
      </c>
      <c r="D18" s="4">
        <v>105000</v>
      </c>
      <c r="E18" s="10"/>
      <c r="F18" s="10"/>
    </row>
    <row r="19" spans="2:6" ht="18.75" x14ac:dyDescent="0.25">
      <c r="B19" s="1"/>
      <c r="C19" s="4" t="s">
        <v>11</v>
      </c>
      <c r="D19" s="4">
        <v>1650</v>
      </c>
      <c r="E19" s="5"/>
      <c r="F19" s="5"/>
    </row>
    <row r="20" spans="2:6" ht="18.75" x14ac:dyDescent="0.25">
      <c r="B20" s="1"/>
      <c r="C20" s="4" t="s">
        <v>12</v>
      </c>
      <c r="D20" s="4">
        <v>6350</v>
      </c>
      <c r="E20" s="4"/>
      <c r="F20" s="4"/>
    </row>
    <row r="21" spans="2:6" ht="18.75" x14ac:dyDescent="0.25">
      <c r="B21" s="1"/>
      <c r="C21" s="4" t="s">
        <v>13</v>
      </c>
      <c r="D21" s="4">
        <v>1690</v>
      </c>
      <c r="E21" s="4"/>
      <c r="F21" s="4"/>
    </row>
    <row r="22" spans="2:6" ht="18.75" x14ac:dyDescent="0.25">
      <c r="B22" s="1"/>
      <c r="C22" s="4" t="s">
        <v>14</v>
      </c>
      <c r="D22" s="4">
        <v>0</v>
      </c>
      <c r="E22" s="4"/>
      <c r="F22" s="4"/>
    </row>
    <row r="23" spans="2:6" ht="18.75" x14ac:dyDescent="0.25">
      <c r="B23" s="4"/>
      <c r="C23" s="4" t="s">
        <v>15</v>
      </c>
      <c r="D23" s="4">
        <v>2435</v>
      </c>
      <c r="E23" s="4"/>
      <c r="F23" s="4"/>
    </row>
    <row r="24" spans="2:6" ht="18.75" x14ac:dyDescent="0.25">
      <c r="B24" s="4"/>
      <c r="C24" s="4"/>
      <c r="D24" s="4">
        <v>0</v>
      </c>
      <c r="E24" s="4"/>
      <c r="F24" s="4"/>
    </row>
    <row r="25" spans="2:6" ht="18.75" x14ac:dyDescent="0.25">
      <c r="B25" s="4"/>
      <c r="C25" s="4" t="s">
        <v>16</v>
      </c>
      <c r="D25" s="4">
        <v>7810</v>
      </c>
      <c r="E25" s="4"/>
      <c r="F25" s="4"/>
    </row>
    <row r="26" spans="2:6" ht="18.75" x14ac:dyDescent="0.25">
      <c r="B26" s="4"/>
      <c r="C26" s="4" t="s">
        <v>17</v>
      </c>
      <c r="D26" s="4">
        <v>1400</v>
      </c>
      <c r="E26" s="4"/>
      <c r="F26" s="4"/>
    </row>
    <row r="27" spans="2:6" ht="18.75" x14ac:dyDescent="0.25">
      <c r="B27" s="4"/>
      <c r="C27" s="4" t="s">
        <v>18</v>
      </c>
      <c r="D27" s="4">
        <v>4000</v>
      </c>
      <c r="E27" s="4"/>
      <c r="F27" s="4"/>
    </row>
    <row r="28" spans="2:6" ht="18.75" x14ac:dyDescent="0.25">
      <c r="B28" s="4"/>
      <c r="C28" s="4"/>
      <c r="D28" s="4">
        <v>0</v>
      </c>
      <c r="E28" s="4"/>
      <c r="F28" s="4"/>
    </row>
    <row r="29" spans="2:6" ht="18.75" x14ac:dyDescent="0.25">
      <c r="B29" s="4"/>
      <c r="C29" s="4" t="s">
        <v>19</v>
      </c>
      <c r="D29" s="4">
        <v>37428</v>
      </c>
      <c r="E29" s="4"/>
      <c r="F29" s="4"/>
    </row>
    <row r="30" spans="2:6" ht="18.75" x14ac:dyDescent="0.25">
      <c r="B30" s="4"/>
      <c r="C30" s="4" t="s">
        <v>20</v>
      </c>
      <c r="D30" s="4">
        <f>126483+75000</f>
        <v>201483</v>
      </c>
      <c r="E30" s="4"/>
      <c r="F30" s="4"/>
    </row>
    <row r="31" spans="2:6" ht="18.75" x14ac:dyDescent="0.25">
      <c r="B31" s="4" t="s">
        <v>21</v>
      </c>
      <c r="C31" s="4"/>
      <c r="D31" s="4"/>
      <c r="E31" s="10">
        <f>SUM(D32:D43)</f>
        <v>259384</v>
      </c>
      <c r="F31" s="10"/>
    </row>
    <row r="32" spans="2:6" ht="18.75" x14ac:dyDescent="0.25">
      <c r="C32" s="4" t="s">
        <v>8</v>
      </c>
      <c r="D32" s="4">
        <f>12000+5000</f>
        <v>17000</v>
      </c>
      <c r="E32" s="4"/>
      <c r="F32" s="4"/>
    </row>
    <row r="33" spans="2:6" ht="18.75" x14ac:dyDescent="0.25">
      <c r="B33" s="4"/>
      <c r="C33" s="4" t="s">
        <v>22</v>
      </c>
      <c r="D33" s="4">
        <f>44000+5230</f>
        <v>49230</v>
      </c>
      <c r="E33" s="4"/>
      <c r="F33" s="4"/>
    </row>
    <row r="34" spans="2:6" ht="18.75" x14ac:dyDescent="0.25">
      <c r="B34" s="4"/>
      <c r="C34" s="4" t="s">
        <v>20</v>
      </c>
      <c r="D34" s="4">
        <v>71500</v>
      </c>
      <c r="E34" s="4"/>
      <c r="F34" s="4"/>
    </row>
    <row r="35" spans="2:6" ht="18.75" x14ac:dyDescent="0.25">
      <c r="B35" s="4"/>
      <c r="C35" s="4" t="s">
        <v>23</v>
      </c>
      <c r="D35" s="4">
        <v>1450</v>
      </c>
    </row>
    <row r="36" spans="2:6" ht="18.75" x14ac:dyDescent="0.25">
      <c r="B36" s="4"/>
      <c r="C36" s="4" t="s">
        <v>24</v>
      </c>
      <c r="D36" s="4">
        <v>11737</v>
      </c>
      <c r="E36" s="4"/>
      <c r="F36" s="4"/>
    </row>
    <row r="37" spans="2:6" ht="18.75" x14ac:dyDescent="0.25">
      <c r="B37" s="4"/>
      <c r="C37" s="4" t="s">
        <v>25</v>
      </c>
      <c r="D37" s="4">
        <v>19637</v>
      </c>
      <c r="E37" s="4"/>
      <c r="F37" s="4"/>
    </row>
    <row r="38" spans="2:6" ht="18.75" x14ac:dyDescent="0.25">
      <c r="B38" s="4"/>
      <c r="C38" s="4" t="s">
        <v>26</v>
      </c>
      <c r="D38" s="4">
        <v>9185</v>
      </c>
      <c r="E38" s="4"/>
      <c r="F38" s="4"/>
    </row>
    <row r="39" spans="2:6" ht="18.75" x14ac:dyDescent="0.25">
      <c r="B39" s="4"/>
      <c r="C39" s="4" t="s">
        <v>27</v>
      </c>
      <c r="D39" s="4">
        <v>9800</v>
      </c>
      <c r="E39" s="4"/>
      <c r="F39" s="4"/>
    </row>
    <row r="40" spans="2:6" ht="18.75" x14ac:dyDescent="0.25">
      <c r="B40" s="4"/>
      <c r="C40" s="4" t="s">
        <v>28</v>
      </c>
      <c r="D40" s="4">
        <v>13295</v>
      </c>
      <c r="E40" s="4"/>
      <c r="F40" s="4"/>
    </row>
    <row r="41" spans="2:6" ht="18.75" x14ac:dyDescent="0.25">
      <c r="B41" s="4"/>
      <c r="C41" s="4" t="s">
        <v>29</v>
      </c>
      <c r="D41" s="4">
        <v>45590</v>
      </c>
      <c r="E41" s="4"/>
      <c r="F41" s="4"/>
    </row>
    <row r="42" spans="2:6" ht="18.75" x14ac:dyDescent="0.25">
      <c r="B42" s="4"/>
      <c r="C42" s="4" t="s">
        <v>30</v>
      </c>
      <c r="D42" s="4">
        <v>8860</v>
      </c>
      <c r="E42" s="4"/>
      <c r="F42" s="4"/>
    </row>
    <row r="43" spans="2:6" ht="18.75" x14ac:dyDescent="0.25">
      <c r="B43" s="4"/>
      <c r="C43" s="4" t="s">
        <v>31</v>
      </c>
      <c r="D43" s="4">
        <v>2100</v>
      </c>
      <c r="E43" s="4"/>
      <c r="F43" s="4"/>
    </row>
    <row r="44" spans="2:6" ht="18.75" x14ac:dyDescent="0.25">
      <c r="B44" s="4"/>
      <c r="C44" s="4" t="s">
        <v>32</v>
      </c>
      <c r="D44" s="4">
        <v>1300</v>
      </c>
      <c r="E44" s="4"/>
      <c r="F44" s="4"/>
    </row>
    <row r="45" spans="2:6" ht="18.75" x14ac:dyDescent="0.25">
      <c r="B45" s="4"/>
      <c r="C45" s="4" t="s">
        <v>33</v>
      </c>
      <c r="D45" s="4">
        <v>2750</v>
      </c>
      <c r="E45" s="4"/>
      <c r="F45" s="4"/>
    </row>
    <row r="46" spans="2:6" ht="18.75" x14ac:dyDescent="0.25">
      <c r="B46" s="4"/>
      <c r="C46" s="4"/>
      <c r="D46" s="4"/>
      <c r="E46" s="4"/>
      <c r="F46" s="4"/>
    </row>
    <row r="47" spans="2:6" ht="18.75" x14ac:dyDescent="0.25">
      <c r="B47" s="4"/>
      <c r="C47" s="4"/>
      <c r="D47" s="4"/>
      <c r="E47" s="4"/>
      <c r="F47" s="4"/>
    </row>
    <row r="48" spans="2:6" ht="18.75" x14ac:dyDescent="0.25">
      <c r="B48" s="4" t="s">
        <v>34</v>
      </c>
      <c r="C48" s="4"/>
      <c r="D48" s="4"/>
      <c r="E48" s="4">
        <f>D49+D50</f>
        <v>126120</v>
      </c>
      <c r="F48" s="4"/>
    </row>
    <row r="49" spans="2:6" ht="18.75" x14ac:dyDescent="0.25">
      <c r="B49" s="4"/>
      <c r="C49" s="4" t="s">
        <v>35</v>
      </c>
      <c r="D49" s="4">
        <v>50671</v>
      </c>
      <c r="E49" s="4"/>
      <c r="F49" s="4"/>
    </row>
    <row r="50" spans="2:6" ht="18.75" x14ac:dyDescent="0.25">
      <c r="B50" s="4"/>
      <c r="C50" s="4" t="s">
        <v>36</v>
      </c>
      <c r="D50" s="4">
        <v>75449</v>
      </c>
      <c r="E50" s="4"/>
      <c r="F50" s="4"/>
    </row>
    <row r="51" spans="2:6" ht="18.75" x14ac:dyDescent="0.25">
      <c r="B51" s="4"/>
      <c r="C51" s="4"/>
      <c r="D51" s="4"/>
      <c r="E51" s="4"/>
      <c r="F51" s="4"/>
    </row>
    <row r="52" spans="2:6" ht="18.75" x14ac:dyDescent="0.25">
      <c r="B52" s="4"/>
      <c r="C52" s="4"/>
      <c r="D52" s="4"/>
      <c r="E52" s="4"/>
      <c r="F52" s="4"/>
    </row>
    <row r="53" spans="2:6" ht="18.75" x14ac:dyDescent="0.25">
      <c r="B53" s="4"/>
      <c r="C53" s="4"/>
      <c r="D53" s="4"/>
      <c r="E53" s="4"/>
      <c r="F53" s="4"/>
    </row>
    <row r="54" spans="2:6" ht="18.75" x14ac:dyDescent="0.25">
      <c r="B54" s="4"/>
      <c r="E54" s="4"/>
      <c r="F54" s="4"/>
    </row>
    <row r="55" spans="2:6" ht="18.75" x14ac:dyDescent="0.25">
      <c r="B55" t="s">
        <v>37</v>
      </c>
      <c r="E55" s="6">
        <f>D9-E31-E12-E48</f>
        <v>398701</v>
      </c>
      <c r="F55" s="4"/>
    </row>
    <row r="56" spans="2:6" ht="18.75" x14ac:dyDescent="0.25">
      <c r="E56" s="4"/>
      <c r="F56" s="4"/>
    </row>
    <row r="57" spans="2:6" ht="18.75" x14ac:dyDescent="0.25">
      <c r="E57" s="4"/>
      <c r="F57" s="4"/>
    </row>
    <row r="58" spans="2:6" ht="18.75" x14ac:dyDescent="0.25">
      <c r="E58" s="4"/>
      <c r="F58" s="4"/>
    </row>
  </sheetData>
  <mergeCells count="2">
    <mergeCell ref="E18:F18"/>
    <mergeCell ref="E31: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5:I55"/>
  <sheetViews>
    <sheetView topLeftCell="F1" workbookViewId="0">
      <selection activeCell="G16" sqref="G16"/>
    </sheetView>
  </sheetViews>
  <sheetFormatPr defaultColWidth="9.953125" defaultRowHeight="15" x14ac:dyDescent="0.2"/>
  <cols>
    <col min="5" max="5" width="28.3828125" customWidth="1"/>
    <col min="6" max="6" width="22.05859375" customWidth="1"/>
    <col min="7" max="7" width="17.890625" bestFit="1" customWidth="1"/>
    <col min="8" max="8" width="17.08203125" bestFit="1" customWidth="1"/>
  </cols>
  <sheetData>
    <row r="5" spans="5:8" ht="18.75" x14ac:dyDescent="0.2">
      <c r="E5" s="1"/>
      <c r="F5" s="2"/>
      <c r="G5" s="3"/>
    </row>
    <row r="6" spans="5:8" ht="18.75" x14ac:dyDescent="0.2">
      <c r="E6" s="1"/>
      <c r="F6" s="2"/>
      <c r="G6" s="3"/>
    </row>
    <row r="7" spans="5:8" ht="18.75" x14ac:dyDescent="0.25">
      <c r="E7" s="2" t="s">
        <v>0</v>
      </c>
      <c r="F7" s="4"/>
      <c r="G7" s="3">
        <v>3005991</v>
      </c>
    </row>
    <row r="8" spans="5:8" ht="18.75" x14ac:dyDescent="0.2">
      <c r="E8" s="1"/>
      <c r="F8" s="2" t="s">
        <v>1</v>
      </c>
      <c r="G8" s="3">
        <v>1745079.0479000006</v>
      </c>
    </row>
    <row r="9" spans="5:8" ht="18.75" x14ac:dyDescent="0.2">
      <c r="E9" s="1"/>
      <c r="F9" s="2" t="s">
        <v>2</v>
      </c>
      <c r="G9" s="3">
        <f>G7-G8</f>
        <v>1260911.9520999994</v>
      </c>
    </row>
    <row r="10" spans="5:8" ht="18.75" x14ac:dyDescent="0.2">
      <c r="E10" s="1"/>
      <c r="F10" s="2"/>
      <c r="G10" s="3"/>
    </row>
    <row r="11" spans="5:8" ht="18.75" x14ac:dyDescent="0.2">
      <c r="E11" s="1"/>
      <c r="F11" s="2"/>
      <c r="G11" s="3"/>
    </row>
    <row r="12" spans="5:8" ht="18.75" x14ac:dyDescent="0.25">
      <c r="E12" s="1" t="s">
        <v>44</v>
      </c>
      <c r="F12" s="4" t="s">
        <v>4</v>
      </c>
      <c r="H12" s="4">
        <f>SUM(G13:G30)</f>
        <v>413078.66666666663</v>
      </c>
    </row>
    <row r="13" spans="5:8" ht="18.75" x14ac:dyDescent="0.25">
      <c r="E13" s="1" t="s">
        <v>45</v>
      </c>
      <c r="F13" s="4" t="s">
        <v>5</v>
      </c>
      <c r="G13" s="4">
        <v>12755</v>
      </c>
    </row>
    <row r="14" spans="5:8" ht="18.75" x14ac:dyDescent="0.25">
      <c r="E14" s="1"/>
      <c r="F14" s="4" t="s">
        <v>6</v>
      </c>
      <c r="G14" s="4">
        <v>5000</v>
      </c>
    </row>
    <row r="15" spans="5:8" ht="18.75" x14ac:dyDescent="0.25">
      <c r="E15" s="1"/>
      <c r="F15" s="4" t="s">
        <v>7</v>
      </c>
      <c r="G15" s="4">
        <v>9055</v>
      </c>
    </row>
    <row r="16" spans="5:8" ht="18.75" x14ac:dyDescent="0.25">
      <c r="E16" s="1"/>
      <c r="F16" s="4" t="s">
        <v>8</v>
      </c>
      <c r="G16" s="4">
        <f>7000+3800+2000+4000+42350</f>
        <v>59150</v>
      </c>
    </row>
    <row r="17" spans="5:9" ht="18.75" x14ac:dyDescent="0.25">
      <c r="E17" s="1"/>
      <c r="F17" s="4" t="s">
        <v>9</v>
      </c>
      <c r="G17" s="4">
        <v>13570</v>
      </c>
      <c r="H17" s="4"/>
      <c r="I17" s="4"/>
    </row>
    <row r="18" spans="5:9" ht="18.75" x14ac:dyDescent="0.25">
      <c r="E18" s="1"/>
      <c r="F18" s="4"/>
      <c r="G18" s="4"/>
      <c r="H18" s="4"/>
      <c r="I18" s="4"/>
    </row>
    <row r="19" spans="5:9" ht="18.75" x14ac:dyDescent="0.25">
      <c r="E19" s="1"/>
      <c r="F19" s="4" t="s">
        <v>11</v>
      </c>
      <c r="G19" s="4">
        <v>1650</v>
      </c>
      <c r="H19" s="5"/>
      <c r="I19" s="5"/>
    </row>
    <row r="20" spans="5:9" ht="18.75" x14ac:dyDescent="0.25">
      <c r="E20" s="1"/>
      <c r="F20" s="4" t="s">
        <v>12</v>
      </c>
      <c r="G20" s="4">
        <f>74120-150</f>
        <v>73970</v>
      </c>
      <c r="H20" s="4"/>
      <c r="I20" s="4"/>
    </row>
    <row r="21" spans="5:9" ht="18.75" x14ac:dyDescent="0.25">
      <c r="E21" s="1"/>
      <c r="F21" s="4" t="s">
        <v>13</v>
      </c>
      <c r="G21" s="4">
        <f>10085-3500</f>
        <v>6585</v>
      </c>
      <c r="H21" s="4"/>
      <c r="I21" s="4"/>
    </row>
    <row r="22" spans="5:9" ht="18.75" x14ac:dyDescent="0.25">
      <c r="E22" s="1"/>
      <c r="F22" s="4" t="s">
        <v>42</v>
      </c>
      <c r="G22" s="4">
        <v>5514</v>
      </c>
      <c r="H22" s="4"/>
      <c r="I22" s="4"/>
    </row>
    <row r="23" spans="5:9" ht="18.75" x14ac:dyDescent="0.25">
      <c r="E23" s="4"/>
      <c r="F23" s="4" t="s">
        <v>15</v>
      </c>
      <c r="G23" s="4">
        <v>826</v>
      </c>
      <c r="H23" s="4"/>
      <c r="I23" s="4"/>
    </row>
    <row r="24" spans="5:9" ht="18.75" x14ac:dyDescent="0.25">
      <c r="E24" s="4"/>
      <c r="F24" s="4" t="s">
        <v>38</v>
      </c>
      <c r="G24" s="4">
        <v>940</v>
      </c>
      <c r="H24" s="4"/>
      <c r="I24" s="4"/>
    </row>
    <row r="25" spans="5:9" ht="18.75" x14ac:dyDescent="0.25">
      <c r="E25" s="4"/>
      <c r="F25" s="4" t="s">
        <v>16</v>
      </c>
      <c r="G25" s="4">
        <v>35075</v>
      </c>
      <c r="H25" s="4"/>
      <c r="I25" s="4"/>
    </row>
    <row r="26" spans="5:9" ht="18.75" x14ac:dyDescent="0.25">
      <c r="E26" s="4"/>
      <c r="F26" s="4" t="s">
        <v>41</v>
      </c>
      <c r="G26" s="4">
        <v>4131</v>
      </c>
      <c r="H26" s="4"/>
      <c r="I26" s="4"/>
    </row>
    <row r="27" spans="5:9" ht="18.75" x14ac:dyDescent="0.25">
      <c r="E27" s="4"/>
      <c r="F27" s="4" t="s">
        <v>18</v>
      </c>
      <c r="G27" s="4">
        <v>14000</v>
      </c>
      <c r="H27" s="4"/>
      <c r="I27" s="4"/>
    </row>
    <row r="28" spans="5:9" ht="18.75" x14ac:dyDescent="0.25">
      <c r="E28" s="4"/>
      <c r="F28" s="4" t="s">
        <v>40</v>
      </c>
      <c r="G28" s="4">
        <v>5000</v>
      </c>
      <c r="H28" s="4"/>
      <c r="I28" s="4"/>
    </row>
    <row r="29" spans="5:9" ht="18.75" x14ac:dyDescent="0.25">
      <c r="E29" s="4"/>
      <c r="F29" s="4" t="s">
        <v>39</v>
      </c>
      <c r="G29" s="4">
        <v>43274</v>
      </c>
      <c r="H29" s="4"/>
      <c r="I29" s="4"/>
    </row>
    <row r="30" spans="5:9" ht="18.75" x14ac:dyDescent="0.25">
      <c r="E30" s="4"/>
      <c r="F30" s="4" t="s">
        <v>20</v>
      </c>
      <c r="G30" s="4">
        <f>189117-G34</f>
        <v>122583.66666666666</v>
      </c>
      <c r="H30" s="4"/>
      <c r="I30" s="4"/>
    </row>
    <row r="31" spans="5:9" ht="18.75" x14ac:dyDescent="0.25">
      <c r="E31" s="4" t="s">
        <v>43</v>
      </c>
      <c r="F31" s="4"/>
      <c r="G31" s="4"/>
      <c r="H31" s="4">
        <f>SUM(G32:G43)</f>
        <v>324112.33333333337</v>
      </c>
      <c r="I31" s="4"/>
    </row>
    <row r="32" spans="5:9" ht="18.75" x14ac:dyDescent="0.25">
      <c r="F32" s="4" t="s">
        <v>8</v>
      </c>
      <c r="G32" s="4">
        <f>12000+5000</f>
        <v>17000</v>
      </c>
      <c r="H32" s="4"/>
      <c r="I32" s="4"/>
    </row>
    <row r="33" spans="5:9" ht="18.75" x14ac:dyDescent="0.25">
      <c r="E33" s="4"/>
      <c r="F33" s="4" t="s">
        <v>22</v>
      </c>
      <c r="G33" s="4">
        <f>51972+7000</f>
        <v>58972</v>
      </c>
      <c r="H33" s="4"/>
      <c r="I33" s="4"/>
    </row>
    <row r="34" spans="5:9" ht="18.75" x14ac:dyDescent="0.25">
      <c r="E34" s="4"/>
      <c r="F34" s="4" t="s">
        <v>20</v>
      </c>
      <c r="G34" s="4">
        <v>66533.333333333343</v>
      </c>
      <c r="H34" s="4"/>
      <c r="I34" s="4"/>
    </row>
    <row r="35" spans="5:9" ht="18.75" x14ac:dyDescent="0.25">
      <c r="E35" s="4"/>
      <c r="F35" s="4" t="s">
        <v>23</v>
      </c>
      <c r="G35" s="4">
        <v>3385</v>
      </c>
    </row>
    <row r="36" spans="5:9" ht="18.75" x14ac:dyDescent="0.25">
      <c r="E36" s="4"/>
      <c r="F36" s="4" t="s">
        <v>24</v>
      </c>
      <c r="G36" s="4">
        <v>17970</v>
      </c>
      <c r="H36" s="4"/>
      <c r="I36" s="4"/>
    </row>
    <row r="37" spans="5:9" ht="18.75" x14ac:dyDescent="0.25">
      <c r="E37" s="4"/>
      <c r="F37" s="4" t="s">
        <v>25</v>
      </c>
      <c r="G37" s="4">
        <v>15665</v>
      </c>
      <c r="H37" s="4"/>
      <c r="I37" s="4"/>
    </row>
    <row r="38" spans="5:9" ht="18.75" x14ac:dyDescent="0.25">
      <c r="E38" s="4"/>
      <c r="F38" s="4" t="s">
        <v>26</v>
      </c>
      <c r="G38" s="4">
        <v>36600</v>
      </c>
      <c r="H38" s="4"/>
      <c r="I38" s="4"/>
    </row>
    <row r="39" spans="5:9" ht="18.75" x14ac:dyDescent="0.25">
      <c r="E39" s="4"/>
      <c r="F39" s="4" t="s">
        <v>27</v>
      </c>
      <c r="G39" s="4">
        <v>24610</v>
      </c>
      <c r="H39" s="4"/>
      <c r="I39" s="4"/>
    </row>
    <row r="40" spans="5:9" ht="18.75" x14ac:dyDescent="0.25">
      <c r="E40" s="4"/>
      <c r="F40" s="4" t="s">
        <v>28</v>
      </c>
      <c r="G40" s="4">
        <v>14900</v>
      </c>
      <c r="H40" s="4"/>
      <c r="I40" s="4"/>
    </row>
    <row r="41" spans="5:9" ht="18.75" x14ac:dyDescent="0.25">
      <c r="E41" s="4"/>
      <c r="F41" s="4" t="s">
        <v>29</v>
      </c>
      <c r="G41" s="4">
        <v>63147</v>
      </c>
      <c r="H41" s="4"/>
      <c r="I41" s="4"/>
    </row>
    <row r="42" spans="5:9" ht="18.75" x14ac:dyDescent="0.25">
      <c r="E42" s="4"/>
      <c r="F42" s="4" t="s">
        <v>30</v>
      </c>
      <c r="G42" s="4">
        <v>5330</v>
      </c>
      <c r="H42" s="4"/>
      <c r="I42" s="4"/>
    </row>
    <row r="43" spans="5:9" ht="18.75" x14ac:dyDescent="0.25">
      <c r="E43" s="4"/>
      <c r="F43" s="4" t="s">
        <v>31</v>
      </c>
      <c r="G43" s="4">
        <v>0</v>
      </c>
      <c r="H43" s="4"/>
      <c r="I43" s="4"/>
    </row>
    <row r="44" spans="5:9" ht="18.75" x14ac:dyDescent="0.25">
      <c r="E44" s="4"/>
      <c r="F44" s="4" t="s">
        <v>32</v>
      </c>
      <c r="G44" s="4">
        <v>0</v>
      </c>
      <c r="H44" s="4"/>
      <c r="I44" s="4"/>
    </row>
    <row r="45" spans="5:9" ht="18.75" x14ac:dyDescent="0.25">
      <c r="E45" s="4"/>
      <c r="F45" s="4" t="s">
        <v>33</v>
      </c>
      <c r="G45" s="4">
        <v>5200</v>
      </c>
      <c r="H45" s="4"/>
      <c r="I45" s="4"/>
    </row>
    <row r="46" spans="5:9" ht="18.75" x14ac:dyDescent="0.25">
      <c r="E46" s="4"/>
      <c r="F46" s="4"/>
      <c r="G46" s="4"/>
      <c r="H46" s="4"/>
      <c r="I46" s="4"/>
    </row>
    <row r="47" spans="5:9" ht="18.75" x14ac:dyDescent="0.25">
      <c r="E47" s="4"/>
      <c r="F47" s="4"/>
      <c r="G47" s="4"/>
      <c r="H47" s="4"/>
      <c r="I47" s="4"/>
    </row>
    <row r="48" spans="5:9" ht="18.75" x14ac:dyDescent="0.25">
      <c r="E48" s="4" t="s">
        <v>34</v>
      </c>
      <c r="F48" s="4"/>
      <c r="G48" s="4"/>
      <c r="H48" s="4">
        <f>G49+G50</f>
        <v>0</v>
      </c>
      <c r="I48" s="4"/>
    </row>
    <row r="49" spans="5:9" ht="18.75" x14ac:dyDescent="0.25">
      <c r="E49" s="4"/>
      <c r="F49" s="4" t="s">
        <v>35</v>
      </c>
      <c r="G49" s="4">
        <v>0</v>
      </c>
      <c r="H49" s="4"/>
      <c r="I49" s="4"/>
    </row>
    <row r="50" spans="5:9" ht="18.75" x14ac:dyDescent="0.25">
      <c r="E50" s="4"/>
      <c r="F50" s="4" t="s">
        <v>36</v>
      </c>
      <c r="G50" s="4">
        <v>0</v>
      </c>
      <c r="H50" s="4"/>
      <c r="I50" s="4"/>
    </row>
    <row r="51" spans="5:9" ht="18.75" x14ac:dyDescent="0.25">
      <c r="E51" s="4"/>
      <c r="F51" s="4"/>
      <c r="G51" s="4"/>
      <c r="H51" s="4"/>
      <c r="I51" s="4"/>
    </row>
    <row r="52" spans="5:9" ht="18.75" x14ac:dyDescent="0.25">
      <c r="E52" s="4"/>
      <c r="F52" s="4"/>
      <c r="G52" s="4"/>
      <c r="H52" s="4"/>
      <c r="I52" s="4"/>
    </row>
    <row r="53" spans="5:9" ht="18.75" x14ac:dyDescent="0.25">
      <c r="E53" s="4"/>
      <c r="F53" s="4"/>
      <c r="G53" s="4"/>
      <c r="H53" s="4"/>
      <c r="I53" s="4"/>
    </row>
    <row r="54" spans="5:9" ht="18.75" x14ac:dyDescent="0.25">
      <c r="E54" s="4"/>
      <c r="H54" s="4"/>
      <c r="I54" s="4"/>
    </row>
    <row r="55" spans="5:9" ht="18.75" x14ac:dyDescent="0.25">
      <c r="E55" t="s">
        <v>37</v>
      </c>
      <c r="H55" s="6">
        <f>G9-H31-H12-H48</f>
        <v>523720.95209999941</v>
      </c>
      <c r="I5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6:K56"/>
  <sheetViews>
    <sheetView workbookViewId="0">
      <selection activeCell="I16" sqref="I16"/>
    </sheetView>
  </sheetViews>
  <sheetFormatPr defaultColWidth="9.953125" defaultRowHeight="15" x14ac:dyDescent="0.2"/>
  <cols>
    <col min="7" max="7" width="32.28515625" bestFit="1" customWidth="1"/>
    <col min="8" max="8" width="37.80078125" bestFit="1" customWidth="1"/>
    <col min="9" max="9" width="17.890625" bestFit="1" customWidth="1"/>
    <col min="10" max="10" width="17.08203125" bestFit="1" customWidth="1"/>
  </cols>
  <sheetData>
    <row r="6" spans="7:10" ht="18.75" x14ac:dyDescent="0.2">
      <c r="G6" s="1"/>
      <c r="H6" s="2"/>
      <c r="I6" s="3"/>
    </row>
    <row r="7" spans="7:10" ht="18.75" x14ac:dyDescent="0.2">
      <c r="G7" s="1"/>
      <c r="H7" s="2"/>
      <c r="I7" s="3"/>
    </row>
    <row r="8" spans="7:10" ht="18.75" x14ac:dyDescent="0.25">
      <c r="G8" s="2" t="s">
        <v>0</v>
      </c>
      <c r="H8" s="4"/>
      <c r="I8" s="3">
        <v>3850745</v>
      </c>
    </row>
    <row r="9" spans="7:10" ht="18.75" x14ac:dyDescent="0.2">
      <c r="G9" s="1"/>
      <c r="H9" s="2" t="s">
        <v>1</v>
      </c>
      <c r="I9" s="3">
        <v>2633584.3971000006</v>
      </c>
    </row>
    <row r="10" spans="7:10" ht="18.75" x14ac:dyDescent="0.2">
      <c r="G10" s="1"/>
      <c r="H10" s="2" t="s">
        <v>2</v>
      </c>
      <c r="I10" s="3">
        <f>I8-I9</f>
        <v>1217160.6028999994</v>
      </c>
    </row>
    <row r="11" spans="7:10" ht="18.75" x14ac:dyDescent="0.2">
      <c r="G11" s="1"/>
      <c r="H11" s="2"/>
      <c r="I11" s="3"/>
    </row>
    <row r="12" spans="7:10" ht="18.75" x14ac:dyDescent="0.2">
      <c r="G12" s="1"/>
      <c r="H12" s="2"/>
      <c r="I12" s="3"/>
    </row>
    <row r="13" spans="7:10" ht="18.75" x14ac:dyDescent="0.25">
      <c r="G13" s="1" t="s">
        <v>51</v>
      </c>
      <c r="H13" s="4" t="s">
        <v>4</v>
      </c>
      <c r="J13" s="4">
        <f>SUM(I14:I32)</f>
        <v>466308</v>
      </c>
    </row>
    <row r="14" spans="7:10" ht="18.75" x14ac:dyDescent="0.25">
      <c r="G14" s="1" t="s">
        <v>45</v>
      </c>
      <c r="H14" s="4" t="s">
        <v>49</v>
      </c>
      <c r="I14" s="4">
        <v>7000</v>
      </c>
    </row>
    <row r="15" spans="7:10" ht="18.75" x14ac:dyDescent="0.25">
      <c r="G15" s="1"/>
      <c r="H15" s="4" t="s">
        <v>5</v>
      </c>
      <c r="I15" s="4">
        <v>3150</v>
      </c>
    </row>
    <row r="16" spans="7:10" ht="18.75" x14ac:dyDescent="0.25">
      <c r="G16" s="1"/>
      <c r="H16" s="4" t="s">
        <v>6</v>
      </c>
      <c r="I16" s="4">
        <v>5000</v>
      </c>
    </row>
    <row r="17" spans="7:11" ht="18.75" x14ac:dyDescent="0.25">
      <c r="G17" s="1"/>
      <c r="H17" s="4" t="s">
        <v>7</v>
      </c>
      <c r="I17" s="4">
        <v>7600</v>
      </c>
    </row>
    <row r="18" spans="7:11" ht="18.75" x14ac:dyDescent="0.25">
      <c r="G18" s="1"/>
      <c r="H18" s="4" t="s">
        <v>8</v>
      </c>
      <c r="I18" s="4">
        <f>42350+2000+3500+4000</f>
        <v>51850</v>
      </c>
      <c r="J18" s="4"/>
      <c r="K18" s="4"/>
    </row>
    <row r="19" spans="7:11" ht="18.75" x14ac:dyDescent="0.25">
      <c r="G19" s="1"/>
      <c r="H19" s="4" t="s">
        <v>9</v>
      </c>
      <c r="I19" s="4">
        <v>31950</v>
      </c>
      <c r="J19" s="4"/>
      <c r="K19" s="4"/>
    </row>
    <row r="20" spans="7:11" ht="18.75" x14ac:dyDescent="0.25">
      <c r="G20" s="1"/>
      <c r="H20" s="4" t="s">
        <v>46</v>
      </c>
      <c r="I20" s="4">
        <f>195+305</f>
        <v>500</v>
      </c>
      <c r="J20" s="5"/>
      <c r="K20" s="5"/>
    </row>
    <row r="21" spans="7:11" ht="18.75" x14ac:dyDescent="0.25">
      <c r="G21" s="1"/>
      <c r="H21" s="4" t="s">
        <v>11</v>
      </c>
      <c r="I21" s="4">
        <v>1650</v>
      </c>
      <c r="J21" s="4"/>
      <c r="K21" s="4"/>
    </row>
    <row r="22" spans="7:11" ht="18.75" x14ac:dyDescent="0.25">
      <c r="G22" s="1"/>
      <c r="H22" s="4" t="s">
        <v>12</v>
      </c>
      <c r="I22" s="4">
        <f>27000+58935+2000</f>
        <v>87935</v>
      </c>
      <c r="J22" s="4"/>
      <c r="K22" s="4"/>
    </row>
    <row r="23" spans="7:11" ht="18.75" x14ac:dyDescent="0.25">
      <c r="G23" s="1"/>
      <c r="H23" s="4" t="s">
        <v>13</v>
      </c>
      <c r="I23" s="4">
        <f>500+60+1075+380+65</f>
        <v>2080</v>
      </c>
      <c r="J23" s="4"/>
      <c r="K23" s="4"/>
    </row>
    <row r="24" spans="7:11" ht="18.75" x14ac:dyDescent="0.25">
      <c r="G24" s="4"/>
      <c r="H24" s="4" t="s">
        <v>47</v>
      </c>
      <c r="I24" s="4">
        <v>4000</v>
      </c>
      <c r="J24" s="4"/>
      <c r="K24" s="4"/>
    </row>
    <row r="25" spans="7:11" ht="18.75" x14ac:dyDescent="0.25">
      <c r="G25" s="4"/>
      <c r="H25" s="4" t="s">
        <v>15</v>
      </c>
      <c r="I25" s="4">
        <v>6345</v>
      </c>
      <c r="J25" s="4"/>
      <c r="K25" s="4"/>
    </row>
    <row r="26" spans="7:11" ht="18.75" x14ac:dyDescent="0.25">
      <c r="G26" s="4"/>
      <c r="H26" s="4" t="s">
        <v>48</v>
      </c>
      <c r="I26" s="4">
        <v>23800</v>
      </c>
      <c r="J26" s="4"/>
      <c r="K26" s="4"/>
    </row>
    <row r="27" spans="7:11" ht="18.75" x14ac:dyDescent="0.25">
      <c r="G27" s="4"/>
      <c r="H27" s="4" t="s">
        <v>16</v>
      </c>
      <c r="I27" s="4">
        <v>19995</v>
      </c>
      <c r="J27" s="4"/>
      <c r="K27" s="4"/>
    </row>
    <row r="28" spans="7:11" ht="18.75" x14ac:dyDescent="0.25">
      <c r="G28" s="4"/>
      <c r="H28" s="4" t="s">
        <v>41</v>
      </c>
      <c r="I28" s="4">
        <v>3250</v>
      </c>
      <c r="J28" s="4"/>
      <c r="K28" s="4"/>
    </row>
    <row r="29" spans="7:11" ht="18.75" x14ac:dyDescent="0.25">
      <c r="G29" s="4"/>
      <c r="H29" s="4" t="s">
        <v>18</v>
      </c>
      <c r="I29" s="4">
        <v>5000</v>
      </c>
      <c r="J29" s="4"/>
      <c r="K29" s="4"/>
    </row>
    <row r="30" spans="7:11" ht="18.75" x14ac:dyDescent="0.25">
      <c r="G30" s="4"/>
      <c r="H30" s="4" t="s">
        <v>40</v>
      </c>
      <c r="I30" s="4">
        <v>5000</v>
      </c>
      <c r="J30" s="4"/>
      <c r="K30" s="4"/>
    </row>
    <row r="31" spans="7:11" ht="18.75" x14ac:dyDescent="0.25">
      <c r="G31" s="4"/>
      <c r="H31" s="4" t="s">
        <v>39</v>
      </c>
      <c r="I31" s="4">
        <v>62203</v>
      </c>
      <c r="J31" s="4"/>
      <c r="K31" s="4"/>
    </row>
    <row r="32" spans="7:11" ht="18.75" x14ac:dyDescent="0.25">
      <c r="G32" s="4" t="s">
        <v>50</v>
      </c>
      <c r="H32" s="4" t="s">
        <v>20</v>
      </c>
      <c r="I32" s="4">
        <v>138000</v>
      </c>
      <c r="J32" s="4"/>
      <c r="K32" s="4"/>
    </row>
    <row r="33" spans="7:11" ht="18.75" x14ac:dyDescent="0.25">
      <c r="H33" s="4"/>
      <c r="I33" s="4"/>
      <c r="J33" s="4">
        <f>SUM(I34:I45)</f>
        <v>260120</v>
      </c>
      <c r="K33" s="4"/>
    </row>
    <row r="34" spans="7:11" ht="18.75" x14ac:dyDescent="0.25">
      <c r="G34" s="4"/>
      <c r="H34" s="4" t="s">
        <v>8</v>
      </c>
      <c r="I34" s="4">
        <v>12000</v>
      </c>
      <c r="J34" s="4"/>
      <c r="K34" s="4"/>
    </row>
    <row r="35" spans="7:11" ht="18.75" x14ac:dyDescent="0.25">
      <c r="G35" s="4"/>
      <c r="H35" s="4" t="s">
        <v>22</v>
      </c>
      <c r="I35" s="4">
        <f>46250+4215</f>
        <v>50465</v>
      </c>
      <c r="J35" s="4"/>
      <c r="K35" s="4"/>
    </row>
    <row r="36" spans="7:11" ht="18.75" x14ac:dyDescent="0.25">
      <c r="G36" s="4"/>
      <c r="H36" s="4" t="s">
        <v>20</v>
      </c>
      <c r="I36" s="4">
        <f>43065+7000</f>
        <v>50065</v>
      </c>
      <c r="J36" s="4"/>
    </row>
    <row r="37" spans="7:11" ht="18.75" x14ac:dyDescent="0.25">
      <c r="G37" s="4"/>
      <c r="H37" s="4" t="s">
        <v>23</v>
      </c>
      <c r="I37" s="4">
        <v>2110</v>
      </c>
      <c r="K37" s="4"/>
    </row>
    <row r="38" spans="7:11" ht="18.75" x14ac:dyDescent="0.25">
      <c r="G38" s="4"/>
      <c r="H38" s="4" t="s">
        <v>24</v>
      </c>
      <c r="I38" s="4">
        <v>18105</v>
      </c>
      <c r="J38" s="4"/>
      <c r="K38" s="4"/>
    </row>
    <row r="39" spans="7:11" ht="18.75" x14ac:dyDescent="0.25">
      <c r="G39" s="4"/>
      <c r="H39" s="4" t="s">
        <v>25</v>
      </c>
      <c r="I39" s="4">
        <v>13290</v>
      </c>
      <c r="J39" s="4"/>
      <c r="K39" s="4"/>
    </row>
    <row r="40" spans="7:11" ht="18.75" x14ac:dyDescent="0.25">
      <c r="G40" s="4"/>
      <c r="H40" s="4" t="s">
        <v>26</v>
      </c>
      <c r="I40" s="4">
        <v>50280</v>
      </c>
      <c r="J40" s="4"/>
      <c r="K40" s="4"/>
    </row>
    <row r="41" spans="7:11" ht="18.75" x14ac:dyDescent="0.25">
      <c r="G41" s="4"/>
      <c r="H41" s="4" t="s">
        <v>27</v>
      </c>
      <c r="I41" s="4">
        <v>10135</v>
      </c>
      <c r="J41" s="4"/>
      <c r="K41" s="4"/>
    </row>
    <row r="42" spans="7:11" ht="18.75" x14ac:dyDescent="0.25">
      <c r="G42" s="4"/>
      <c r="H42" s="4" t="s">
        <v>28</v>
      </c>
      <c r="I42" s="4">
        <v>19795</v>
      </c>
      <c r="J42" s="4"/>
      <c r="K42" s="4"/>
    </row>
    <row r="43" spans="7:11" ht="18.75" x14ac:dyDescent="0.25">
      <c r="G43" s="4"/>
      <c r="H43" s="4" t="s">
        <v>29</v>
      </c>
      <c r="I43" s="4">
        <v>29505</v>
      </c>
      <c r="J43" s="4"/>
      <c r="K43" s="4"/>
    </row>
    <row r="44" spans="7:11" ht="18.75" x14ac:dyDescent="0.25">
      <c r="G44" s="4"/>
      <c r="H44" s="4" t="s">
        <v>30</v>
      </c>
      <c r="I44" s="4">
        <v>4370</v>
      </c>
      <c r="J44" s="4"/>
      <c r="K44" s="4"/>
    </row>
    <row r="45" spans="7:11" ht="18.75" x14ac:dyDescent="0.25">
      <c r="G45" s="4"/>
      <c r="H45" s="4" t="s">
        <v>31</v>
      </c>
      <c r="I45" s="4">
        <v>0</v>
      </c>
      <c r="J45" s="4"/>
      <c r="K45" s="4"/>
    </row>
    <row r="46" spans="7:11" ht="18.75" x14ac:dyDescent="0.25">
      <c r="G46" s="4"/>
      <c r="H46" s="4" t="s">
        <v>32</v>
      </c>
      <c r="I46" s="4">
        <v>1750</v>
      </c>
      <c r="J46" s="4"/>
      <c r="K46" s="4"/>
    </row>
    <row r="47" spans="7:11" ht="18.75" x14ac:dyDescent="0.25">
      <c r="G47" s="4"/>
      <c r="H47" s="4" t="s">
        <v>33</v>
      </c>
      <c r="I47" s="4">
        <v>2850</v>
      </c>
      <c r="J47" s="4"/>
      <c r="K47" s="4"/>
    </row>
    <row r="48" spans="7:11" ht="18.75" x14ac:dyDescent="0.25">
      <c r="G48" s="4"/>
      <c r="H48" s="4"/>
      <c r="I48" s="4"/>
      <c r="J48" s="4"/>
      <c r="K48" s="4"/>
    </row>
    <row r="49" spans="7:11" ht="18.75" x14ac:dyDescent="0.25">
      <c r="G49" s="4" t="s">
        <v>34</v>
      </c>
      <c r="H49" s="4"/>
      <c r="I49" s="4"/>
      <c r="J49" s="4"/>
      <c r="K49" s="4"/>
    </row>
    <row r="50" spans="7:11" ht="18.75" x14ac:dyDescent="0.25">
      <c r="G50" s="4"/>
      <c r="H50" s="4"/>
      <c r="I50" s="4"/>
      <c r="J50" s="4">
        <f>I51+I52</f>
        <v>50137</v>
      </c>
      <c r="K50" s="4"/>
    </row>
    <row r="51" spans="7:11" ht="18.75" x14ac:dyDescent="0.25">
      <c r="G51" s="4"/>
      <c r="H51" s="4" t="s">
        <v>35</v>
      </c>
      <c r="I51" s="4">
        <v>9769</v>
      </c>
      <c r="J51" s="4"/>
      <c r="K51" s="4"/>
    </row>
    <row r="52" spans="7:11" ht="18.75" x14ac:dyDescent="0.25">
      <c r="G52" s="4"/>
      <c r="H52" s="4" t="s">
        <v>36</v>
      </c>
      <c r="I52" s="4">
        <v>40368</v>
      </c>
      <c r="J52" s="4"/>
      <c r="K52" s="4"/>
    </row>
    <row r="53" spans="7:11" ht="18.75" x14ac:dyDescent="0.25">
      <c r="G53" s="4"/>
      <c r="H53" s="4"/>
      <c r="I53" s="4"/>
      <c r="J53" s="4"/>
      <c r="K53" s="4"/>
    </row>
    <row r="54" spans="7:11" ht="18.75" x14ac:dyDescent="0.25">
      <c r="G54" s="4"/>
      <c r="H54" s="4"/>
      <c r="I54" s="4"/>
      <c r="J54" s="4"/>
      <c r="K54" s="4"/>
    </row>
    <row r="55" spans="7:11" ht="18.75" x14ac:dyDescent="0.25">
      <c r="G55" s="4"/>
      <c r="H55" s="4"/>
      <c r="I55" s="4"/>
      <c r="J55" s="4"/>
      <c r="K55" s="4"/>
    </row>
    <row r="56" spans="7:11" ht="18.75" x14ac:dyDescent="0.25">
      <c r="G56" t="s">
        <v>37</v>
      </c>
      <c r="J56" s="6">
        <f>I10-J33-J13-J50</f>
        <v>440595.60289999936</v>
      </c>
      <c r="K5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7:K57"/>
  <sheetViews>
    <sheetView topLeftCell="A43" workbookViewId="0">
      <selection activeCell="L45" sqref="L45"/>
    </sheetView>
  </sheetViews>
  <sheetFormatPr defaultColWidth="9.953125" defaultRowHeight="15" x14ac:dyDescent="0.2"/>
  <cols>
    <col min="7" max="7" width="32.28515625" bestFit="1" customWidth="1"/>
    <col min="8" max="8" width="37.80078125" bestFit="1" customWidth="1"/>
    <col min="9" max="9" width="17.890625" bestFit="1" customWidth="1"/>
    <col min="10" max="10" width="14.2578125" bestFit="1" customWidth="1"/>
  </cols>
  <sheetData>
    <row r="7" spans="7:10" ht="18.75" x14ac:dyDescent="0.2">
      <c r="G7" s="1"/>
      <c r="H7" s="2"/>
      <c r="I7" s="3"/>
    </row>
    <row r="8" spans="7:10" ht="18.75" x14ac:dyDescent="0.25">
      <c r="G8" s="2" t="s">
        <v>0</v>
      </c>
      <c r="H8" s="4"/>
      <c r="I8" s="3">
        <v>3695204</v>
      </c>
    </row>
    <row r="9" spans="7:10" ht="18.75" x14ac:dyDescent="0.2">
      <c r="G9" s="1"/>
      <c r="H9" s="2" t="s">
        <v>1</v>
      </c>
      <c r="I9" s="3">
        <v>2317112.1926000006</v>
      </c>
    </row>
    <row r="10" spans="7:10" ht="18.75" x14ac:dyDescent="0.2">
      <c r="G10" s="1"/>
      <c r="H10" s="2" t="s">
        <v>2</v>
      </c>
      <c r="I10" s="3">
        <f>I8-I9</f>
        <v>1378091.8073999994</v>
      </c>
    </row>
    <row r="11" spans="7:10" ht="18.75" x14ac:dyDescent="0.2">
      <c r="G11" s="1"/>
      <c r="H11" s="2"/>
      <c r="I11" s="3"/>
    </row>
    <row r="12" spans="7:10" ht="18.75" x14ac:dyDescent="0.2">
      <c r="G12" s="1"/>
      <c r="H12" s="2"/>
      <c r="I12" s="3"/>
    </row>
    <row r="13" spans="7:10" ht="18.75" x14ac:dyDescent="0.25">
      <c r="G13" s="1" t="s">
        <v>51</v>
      </c>
      <c r="H13" s="4" t="s">
        <v>4</v>
      </c>
      <c r="J13" s="4">
        <f>SUM(I14:I32)</f>
        <v>376638</v>
      </c>
    </row>
    <row r="14" spans="7:10" ht="18.75" x14ac:dyDescent="0.25">
      <c r="G14" s="1" t="s">
        <v>45</v>
      </c>
      <c r="H14" s="4" t="s">
        <v>52</v>
      </c>
      <c r="I14" s="4">
        <v>9900</v>
      </c>
    </row>
    <row r="15" spans="7:10" ht="18.75" x14ac:dyDescent="0.25">
      <c r="G15" s="1"/>
      <c r="H15" s="4" t="s">
        <v>5</v>
      </c>
      <c r="I15" s="4">
        <v>3850</v>
      </c>
    </row>
    <row r="16" spans="7:10" ht="18.75" x14ac:dyDescent="0.25">
      <c r="G16" s="1"/>
      <c r="H16" s="4" t="s">
        <v>6</v>
      </c>
      <c r="I16" s="4">
        <v>0</v>
      </c>
    </row>
    <row r="17" spans="7:11" ht="18.75" x14ac:dyDescent="0.25">
      <c r="G17" s="1"/>
      <c r="H17" s="4" t="s">
        <v>7</v>
      </c>
      <c r="I17" s="4">
        <v>6895</v>
      </c>
    </row>
    <row r="18" spans="7:11" ht="18.75" x14ac:dyDescent="0.25">
      <c r="G18" s="1"/>
      <c r="H18" s="4" t="s">
        <v>8</v>
      </c>
      <c r="I18" s="4">
        <f>42350+4000+3800+2000</f>
        <v>52150</v>
      </c>
      <c r="J18" s="4"/>
      <c r="K18" s="4"/>
    </row>
    <row r="19" spans="7:11" ht="18.75" x14ac:dyDescent="0.25">
      <c r="G19" s="1"/>
      <c r="H19" s="4" t="s">
        <v>9</v>
      </c>
      <c r="I19" s="4">
        <v>9900</v>
      </c>
      <c r="J19" s="4"/>
      <c r="K19" s="4"/>
    </row>
    <row r="20" spans="7:11" ht="18.75" x14ac:dyDescent="0.25">
      <c r="G20" s="1"/>
      <c r="H20" s="4" t="s">
        <v>46</v>
      </c>
      <c r="I20" s="4">
        <v>0</v>
      </c>
      <c r="J20" s="5"/>
      <c r="K20" s="5"/>
    </row>
    <row r="21" spans="7:11" ht="18.75" x14ac:dyDescent="0.25">
      <c r="G21" s="1"/>
      <c r="H21" s="4" t="s">
        <v>11</v>
      </c>
      <c r="I21" s="4">
        <v>1650</v>
      </c>
      <c r="J21" s="4"/>
      <c r="K21" s="4"/>
    </row>
    <row r="22" spans="7:11" ht="18.75" x14ac:dyDescent="0.25">
      <c r="G22" s="1"/>
      <c r="H22" s="4" t="s">
        <v>12</v>
      </c>
      <c r="I22" s="4">
        <v>97750</v>
      </c>
      <c r="J22" s="4"/>
      <c r="K22" s="4"/>
    </row>
    <row r="23" spans="7:11" ht="18.75" x14ac:dyDescent="0.25">
      <c r="G23" s="1"/>
      <c r="H23" s="4" t="s">
        <v>13</v>
      </c>
      <c r="I23" s="4">
        <f>5085+930+100</f>
        <v>6115</v>
      </c>
      <c r="J23" s="4"/>
      <c r="K23" s="4"/>
    </row>
    <row r="24" spans="7:11" ht="18.75" x14ac:dyDescent="0.25">
      <c r="G24" s="4"/>
      <c r="H24" s="4" t="s">
        <v>53</v>
      </c>
      <c r="I24" s="4">
        <v>4690</v>
      </c>
      <c r="J24" s="4"/>
      <c r="K24" s="4"/>
    </row>
    <row r="25" spans="7:11" ht="18.75" x14ac:dyDescent="0.25">
      <c r="G25" s="4"/>
      <c r="H25" s="4" t="s">
        <v>15</v>
      </c>
      <c r="I25" s="4">
        <v>0</v>
      </c>
      <c r="J25" s="4"/>
      <c r="K25" s="4"/>
    </row>
    <row r="26" spans="7:11" ht="18.75" x14ac:dyDescent="0.25">
      <c r="G26" s="4"/>
      <c r="H26" s="4" t="s">
        <v>48</v>
      </c>
      <c r="I26" s="4">
        <f>3800+7000+1080</f>
        <v>11880</v>
      </c>
      <c r="J26" s="4"/>
      <c r="K26" s="4"/>
    </row>
    <row r="27" spans="7:11" ht="18.75" x14ac:dyDescent="0.25">
      <c r="G27" s="4"/>
      <c r="H27" s="4" t="s">
        <v>16</v>
      </c>
      <c r="I27" s="4">
        <v>9935</v>
      </c>
      <c r="J27" s="4"/>
      <c r="K27" s="4"/>
    </row>
    <row r="28" spans="7:11" ht="18.75" x14ac:dyDescent="0.25">
      <c r="G28" s="4"/>
      <c r="H28" s="4" t="s">
        <v>41</v>
      </c>
      <c r="I28" s="4">
        <v>1215</v>
      </c>
      <c r="J28" s="4"/>
      <c r="K28" s="4"/>
    </row>
    <row r="29" spans="7:11" ht="18.75" x14ac:dyDescent="0.25">
      <c r="G29" s="4"/>
      <c r="H29" s="4" t="s">
        <v>54</v>
      </c>
      <c r="I29" s="4">
        <v>10000</v>
      </c>
      <c r="J29" s="4"/>
      <c r="K29" s="4"/>
    </row>
    <row r="30" spans="7:11" ht="18.75" x14ac:dyDescent="0.25">
      <c r="G30" s="4"/>
      <c r="H30" s="4" t="s">
        <v>40</v>
      </c>
      <c r="I30" s="4">
        <v>5000</v>
      </c>
      <c r="J30" s="4"/>
      <c r="K30" s="4"/>
    </row>
    <row r="31" spans="7:11" ht="18.75" x14ac:dyDescent="0.25">
      <c r="G31" s="4"/>
      <c r="H31" s="4" t="s">
        <v>39</v>
      </c>
      <c r="I31" s="4">
        <v>45358</v>
      </c>
      <c r="J31" s="4"/>
      <c r="K31" s="4"/>
    </row>
    <row r="32" spans="7:11" ht="18.75" x14ac:dyDescent="0.25">
      <c r="G32" s="4"/>
      <c r="H32" s="4" t="s">
        <v>20</v>
      </c>
      <c r="I32" s="4">
        <v>100350</v>
      </c>
      <c r="J32" s="4"/>
      <c r="K32" s="4"/>
    </row>
    <row r="33" spans="7:11" ht="18.75" x14ac:dyDescent="0.25">
      <c r="G33" s="4" t="s">
        <v>50</v>
      </c>
      <c r="H33" s="4"/>
      <c r="I33" s="4"/>
      <c r="J33" s="4">
        <f>SUM(I34:I45)</f>
        <v>255765</v>
      </c>
      <c r="K33" s="4"/>
    </row>
    <row r="34" spans="7:11" ht="18.75" x14ac:dyDescent="0.25">
      <c r="H34" s="4" t="s">
        <v>8</v>
      </c>
      <c r="I34" s="4">
        <v>12000</v>
      </c>
      <c r="J34" s="4"/>
      <c r="K34" s="4"/>
    </row>
    <row r="35" spans="7:11" ht="18.75" x14ac:dyDescent="0.25">
      <c r="G35" s="4"/>
      <c r="H35" s="4" t="s">
        <v>22</v>
      </c>
      <c r="I35" s="4">
        <f>5200+52460</f>
        <v>57660</v>
      </c>
      <c r="J35" s="4"/>
      <c r="K35" s="4"/>
    </row>
    <row r="36" spans="7:11" ht="18.75" x14ac:dyDescent="0.25">
      <c r="G36" s="4"/>
      <c r="H36" s="4" t="s">
        <v>20</v>
      </c>
      <c r="I36" s="4">
        <v>40000</v>
      </c>
      <c r="J36" s="4"/>
    </row>
    <row r="37" spans="7:11" ht="18.75" x14ac:dyDescent="0.25">
      <c r="G37" s="4"/>
      <c r="H37" s="4" t="s">
        <v>23</v>
      </c>
      <c r="I37" s="4">
        <v>2300</v>
      </c>
      <c r="K37" s="4"/>
    </row>
    <row r="38" spans="7:11" ht="18.75" x14ac:dyDescent="0.25">
      <c r="G38" s="4"/>
      <c r="H38" s="4" t="s">
        <v>24</v>
      </c>
      <c r="I38" s="4">
        <v>3770</v>
      </c>
      <c r="J38" s="4"/>
      <c r="K38" s="4"/>
    </row>
    <row r="39" spans="7:11" ht="18.75" x14ac:dyDescent="0.25">
      <c r="G39" s="4"/>
      <c r="H39" s="4" t="s">
        <v>25</v>
      </c>
      <c r="I39" s="4">
        <v>14855</v>
      </c>
      <c r="J39" s="4"/>
      <c r="K39" s="4"/>
    </row>
    <row r="40" spans="7:11" ht="18.75" x14ac:dyDescent="0.25">
      <c r="G40" s="4"/>
      <c r="H40" s="4" t="s">
        <v>26</v>
      </c>
      <c r="I40" s="4">
        <v>29830</v>
      </c>
      <c r="J40" s="4"/>
      <c r="K40" s="4"/>
    </row>
    <row r="41" spans="7:11" ht="18.75" x14ac:dyDescent="0.25">
      <c r="G41" s="4"/>
      <c r="H41" s="4" t="s">
        <v>27</v>
      </c>
      <c r="I41" s="4">
        <v>22705</v>
      </c>
      <c r="J41" s="4"/>
      <c r="K41" s="4"/>
    </row>
    <row r="42" spans="7:11" ht="18.75" x14ac:dyDescent="0.25">
      <c r="G42" s="4"/>
      <c r="H42" s="4" t="s">
        <v>28</v>
      </c>
      <c r="I42" s="4">
        <v>18840</v>
      </c>
      <c r="J42" s="4"/>
      <c r="K42" s="4"/>
    </row>
    <row r="43" spans="7:11" ht="18.75" x14ac:dyDescent="0.25">
      <c r="G43" s="4"/>
      <c r="H43" s="4" t="s">
        <v>29</v>
      </c>
      <c r="I43" s="4">
        <v>30020</v>
      </c>
      <c r="J43" s="4"/>
      <c r="K43" s="4"/>
    </row>
    <row r="44" spans="7:11" ht="18.75" x14ac:dyDescent="0.25">
      <c r="G44" s="4"/>
      <c r="H44" s="4" t="s">
        <v>55</v>
      </c>
      <c r="I44" s="4">
        <v>23785</v>
      </c>
      <c r="J44" s="4"/>
      <c r="K44" s="4"/>
    </row>
    <row r="45" spans="7:11" ht="18.75" x14ac:dyDescent="0.25">
      <c r="G45" s="4"/>
      <c r="H45" s="4" t="s">
        <v>31</v>
      </c>
      <c r="I45" s="4">
        <v>0</v>
      </c>
      <c r="J45" s="4"/>
      <c r="K45" s="4"/>
    </row>
    <row r="46" spans="7:11" ht="18.75" x14ac:dyDescent="0.25">
      <c r="G46" s="4"/>
      <c r="H46" s="4" t="s">
        <v>32</v>
      </c>
      <c r="I46" s="4">
        <v>150</v>
      </c>
      <c r="J46" s="4"/>
      <c r="K46" s="4"/>
    </row>
    <row r="47" spans="7:11" ht="18.75" x14ac:dyDescent="0.25">
      <c r="G47" s="4"/>
      <c r="H47" s="4" t="s">
        <v>33</v>
      </c>
      <c r="I47" s="4">
        <v>3600</v>
      </c>
      <c r="J47" s="4"/>
      <c r="K47" s="4"/>
    </row>
    <row r="48" spans="7:11" ht="18.75" x14ac:dyDescent="0.25">
      <c r="G48" s="4"/>
      <c r="H48" s="4"/>
      <c r="I48" s="4"/>
      <c r="J48" s="4"/>
      <c r="K48" s="4"/>
    </row>
    <row r="49" spans="7:11" ht="18.75" x14ac:dyDescent="0.25">
      <c r="G49" s="4"/>
      <c r="H49" s="4"/>
      <c r="I49" s="4"/>
      <c r="J49" s="4"/>
      <c r="K49" s="4"/>
    </row>
    <row r="50" spans="7:11" ht="18.75" x14ac:dyDescent="0.25">
      <c r="G50" s="4" t="s">
        <v>34</v>
      </c>
      <c r="H50" s="4"/>
      <c r="I50" s="4"/>
      <c r="J50" s="4">
        <f>I51+I52</f>
        <v>0</v>
      </c>
      <c r="K50" s="4"/>
    </row>
    <row r="51" spans="7:11" ht="18.75" x14ac:dyDescent="0.25">
      <c r="G51" s="4"/>
      <c r="H51" s="4" t="s">
        <v>35</v>
      </c>
      <c r="I51" s="4">
        <v>0</v>
      </c>
      <c r="J51" s="4"/>
      <c r="K51" s="4"/>
    </row>
    <row r="52" spans="7:11" ht="18.75" x14ac:dyDescent="0.25">
      <c r="G52" s="4"/>
      <c r="H52" s="4" t="s">
        <v>36</v>
      </c>
      <c r="I52" s="4">
        <v>0</v>
      </c>
      <c r="J52" s="4"/>
      <c r="K52" s="4"/>
    </row>
    <row r="53" spans="7:11" ht="18.75" x14ac:dyDescent="0.25">
      <c r="G53" s="4"/>
      <c r="H53" s="4"/>
      <c r="I53" s="4"/>
      <c r="J53" s="4"/>
      <c r="K53" s="4"/>
    </row>
    <row r="54" spans="7:11" ht="18.75" x14ac:dyDescent="0.25">
      <c r="G54" s="4"/>
      <c r="H54" s="4"/>
      <c r="I54" s="4"/>
      <c r="J54" s="4"/>
      <c r="K54" s="4"/>
    </row>
    <row r="55" spans="7:11" ht="18.75" x14ac:dyDescent="0.25">
      <c r="G55" s="4"/>
      <c r="H55" s="4"/>
      <c r="I55" s="4"/>
      <c r="J55" s="4"/>
      <c r="K55" s="4"/>
    </row>
    <row r="56" spans="7:11" ht="18.75" x14ac:dyDescent="0.25">
      <c r="G56" s="4"/>
      <c r="J56" s="6">
        <f>I10-J33-J13-J50</f>
        <v>745688.80739999935</v>
      </c>
      <c r="K56" s="4"/>
    </row>
    <row r="57" spans="7:11" x14ac:dyDescent="0.2">
      <c r="G5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I9:O60"/>
  <sheetViews>
    <sheetView topLeftCell="A10" workbookViewId="0">
      <selection activeCell="K19" sqref="K19"/>
    </sheetView>
  </sheetViews>
  <sheetFormatPr defaultColWidth="9.953125" defaultRowHeight="15" x14ac:dyDescent="0.2"/>
  <cols>
    <col min="9" max="9" width="33.765625" bestFit="1" customWidth="1"/>
    <col min="10" max="10" width="32.1484375" bestFit="1" customWidth="1"/>
    <col min="11" max="11" width="17.890625" bestFit="1" customWidth="1"/>
    <col min="12" max="12" width="14.2578125" bestFit="1" customWidth="1"/>
    <col min="15" max="15" width="11.703125" bestFit="1" customWidth="1"/>
  </cols>
  <sheetData>
    <row r="9" spans="9:15" ht="18.75" x14ac:dyDescent="0.2">
      <c r="I9" s="1"/>
      <c r="J9" s="2"/>
      <c r="K9" s="3"/>
    </row>
    <row r="10" spans="9:15" ht="18.75" x14ac:dyDescent="0.25">
      <c r="I10" s="2" t="s">
        <v>0</v>
      </c>
      <c r="J10" s="4"/>
      <c r="K10" s="3">
        <v>3032555.14</v>
      </c>
      <c r="O10" s="7">
        <v>1726407.5</v>
      </c>
    </row>
    <row r="11" spans="9:15" ht="18.75" x14ac:dyDescent="0.2">
      <c r="I11" s="1"/>
      <c r="J11" s="2" t="s">
        <v>1</v>
      </c>
      <c r="K11" s="3">
        <v>1726407.4994000001</v>
      </c>
    </row>
    <row r="12" spans="9:15" ht="18.75" x14ac:dyDescent="0.2">
      <c r="I12" s="1"/>
      <c r="J12" s="2" t="s">
        <v>2</v>
      </c>
      <c r="K12" s="3">
        <f>K10-K11</f>
        <v>1306147.6406</v>
      </c>
    </row>
    <row r="13" spans="9:15" ht="18.75" x14ac:dyDescent="0.2">
      <c r="I13" s="1"/>
      <c r="J13" s="2"/>
      <c r="K13" s="3"/>
    </row>
    <row r="14" spans="9:15" ht="18.75" x14ac:dyDescent="0.2">
      <c r="I14" s="1"/>
      <c r="J14" s="2"/>
      <c r="K14" s="3"/>
    </row>
    <row r="15" spans="9:15" ht="18.75" x14ac:dyDescent="0.25">
      <c r="I15" s="1" t="s">
        <v>57</v>
      </c>
      <c r="J15" s="4" t="s">
        <v>4</v>
      </c>
      <c r="L15" s="4">
        <f>SUM(K16:K32)</f>
        <v>475596</v>
      </c>
    </row>
    <row r="16" spans="9:15" ht="18.75" x14ac:dyDescent="0.25">
      <c r="I16" s="1">
        <v>3</v>
      </c>
      <c r="J16" s="4" t="s">
        <v>52</v>
      </c>
      <c r="K16" s="4">
        <v>71264</v>
      </c>
    </row>
    <row r="17" spans="9:12" ht="18.75" x14ac:dyDescent="0.25">
      <c r="I17" s="1"/>
      <c r="J17" s="4" t="s">
        <v>5</v>
      </c>
      <c r="K17" s="4">
        <v>3400</v>
      </c>
    </row>
    <row r="18" spans="9:12" ht="18.75" x14ac:dyDescent="0.25">
      <c r="I18" s="1"/>
      <c r="J18" s="4" t="s">
        <v>7</v>
      </c>
      <c r="K18" s="4">
        <f>12660-9900</f>
        <v>2760</v>
      </c>
    </row>
    <row r="19" spans="9:12" ht="18.75" x14ac:dyDescent="0.25">
      <c r="I19" s="1"/>
      <c r="J19" s="4" t="s">
        <v>8</v>
      </c>
      <c r="K19" s="4">
        <f>42350+4000+4000+2000+3800+7000</f>
        <v>63150</v>
      </c>
      <c r="L19" s="4"/>
    </row>
    <row r="20" spans="9:12" ht="18.75" x14ac:dyDescent="0.25">
      <c r="I20" s="1"/>
      <c r="J20" s="4" t="s">
        <v>9</v>
      </c>
      <c r="K20" s="4">
        <v>18230</v>
      </c>
      <c r="L20" s="4"/>
    </row>
    <row r="21" spans="9:12" ht="18.75" x14ac:dyDescent="0.25">
      <c r="I21" s="1"/>
      <c r="J21" s="4" t="s">
        <v>56</v>
      </c>
      <c r="K21" s="4">
        <v>9900</v>
      </c>
      <c r="L21" s="5"/>
    </row>
    <row r="22" spans="9:12" ht="18.75" x14ac:dyDescent="0.25">
      <c r="I22" s="1"/>
      <c r="J22" s="4" t="s">
        <v>11</v>
      </c>
      <c r="K22" s="4">
        <v>1650</v>
      </c>
      <c r="L22" s="4"/>
    </row>
    <row r="23" spans="9:12" ht="18.75" x14ac:dyDescent="0.25">
      <c r="I23" s="1"/>
      <c r="J23" s="4" t="s">
        <v>12</v>
      </c>
      <c r="K23" s="4">
        <v>67680</v>
      </c>
      <c r="L23" s="4"/>
    </row>
    <row r="24" spans="9:12" ht="18.75" x14ac:dyDescent="0.25">
      <c r="I24" s="1"/>
      <c r="J24" s="4" t="s">
        <v>13</v>
      </c>
      <c r="K24" s="4">
        <f>11366-4000</f>
        <v>7366</v>
      </c>
      <c r="L24" s="4"/>
    </row>
    <row r="25" spans="9:12" ht="18.75" x14ac:dyDescent="0.25">
      <c r="I25" s="4"/>
      <c r="J25" s="4" t="s">
        <v>59</v>
      </c>
      <c r="K25" s="4">
        <v>28350</v>
      </c>
      <c r="L25" s="4"/>
    </row>
    <row r="26" spans="9:12" ht="18.75" x14ac:dyDescent="0.25">
      <c r="I26" s="4"/>
      <c r="J26" s="4" t="s">
        <v>15</v>
      </c>
      <c r="K26" s="4">
        <v>505</v>
      </c>
      <c r="L26" s="4"/>
    </row>
    <row r="27" spans="9:12" ht="18.75" x14ac:dyDescent="0.25">
      <c r="I27" s="4"/>
      <c r="J27" s="4" t="s">
        <v>16</v>
      </c>
      <c r="K27" s="4">
        <v>11633</v>
      </c>
      <c r="L27" s="4"/>
    </row>
    <row r="28" spans="9:12" ht="18.75" x14ac:dyDescent="0.25">
      <c r="I28" s="4"/>
      <c r="J28" s="4" t="s">
        <v>41</v>
      </c>
      <c r="K28" s="4">
        <v>6000</v>
      </c>
      <c r="L28" s="4"/>
    </row>
    <row r="29" spans="9:12" ht="18.75" x14ac:dyDescent="0.25">
      <c r="I29" s="4"/>
      <c r="J29" s="4" t="s">
        <v>62</v>
      </c>
      <c r="K29" s="4">
        <v>21700</v>
      </c>
      <c r="L29" s="4"/>
    </row>
    <row r="30" spans="9:12" ht="18.75" x14ac:dyDescent="0.25">
      <c r="I30" s="4"/>
      <c r="J30" s="4" t="s">
        <v>40</v>
      </c>
      <c r="K30" s="4">
        <v>5050</v>
      </c>
      <c r="L30" s="4"/>
    </row>
    <row r="31" spans="9:12" ht="18.75" x14ac:dyDescent="0.25">
      <c r="I31" s="4"/>
      <c r="J31" s="4" t="s">
        <v>39</v>
      </c>
      <c r="K31" s="4">
        <v>38633</v>
      </c>
      <c r="L31" s="4"/>
    </row>
    <row r="32" spans="9:12" ht="18.75" x14ac:dyDescent="0.25">
      <c r="I32" s="4"/>
      <c r="J32" s="4" t="s">
        <v>20</v>
      </c>
      <c r="K32" s="4">
        <f>90325+28000</f>
        <v>118325</v>
      </c>
      <c r="L32" s="4"/>
    </row>
    <row r="33" spans="9:12" ht="18.75" x14ac:dyDescent="0.25">
      <c r="I33" s="4" t="s">
        <v>58</v>
      </c>
      <c r="J33" s="4"/>
      <c r="K33" s="4"/>
      <c r="L33" s="4">
        <f>SUM(K34:K45)</f>
        <v>223800</v>
      </c>
    </row>
    <row r="34" spans="9:12" ht="18.75" x14ac:dyDescent="0.25">
      <c r="J34" s="4" t="s">
        <v>8</v>
      </c>
      <c r="K34" s="4">
        <v>12000</v>
      </c>
      <c r="L34" s="4"/>
    </row>
    <row r="35" spans="9:12" ht="18.75" x14ac:dyDescent="0.25">
      <c r="I35" s="4"/>
      <c r="J35" s="4" t="s">
        <v>61</v>
      </c>
      <c r="K35" s="4">
        <f>43350+6300</f>
        <v>49650</v>
      </c>
      <c r="L35" s="4"/>
    </row>
    <row r="36" spans="9:12" ht="18.75" x14ac:dyDescent="0.25">
      <c r="I36" s="4"/>
      <c r="J36" s="4" t="s">
        <v>20</v>
      </c>
      <c r="K36" s="4">
        <v>41315</v>
      </c>
      <c r="L36" s="4"/>
    </row>
    <row r="37" spans="9:12" ht="18.75" x14ac:dyDescent="0.25">
      <c r="I37" s="4"/>
      <c r="J37" s="4" t="s">
        <v>23</v>
      </c>
      <c r="K37" s="4">
        <f>70+1660</f>
        <v>1730</v>
      </c>
    </row>
    <row r="38" spans="9:12" ht="18.75" x14ac:dyDescent="0.25">
      <c r="I38" s="4"/>
      <c r="J38" s="4" t="s">
        <v>24</v>
      </c>
      <c r="K38" s="4">
        <v>10795</v>
      </c>
      <c r="L38" s="4"/>
    </row>
    <row r="39" spans="9:12" ht="18.75" x14ac:dyDescent="0.25">
      <c r="I39" s="4"/>
      <c r="J39" s="4" t="s">
        <v>25</v>
      </c>
      <c r="K39" s="4">
        <v>10645</v>
      </c>
      <c r="L39" s="4"/>
    </row>
    <row r="40" spans="9:12" ht="18.75" x14ac:dyDescent="0.25">
      <c r="I40" s="4"/>
      <c r="J40" s="4" t="s">
        <v>26</v>
      </c>
      <c r="K40" s="4">
        <v>17245</v>
      </c>
      <c r="L40" s="4"/>
    </row>
    <row r="41" spans="9:12" ht="18.75" x14ac:dyDescent="0.25">
      <c r="I41" s="4"/>
      <c r="J41" s="4" t="s">
        <v>27</v>
      </c>
      <c r="K41" s="4">
        <v>28075</v>
      </c>
      <c r="L41" s="4"/>
    </row>
    <row r="42" spans="9:12" ht="18.75" x14ac:dyDescent="0.25">
      <c r="I42" s="4"/>
      <c r="J42" s="4" t="s">
        <v>28</v>
      </c>
      <c r="K42" s="4">
        <v>5475</v>
      </c>
      <c r="L42" s="4"/>
    </row>
    <row r="43" spans="9:12" ht="18.75" x14ac:dyDescent="0.25">
      <c r="I43" s="4"/>
      <c r="J43" s="4" t="s">
        <v>29</v>
      </c>
      <c r="K43" s="4">
        <v>44155</v>
      </c>
      <c r="L43" s="4"/>
    </row>
    <row r="44" spans="9:12" ht="18.75" x14ac:dyDescent="0.25">
      <c r="I44" s="4"/>
      <c r="J44" s="4" t="s">
        <v>55</v>
      </c>
      <c r="K44" s="4">
        <f>13215-10500</f>
        <v>2715</v>
      </c>
      <c r="L44" s="4"/>
    </row>
    <row r="45" spans="9:12" ht="18.75" x14ac:dyDescent="0.25">
      <c r="I45" s="4"/>
      <c r="J45" s="4" t="s">
        <v>31</v>
      </c>
      <c r="K45" s="4">
        <v>0</v>
      </c>
      <c r="L45" s="4"/>
    </row>
    <row r="46" spans="9:12" ht="18.75" x14ac:dyDescent="0.25">
      <c r="I46" s="4"/>
      <c r="J46" s="4" t="s">
        <v>60</v>
      </c>
      <c r="K46" s="4">
        <v>10500</v>
      </c>
      <c r="L46" s="4"/>
    </row>
    <row r="47" spans="9:12" ht="18.75" x14ac:dyDescent="0.25">
      <c r="I47" s="4"/>
      <c r="J47" s="4" t="s">
        <v>33</v>
      </c>
      <c r="K47" s="4">
        <v>3400</v>
      </c>
      <c r="L47" s="4"/>
    </row>
    <row r="48" spans="9:12" ht="18.75" x14ac:dyDescent="0.25">
      <c r="I48" s="4"/>
      <c r="J48" s="4"/>
      <c r="K48" s="4"/>
      <c r="L48" s="4"/>
    </row>
    <row r="49" spans="9:12" ht="18.75" x14ac:dyDescent="0.25">
      <c r="I49" s="4"/>
      <c r="J49" s="4"/>
      <c r="K49" s="4"/>
      <c r="L49" s="4"/>
    </row>
    <row r="50" spans="9:12" ht="18.75" x14ac:dyDescent="0.25">
      <c r="I50" s="4" t="s">
        <v>34</v>
      </c>
      <c r="J50" s="4"/>
      <c r="K50" s="4"/>
      <c r="L50" s="4">
        <f>K51+K52</f>
        <v>0</v>
      </c>
    </row>
    <row r="51" spans="9:12" ht="18.75" x14ac:dyDescent="0.25">
      <c r="I51" s="4"/>
      <c r="J51" s="4" t="s">
        <v>35</v>
      </c>
      <c r="K51" s="4">
        <v>0</v>
      </c>
      <c r="L51" s="4"/>
    </row>
    <row r="52" spans="9:12" ht="18.75" x14ac:dyDescent="0.25">
      <c r="I52" s="4"/>
      <c r="J52" s="4" t="s">
        <v>36</v>
      </c>
      <c r="K52" s="4">
        <v>0</v>
      </c>
      <c r="L52" s="4"/>
    </row>
    <row r="53" spans="9:12" ht="18.75" x14ac:dyDescent="0.25">
      <c r="I53" s="4"/>
      <c r="J53" s="4"/>
      <c r="K53" s="4"/>
      <c r="L53" s="4"/>
    </row>
    <row r="54" spans="9:12" ht="18.75" x14ac:dyDescent="0.25">
      <c r="I54" s="4"/>
      <c r="J54" s="4"/>
      <c r="K54" s="4"/>
      <c r="L54" s="4"/>
    </row>
    <row r="55" spans="9:12" ht="18.75" x14ac:dyDescent="0.25">
      <c r="I55" s="4"/>
      <c r="J55" s="4"/>
      <c r="K55" s="4"/>
      <c r="L55" s="4"/>
    </row>
    <row r="56" spans="9:12" ht="21" x14ac:dyDescent="0.3">
      <c r="I56" s="8" t="s">
        <v>37</v>
      </c>
      <c r="J56" s="11">
        <f>K12-L33-L15-L50</f>
        <v>606751.64060000004</v>
      </c>
      <c r="K56" s="11"/>
      <c r="L56" s="11"/>
    </row>
    <row r="59" spans="9:12" x14ac:dyDescent="0.2">
      <c r="I59">
        <f>14920+100+320+200+2000+10000</f>
        <v>27540</v>
      </c>
    </row>
    <row r="60" spans="9:12" x14ac:dyDescent="0.2">
      <c r="I60">
        <f>I59-32000</f>
        <v>-4460</v>
      </c>
    </row>
  </sheetData>
  <mergeCells count="1">
    <mergeCell ref="J56:L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5:Q51"/>
  <sheetViews>
    <sheetView topLeftCell="H1" zoomScale="37" workbookViewId="0">
      <selection activeCell="H4" sqref="H4"/>
    </sheetView>
  </sheetViews>
  <sheetFormatPr defaultColWidth="9.953125" defaultRowHeight="15" x14ac:dyDescent="0.2"/>
  <cols>
    <col min="7" max="7" width="29.32421875" customWidth="1"/>
    <col min="8" max="8" width="32.1484375" customWidth="1"/>
    <col min="9" max="9" width="17.21875" customWidth="1"/>
    <col min="10" max="10" width="9.81640625" bestFit="1" customWidth="1"/>
  </cols>
  <sheetData>
    <row r="5" spans="7:17" ht="18.75" x14ac:dyDescent="0.25">
      <c r="G5" s="2" t="s">
        <v>0</v>
      </c>
      <c r="H5" s="4"/>
      <c r="I5" s="3">
        <f>3165826+5000</f>
        <v>3170826</v>
      </c>
    </row>
    <row r="6" spans="7:17" ht="18.75" x14ac:dyDescent="0.2">
      <c r="G6" s="1"/>
      <c r="H6" s="2" t="s">
        <v>1</v>
      </c>
      <c r="I6" s="3">
        <v>1795859.6779999998</v>
      </c>
    </row>
    <row r="7" spans="7:17" ht="18.75" x14ac:dyDescent="0.2">
      <c r="G7" s="1"/>
      <c r="H7" s="2" t="s">
        <v>2</v>
      </c>
      <c r="I7" s="3">
        <f>I5-I6</f>
        <v>1374966.3220000002</v>
      </c>
    </row>
    <row r="8" spans="7:17" ht="18.75" x14ac:dyDescent="0.2">
      <c r="G8" s="1"/>
      <c r="H8" s="2"/>
      <c r="I8" s="3"/>
    </row>
    <row r="9" spans="7:17" ht="18.75" x14ac:dyDescent="0.2">
      <c r="G9" s="1"/>
      <c r="H9" s="2"/>
      <c r="I9" s="3"/>
    </row>
    <row r="10" spans="7:17" ht="18.75" x14ac:dyDescent="0.25">
      <c r="G10" s="1" t="s">
        <v>63</v>
      </c>
      <c r="H10" s="4" t="s">
        <v>4</v>
      </c>
      <c r="J10" s="4">
        <f>SUM(I11:I27)</f>
        <v>533003</v>
      </c>
    </row>
    <row r="11" spans="7:17" ht="18.75" x14ac:dyDescent="0.25">
      <c r="G11" s="1">
        <v>0</v>
      </c>
      <c r="H11" s="4" t="s">
        <v>75</v>
      </c>
      <c r="I11" s="4">
        <v>124090</v>
      </c>
    </row>
    <row r="12" spans="7:17" ht="18.75" x14ac:dyDescent="0.25">
      <c r="G12" s="1"/>
      <c r="H12" s="4" t="s">
        <v>5</v>
      </c>
      <c r="I12" s="4">
        <f>5900+3000+1450</f>
        <v>10350</v>
      </c>
    </row>
    <row r="13" spans="7:17" ht="18.75" x14ac:dyDescent="0.25">
      <c r="G13" s="1"/>
      <c r="H13" s="4" t="s">
        <v>7</v>
      </c>
      <c r="I13" s="4">
        <f>7365-1450</f>
        <v>5915</v>
      </c>
      <c r="Q13" t="s">
        <v>69</v>
      </c>
    </row>
    <row r="14" spans="7:17" ht="18.75" x14ac:dyDescent="0.25">
      <c r="G14" s="1"/>
      <c r="H14" s="4" t="s">
        <v>8</v>
      </c>
      <c r="I14" s="4">
        <v>63150</v>
      </c>
      <c r="J14" s="4"/>
    </row>
    <row r="15" spans="7:17" ht="18.75" x14ac:dyDescent="0.25">
      <c r="G15" s="1"/>
      <c r="H15" s="4" t="s">
        <v>9</v>
      </c>
      <c r="I15" s="4">
        <v>15825</v>
      </c>
      <c r="J15" s="4"/>
    </row>
    <row r="16" spans="7:17" ht="18.75" x14ac:dyDescent="0.25">
      <c r="G16" s="1"/>
      <c r="H16" s="4" t="s">
        <v>68</v>
      </c>
      <c r="I16" s="4">
        <v>10000</v>
      </c>
      <c r="J16" s="5"/>
    </row>
    <row r="17" spans="7:10" ht="18.75" x14ac:dyDescent="0.25">
      <c r="G17" s="1"/>
      <c r="H17" s="4" t="s">
        <v>11</v>
      </c>
      <c r="I17" s="4">
        <v>1650</v>
      </c>
      <c r="J17" s="4"/>
    </row>
    <row r="18" spans="7:10" ht="18.75" x14ac:dyDescent="0.25">
      <c r="G18" s="1"/>
      <c r="H18" s="4" t="s">
        <v>12</v>
      </c>
      <c r="I18" s="4">
        <v>55980</v>
      </c>
      <c r="J18" s="4"/>
    </row>
    <row r="19" spans="7:10" ht="18.75" x14ac:dyDescent="0.25">
      <c r="G19" s="1"/>
      <c r="H19" s="4" t="s">
        <v>13</v>
      </c>
      <c r="I19" s="4">
        <f>7290-4000</f>
        <v>3290</v>
      </c>
      <c r="J19" s="4"/>
    </row>
    <row r="20" spans="7:10" ht="18.75" x14ac:dyDescent="0.25">
      <c r="G20" s="4"/>
      <c r="H20" s="4"/>
      <c r="I20" s="4">
        <v>0</v>
      </c>
      <c r="J20" s="4"/>
    </row>
    <row r="21" spans="7:10" ht="18.75" x14ac:dyDescent="0.25">
      <c r="G21" s="4"/>
      <c r="H21" s="4" t="s">
        <v>15</v>
      </c>
      <c r="I21" s="4">
        <v>700</v>
      </c>
      <c r="J21" s="4"/>
    </row>
    <row r="22" spans="7:10" ht="18.75" x14ac:dyDescent="0.25">
      <c r="G22" s="4"/>
      <c r="H22" s="4" t="s">
        <v>16</v>
      </c>
      <c r="I22" s="4">
        <v>17080</v>
      </c>
      <c r="J22" s="4"/>
    </row>
    <row r="23" spans="7:10" ht="18.75" x14ac:dyDescent="0.25">
      <c r="G23" s="4"/>
      <c r="H23" s="4" t="s">
        <v>65</v>
      </c>
      <c r="I23" s="4">
        <v>20290</v>
      </c>
      <c r="J23" s="4"/>
    </row>
    <row r="24" spans="7:10" ht="18.75" x14ac:dyDescent="0.25">
      <c r="G24" s="4"/>
      <c r="H24" s="4" t="s">
        <v>66</v>
      </c>
      <c r="I24" s="4">
        <v>60405</v>
      </c>
      <c r="J24" s="4"/>
    </row>
    <row r="25" spans="7:10" ht="18.75" x14ac:dyDescent="0.25">
      <c r="G25" s="4"/>
      <c r="H25" s="4" t="s">
        <v>40</v>
      </c>
      <c r="I25" s="4">
        <v>6060</v>
      </c>
      <c r="J25" s="4"/>
    </row>
    <row r="26" spans="7:10" ht="18.75" x14ac:dyDescent="0.25">
      <c r="G26" s="4"/>
      <c r="H26" s="4" t="s">
        <v>39</v>
      </c>
      <c r="I26" s="4">
        <f>470+33233</f>
        <v>33703</v>
      </c>
      <c r="J26" s="4"/>
    </row>
    <row r="27" spans="7:10" ht="18.75" x14ac:dyDescent="0.25">
      <c r="G27" s="4"/>
      <c r="H27" s="4" t="s">
        <v>20</v>
      </c>
      <c r="I27" s="4">
        <v>104515</v>
      </c>
      <c r="J27" s="4"/>
    </row>
    <row r="28" spans="7:10" ht="18.75" x14ac:dyDescent="0.25">
      <c r="G28" s="4" t="s">
        <v>70</v>
      </c>
      <c r="H28" s="4"/>
      <c r="I28" s="4"/>
      <c r="J28" s="4">
        <f>SUM(I29:I42)</f>
        <v>278826</v>
      </c>
    </row>
    <row r="29" spans="7:10" ht="18.75" x14ac:dyDescent="0.25">
      <c r="H29" s="4" t="s">
        <v>72</v>
      </c>
      <c r="I29" s="4">
        <v>12000</v>
      </c>
      <c r="J29" s="4"/>
    </row>
    <row r="30" spans="7:10" ht="18.75" x14ac:dyDescent="0.25">
      <c r="G30" s="4"/>
      <c r="H30" s="4" t="s">
        <v>64</v>
      </c>
      <c r="I30" s="9">
        <f>42229+7650</f>
        <v>49879</v>
      </c>
      <c r="J30" s="4"/>
    </row>
    <row r="31" spans="7:10" ht="18.75" x14ac:dyDescent="0.25">
      <c r="G31" s="4"/>
      <c r="H31" s="4" t="s">
        <v>20</v>
      </c>
      <c r="I31" s="4">
        <v>49481</v>
      </c>
      <c r="J31" s="4"/>
    </row>
    <row r="32" spans="7:10" ht="18.75" x14ac:dyDescent="0.25">
      <c r="G32" s="4"/>
      <c r="H32" s="4" t="s">
        <v>23</v>
      </c>
      <c r="I32" s="4">
        <v>2120</v>
      </c>
    </row>
    <row r="33" spans="7:10" ht="18.75" x14ac:dyDescent="0.25">
      <c r="G33" s="4"/>
      <c r="H33" s="4" t="s">
        <v>24</v>
      </c>
      <c r="I33" s="4">
        <v>20495</v>
      </c>
      <c r="J33" s="4"/>
    </row>
    <row r="34" spans="7:10" ht="18.75" x14ac:dyDescent="0.25">
      <c r="G34" s="4"/>
      <c r="H34" s="4" t="s">
        <v>25</v>
      </c>
      <c r="I34" s="4">
        <v>12445</v>
      </c>
      <c r="J34" s="4"/>
    </row>
    <row r="35" spans="7:10" ht="18.75" x14ac:dyDescent="0.25">
      <c r="G35" s="4"/>
      <c r="H35" s="4" t="s">
        <v>26</v>
      </c>
      <c r="I35" s="4">
        <v>19585</v>
      </c>
      <c r="J35" s="4"/>
    </row>
    <row r="36" spans="7:10" ht="18.75" x14ac:dyDescent="0.25">
      <c r="G36" s="4"/>
      <c r="H36" s="4" t="s">
        <v>27</v>
      </c>
      <c r="I36" s="4">
        <v>28845</v>
      </c>
      <c r="J36" s="4"/>
    </row>
    <row r="37" spans="7:10" ht="18.75" x14ac:dyDescent="0.25">
      <c r="G37" s="4"/>
      <c r="H37" s="4" t="s">
        <v>28</v>
      </c>
      <c r="I37" s="4">
        <v>22946</v>
      </c>
      <c r="J37" s="4"/>
    </row>
    <row r="38" spans="7:10" ht="18.75" x14ac:dyDescent="0.25">
      <c r="G38" s="4"/>
      <c r="H38" s="4" t="s">
        <v>29</v>
      </c>
      <c r="I38" s="4">
        <v>43880</v>
      </c>
      <c r="J38" s="4"/>
    </row>
    <row r="39" spans="7:10" ht="18.75" x14ac:dyDescent="0.25">
      <c r="G39" s="4"/>
      <c r="H39" s="4"/>
      <c r="I39" s="4">
        <v>0</v>
      </c>
      <c r="J39" s="4"/>
    </row>
    <row r="40" spans="7:10" ht="18.75" x14ac:dyDescent="0.25">
      <c r="G40" s="4"/>
      <c r="H40" s="4" t="s">
        <v>71</v>
      </c>
      <c r="I40" s="4">
        <v>13550</v>
      </c>
      <c r="J40" s="4"/>
    </row>
    <row r="41" spans="7:10" ht="18.75" x14ac:dyDescent="0.25">
      <c r="G41" s="4"/>
      <c r="H41" s="4"/>
      <c r="I41" s="4">
        <v>0</v>
      </c>
      <c r="J41" s="4"/>
    </row>
    <row r="42" spans="7:10" ht="18.75" x14ac:dyDescent="0.25">
      <c r="G42" s="4"/>
      <c r="H42" s="4" t="s">
        <v>33</v>
      </c>
      <c r="I42" s="4">
        <v>3600</v>
      </c>
      <c r="J42" s="4"/>
    </row>
    <row r="43" spans="7:10" ht="18.75" x14ac:dyDescent="0.25">
      <c r="G43" s="4"/>
      <c r="H43" s="4"/>
      <c r="I43" s="4"/>
      <c r="J43" s="4"/>
    </row>
    <row r="44" spans="7:10" ht="18.75" x14ac:dyDescent="0.25">
      <c r="G44" s="4"/>
      <c r="H44" s="4"/>
      <c r="I44" s="4"/>
      <c r="J44" s="4"/>
    </row>
    <row r="45" spans="7:10" ht="18.75" x14ac:dyDescent="0.25">
      <c r="G45" s="4" t="s">
        <v>67</v>
      </c>
      <c r="H45" s="4"/>
      <c r="I45" s="4"/>
      <c r="J45" s="4">
        <f>I46+I47</f>
        <v>70512</v>
      </c>
    </row>
    <row r="46" spans="7:10" ht="18.75" x14ac:dyDescent="0.25">
      <c r="G46" s="4"/>
      <c r="H46" s="4" t="s">
        <v>73</v>
      </c>
      <c r="I46" s="4">
        <v>17100</v>
      </c>
      <c r="J46" s="4"/>
    </row>
    <row r="47" spans="7:10" ht="18.75" x14ac:dyDescent="0.25">
      <c r="G47" s="4"/>
      <c r="H47" s="4" t="s">
        <v>74</v>
      </c>
      <c r="I47" s="4">
        <v>53412</v>
      </c>
      <c r="J47" s="4"/>
    </row>
    <row r="48" spans="7:10" ht="18.75" x14ac:dyDescent="0.25">
      <c r="G48" s="4"/>
      <c r="H48" s="4"/>
      <c r="I48" s="4"/>
      <c r="J48" s="4"/>
    </row>
    <row r="49" spans="7:10" ht="18.75" x14ac:dyDescent="0.25">
      <c r="G49" s="4"/>
      <c r="H49" s="4"/>
      <c r="I49" s="4"/>
      <c r="J49" s="4"/>
    </row>
    <row r="50" spans="7:10" ht="18.75" x14ac:dyDescent="0.25">
      <c r="G50" s="4"/>
      <c r="H50" s="4"/>
      <c r="I50" s="4"/>
      <c r="J50" s="4"/>
    </row>
    <row r="51" spans="7:10" ht="21" x14ac:dyDescent="0.3">
      <c r="G51" s="8" t="s">
        <v>37</v>
      </c>
      <c r="H51" s="11">
        <f>I7-J28-J10-J45</f>
        <v>492625.32200000016</v>
      </c>
      <c r="I51" s="11"/>
      <c r="J51" s="11"/>
    </row>
  </sheetData>
  <mergeCells count="1">
    <mergeCell ref="H51:J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3</vt:i4>
      </vt:variant>
    </vt:vector>
  </HeadingPairs>
  <TitlesOfParts>
    <vt:vector size="9" baseType="lpstr">
      <vt:lpstr>دخل شهر ٧سنة ٢٠٢٥</vt:lpstr>
      <vt:lpstr>دخل شهر ٨ سنة ٢٠٢٥</vt:lpstr>
      <vt:lpstr>شهر 9سنة ٢٠٢٥</vt:lpstr>
      <vt:lpstr>شهر 10سنة ٢٠٢٥</vt:lpstr>
      <vt:lpstr>شهر 11سنة ٢٠٢٥</vt:lpstr>
      <vt:lpstr>شهر 12سنة ٢٠٢٥</vt:lpstr>
      <vt:lpstr>دخل شهر ٨ سنة ٢٠٢٥!Print_Area</vt:lpstr>
      <vt:lpstr>شهر 11سنة ٢٠٢٥!Print_Area</vt:lpstr>
      <vt:lpstr>شهر 12سنة ٢٠٢٥!Print_Area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 m</cp:lastModifiedBy>
  <dcterms:created xsi:type="dcterms:W3CDTF">2015-06-05T16:17:20Z</dcterms:created>
  <dcterms:modified xsi:type="dcterms:W3CDTF">2026-04-17T12:23:23Z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58e6d66eb780416289e7634d7761ffc7</vt:lpwstr>
  </property>
</Properties>
</file>