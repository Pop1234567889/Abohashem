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رد آخر سبتمب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C00000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156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30" customWidth="1" min="10" max="10"/>
    <col width="12" customWidth="1" min="11" max="11"/>
    <col width="12" customWidth="1" min="12" max="12"/>
    <col width="14" customWidth="1" min="13" max="13"/>
    <col width="60" customWidth="1" min="14" max="14"/>
  </cols>
  <sheetData>
    <row r="2">
      <c r="A2" s="1" t="inlineStr">
        <is>
          <t>جرد شهر 9 لعام 2026 — مُسعّر بمتوسط التكلفة المرجّح آخر أغسطس</t>
        </is>
      </c>
    </row>
    <row r="3" ht="32" customHeight="1">
      <c r="A3" s="2" t="inlineStr">
        <is>
          <t>الأسعار = متوسط التكلفة المرجّح آخر أغسطس 2026 (ملف «تسعير جرد اخر شهر ٨ سنة ٢٠٢٦»). أدخل كميات جرد 30/9 بأعمدة المواقع فتُحتسب القيمة تلقائيًا. لم تُدرج مشتريات سبتمبر (غير متوفرة) — عند توفرها يُعاد احتساب المتوسط.</t>
        </is>
      </c>
    </row>
    <row r="4" ht="36" customHeight="1">
      <c r="A4" s="3" t="inlineStr">
        <is>
          <t>اسم الصنف</t>
        </is>
      </c>
      <c r="B4" s="3" t="inlineStr">
        <is>
          <t>الرصيد النهائي المصنع</t>
        </is>
      </c>
      <c r="C4" s="3" t="inlineStr">
        <is>
          <t>النفق</t>
        </is>
      </c>
      <c r="D4" s="3" t="inlineStr">
        <is>
          <t>الرصيد النهائي النهضه</t>
        </is>
      </c>
      <c r="E4" s="3" t="inlineStr">
        <is>
          <t>الرصيد النهائي المنوفية</t>
        </is>
      </c>
      <c r="F4" s="3" t="inlineStr">
        <is>
          <t>الرصيد النهائي التغليف</t>
        </is>
      </c>
      <c r="G4" s="3" t="inlineStr">
        <is>
          <t>الإجمالي</t>
        </is>
      </c>
      <c r="H4" s="3" t="inlineStr">
        <is>
          <t>السعر</t>
        </is>
      </c>
      <c r="I4" s="3" t="inlineStr">
        <is>
          <t>القيمة</t>
        </is>
      </c>
      <c r="J4" s="3" t="inlineStr">
        <is>
          <t>اسم الصنف</t>
        </is>
      </c>
      <c r="K4" s="3" t="inlineStr">
        <is>
          <t>الرصيد النهائي المصنع</t>
        </is>
      </c>
      <c r="L4" s="3" t="inlineStr">
        <is>
          <t>السعر</t>
        </is>
      </c>
      <c r="M4" s="3" t="inlineStr">
        <is>
          <t>الاجمالى</t>
        </is>
      </c>
      <c r="N4" s="3" t="inlineStr">
        <is>
          <t>ملاحظة التسعير</t>
        </is>
      </c>
    </row>
    <row r="5">
      <c r="A5" s="4" t="inlineStr">
        <is>
          <t>بصل</t>
        </is>
      </c>
      <c r="B5" s="5" t="n"/>
      <c r="C5" s="5" t="n"/>
      <c r="D5" s="5" t="n"/>
      <c r="E5" s="5" t="n"/>
      <c r="F5" s="5" t="n"/>
      <c r="G5" s="5">
        <f>IF(COUNT(B5:F5)=0,"",SUM(B5:F5))</f>
        <v/>
      </c>
      <c r="H5" s="6" t="n">
        <v>13.7773</v>
      </c>
      <c r="I5" s="5">
        <f>IF(OR(G5="",H5=""),"",G5*H5)</f>
        <v/>
      </c>
      <c r="J5" s="4" t="inlineStr">
        <is>
          <t>مفروم ابو هاشم 350</t>
        </is>
      </c>
      <c r="K5" s="5" t="n"/>
      <c r="L5" s="6" t="n">
        <v>84.61</v>
      </c>
      <c r="M5" s="5">
        <f>IF(OR(K5="",L5=""),"",K5*L5)</f>
        <v/>
      </c>
    </row>
    <row r="6">
      <c r="A6" s="4" t="inlineStr">
        <is>
          <t>ثوم</t>
        </is>
      </c>
      <c r="B6" s="5" t="n"/>
      <c r="C6" s="5" t="n"/>
      <c r="D6" s="5" t="n"/>
      <c r="E6" s="5" t="n"/>
      <c r="F6" s="5" t="n"/>
      <c r="G6" s="5">
        <f>IF(COUNT(B6:F6)=0,"",SUM(B6:F6))</f>
        <v/>
      </c>
      <c r="H6" s="6" t="n">
        <v>25.0724</v>
      </c>
      <c r="I6" s="5">
        <f>IF(OR(G6="",H6=""),"",G6*H6)</f>
        <v/>
      </c>
      <c r="J6" s="4" t="inlineStr">
        <is>
          <t>مفروم صافي ابوهاشم 500</t>
        </is>
      </c>
      <c r="K6" s="5" t="n"/>
      <c r="L6" s="6" t="n">
        <v>126</v>
      </c>
      <c r="M6" s="5">
        <f>IF(OR(K6="",L6=""),"",K6*L6)</f>
        <v/>
      </c>
    </row>
    <row r="7">
      <c r="A7" s="4" t="inlineStr">
        <is>
          <t>فلفل بارد</t>
        </is>
      </c>
      <c r="B7" s="5" t="n"/>
      <c r="C7" s="5" t="n"/>
      <c r="D7" s="5" t="n"/>
      <c r="E7" s="5" t="n"/>
      <c r="F7" s="5" t="n"/>
      <c r="G7" s="5">
        <f>IF(COUNT(B7:F7)=0,"",SUM(B7:F7))</f>
        <v/>
      </c>
      <c r="H7" s="6" t="n">
        <v>9.117100000000001</v>
      </c>
      <c r="I7" s="5">
        <f>IF(OR(G7="",H7=""),"",G7*H7)</f>
        <v/>
      </c>
      <c r="J7" s="4" t="inlineStr">
        <is>
          <t>كبده اسكندراني 370</t>
        </is>
      </c>
      <c r="K7" s="5" t="n"/>
      <c r="L7" s="6" t="n">
        <v>64.09999999999999</v>
      </c>
      <c r="M7" s="5">
        <f>IF(OR(K7="",L7=""),"",K7*L7)</f>
        <v/>
      </c>
    </row>
    <row r="8">
      <c r="A8" s="4" t="inlineStr">
        <is>
          <t>مفروم فراخ شعبي</t>
        </is>
      </c>
      <c r="B8" s="5" t="n"/>
      <c r="C8" s="5" t="n"/>
      <c r="D8" s="5" t="n"/>
      <c r="E8" s="5" t="n"/>
      <c r="F8" s="5" t="n"/>
      <c r="G8" s="5">
        <f>IF(COUNT(B8:F8)=0,"",SUM(B8:F8))</f>
        <v/>
      </c>
      <c r="H8" s="6" t="n">
        <v>28.386</v>
      </c>
      <c r="I8" s="5">
        <f>IF(OR(G8="",H8=""),"",G8*H8)</f>
        <v/>
      </c>
      <c r="J8" s="4" t="inlineStr">
        <is>
          <t>سجق ابوهاشم 3ك</t>
        </is>
      </c>
      <c r="K8" s="5" t="n"/>
      <c r="L8" s="6" t="n">
        <v>256.8435</v>
      </c>
      <c r="M8" s="5">
        <f>IF(OR(K8="",L8=""),"",K8*L8)</f>
        <v/>
      </c>
    </row>
    <row r="9">
      <c r="A9" s="4" t="inlineStr">
        <is>
          <t>صميد</t>
        </is>
      </c>
      <c r="B9" s="5" t="n"/>
      <c r="C9" s="5" t="n"/>
      <c r="D9" s="5" t="n"/>
      <c r="E9" s="5" t="n"/>
      <c r="F9" s="5" t="n"/>
      <c r="G9" s="5">
        <f>IF(COUNT(B9:F9)=0,"",SUM(B9:F9))</f>
        <v/>
      </c>
      <c r="H9" s="6" t="n">
        <v>16.1708</v>
      </c>
      <c r="I9" s="5">
        <f>IF(OR(G9="",H9=""),"",G9*H9)</f>
        <v/>
      </c>
      <c r="J9" s="4" t="inlineStr">
        <is>
          <t>سجق ابوهاشم 1ك</t>
        </is>
      </c>
      <c r="K9" s="5" t="n"/>
      <c r="L9" s="6" t="n">
        <v>82.5378</v>
      </c>
      <c r="M9" s="5">
        <f>IF(OR(K9="",L9=""),"",K9*L9)</f>
        <v/>
      </c>
    </row>
    <row r="10">
      <c r="A10" s="4" t="inlineStr">
        <is>
          <t>صويا لحمه</t>
        </is>
      </c>
      <c r="B10" s="5" t="n"/>
      <c r="C10" s="5" t="n"/>
      <c r="D10" s="5" t="n"/>
      <c r="E10" s="5" t="n"/>
      <c r="F10" s="5" t="n"/>
      <c r="G10" s="5">
        <f>IF(COUNT(B10:F10)=0,"",SUM(B10:F10))</f>
        <v/>
      </c>
      <c r="H10" s="6" t="n">
        <v>36.8234</v>
      </c>
      <c r="I10" s="5">
        <f>IF(OR(G10="",H10=""),"",G10*H10)</f>
        <v/>
      </c>
      <c r="J10" s="4" t="inlineStr">
        <is>
          <t>سجق ابوهاشم 800</t>
        </is>
      </c>
      <c r="K10" s="5" t="n"/>
      <c r="L10" s="6" t="n">
        <v>72.30029999999999</v>
      </c>
      <c r="M10" s="5">
        <f>IF(OR(K10="",L10=""),"",K10*L10)</f>
        <v/>
      </c>
    </row>
    <row r="11">
      <c r="A11" s="4" t="inlineStr">
        <is>
          <t>صويا اوزيليت</t>
        </is>
      </c>
      <c r="B11" s="5" t="n"/>
      <c r="C11" s="5" t="n"/>
      <c r="D11" s="5" t="n"/>
      <c r="E11" s="5" t="n"/>
      <c r="F11" s="5" t="n"/>
      <c r="G11" s="5">
        <f>IF(COUNT(B11:F11)=0,"",SUM(B11:F11))</f>
        <v/>
      </c>
      <c r="H11" s="6" t="n">
        <v>168.445</v>
      </c>
      <c r="I11" s="5">
        <f>IF(OR(G11="",H11=""),"",G11*H11)</f>
        <v/>
      </c>
      <c r="J11" s="4" t="inlineStr">
        <is>
          <t>سجق ابوهاشم 350</t>
        </is>
      </c>
      <c r="K11" s="5" t="n"/>
      <c r="L11" s="6" t="n">
        <v>33.5582</v>
      </c>
      <c r="M11" s="5">
        <f>IF(OR(K11="",L11=""),"",K11*L11)</f>
        <v/>
      </c>
    </row>
    <row r="12">
      <c r="A12" s="4" t="inlineStr">
        <is>
          <t>مفروم فراخ فاخر</t>
        </is>
      </c>
      <c r="B12" s="5" t="n"/>
      <c r="C12" s="5" t="n"/>
      <c r="D12" s="5" t="n"/>
      <c r="E12" s="5" t="n"/>
      <c r="F12" s="5" t="n"/>
      <c r="G12" s="5">
        <f>IF(COUNT(B12:F12)=0,"",SUM(B12:F12))</f>
        <v/>
      </c>
      <c r="H12" s="6" t="n">
        <v>55.082</v>
      </c>
      <c r="I12" s="5">
        <f>IF(OR(G12="",H12=""),"",G12*H12)</f>
        <v/>
      </c>
      <c r="J12" s="4" t="inlineStr">
        <is>
          <t>كفته ابوهاشم 800</t>
        </is>
      </c>
      <c r="K12" s="5" t="n"/>
      <c r="L12" s="6" t="n">
        <v>68.57729999999999</v>
      </c>
      <c r="M12" s="5">
        <f>IF(OR(K12="",L12=""),"",K12*L12)</f>
        <v/>
      </c>
    </row>
    <row r="13">
      <c r="A13" s="4" t="inlineStr">
        <is>
          <t>دهن بلدي</t>
        </is>
      </c>
      <c r="B13" s="5" t="n"/>
      <c r="C13" s="5" t="n"/>
      <c r="D13" s="5" t="n"/>
      <c r="E13" s="5" t="n"/>
      <c r="F13" s="5" t="n"/>
      <c r="G13" s="5">
        <f>IF(COUNT(B13:F13)=0,"",SUM(B13:F13))</f>
        <v/>
      </c>
      <c r="H13" s="6" t="n">
        <v>53.8106</v>
      </c>
      <c r="I13" s="5">
        <f>IF(OR(G13="",H13=""),"",G13*H13)</f>
        <v/>
      </c>
      <c r="J13" s="4" t="inlineStr">
        <is>
          <t>كفته ابوهاشم 350</t>
        </is>
      </c>
      <c r="K13" s="5" t="n"/>
      <c r="L13" s="6" t="n">
        <v>32.162</v>
      </c>
      <c r="M13" s="5">
        <f>IF(OR(K13="",L13=""),"",K13*L13)</f>
        <v/>
      </c>
    </row>
    <row r="14">
      <c r="A14" s="4" t="inlineStr">
        <is>
          <t>لحم كتف</t>
        </is>
      </c>
      <c r="B14" s="5" t="n"/>
      <c r="C14" s="5" t="n"/>
      <c r="D14" s="5" t="n"/>
      <c r="E14" s="5" t="n"/>
      <c r="F14" s="5" t="n"/>
      <c r="G14" s="5">
        <f>IF(COUNT(B14:F14)=0,"",SUM(B14:F14))</f>
        <v/>
      </c>
      <c r="H14" s="6" t="n">
        <v>253.0246</v>
      </c>
      <c r="I14" s="5">
        <f>IF(OR(G14="",H14=""),"",G14*H14)</f>
        <v/>
      </c>
      <c r="J14" s="4" t="inlineStr">
        <is>
          <t>برجر ابوهاشم 1.5</t>
        </is>
      </c>
      <c r="K14" s="5" t="n"/>
      <c r="L14" s="6" t="n">
        <v>120.4137</v>
      </c>
      <c r="M14" s="5">
        <f>IF(OR(K14="",L14=""),"",K14*L14)</f>
        <v/>
      </c>
    </row>
    <row r="15">
      <c r="A15" s="4" t="inlineStr">
        <is>
          <t>لحم رقبه</t>
        </is>
      </c>
      <c r="B15" s="5" t="n"/>
      <c r="C15" s="5" t="n"/>
      <c r="D15" s="5" t="n"/>
      <c r="E15" s="5" t="n"/>
      <c r="F15" s="5" t="n"/>
      <c r="G15" s="5">
        <f>IF(COUNT(B15:F15)=0,"",SUM(B15:F15))</f>
        <v/>
      </c>
      <c r="H15" s="6" t="n">
        <v>253.0246</v>
      </c>
      <c r="I15" s="5">
        <f>IF(OR(G15="",H15=""),"",G15*H15)</f>
        <v/>
      </c>
      <c r="J15" s="4" t="inlineStr">
        <is>
          <t>برجر ابوهاشم1100</t>
        </is>
      </c>
      <c r="K15" s="5" t="n"/>
      <c r="L15" s="6" t="n">
        <v>83.852</v>
      </c>
      <c r="M15" s="5">
        <f>IF(OR(K15="",L15=""),"",K15*L15)</f>
        <v/>
      </c>
    </row>
    <row r="16">
      <c r="A16" s="4" t="inlineStr">
        <is>
          <t>لحم سن</t>
        </is>
      </c>
      <c r="B16" s="5" t="n"/>
      <c r="C16" s="5" t="n"/>
      <c r="D16" s="5" t="n"/>
      <c r="E16" s="5" t="n"/>
      <c r="F16" s="5" t="n"/>
      <c r="G16" s="5">
        <f>IF(COUNT(B16:F16)=0,"",SUM(B16:F16))</f>
        <v/>
      </c>
      <c r="H16" s="6" t="n">
        <v>253.0246</v>
      </c>
      <c r="I16" s="5">
        <f>IF(OR(G16="",H16=""),"",G16*H16)</f>
        <v/>
      </c>
      <c r="J16" s="4" t="inlineStr">
        <is>
          <t>برجر ابو هاشم 800</t>
        </is>
      </c>
      <c r="K16" s="5" t="n"/>
      <c r="L16" s="6" t="n">
        <v>60.9833</v>
      </c>
      <c r="M16" s="5">
        <f>IF(OR(K16="",L16=""),"",K16*L16)</f>
        <v/>
      </c>
    </row>
    <row r="17">
      <c r="A17" s="4" t="inlineStr">
        <is>
          <t>لحمه ارباع</t>
        </is>
      </c>
      <c r="B17" s="5" t="n"/>
      <c r="C17" s="5" t="n"/>
      <c r="D17" s="5" t="n"/>
      <c r="E17" s="5" t="n"/>
      <c r="F17" s="5" t="n"/>
      <c r="G17" s="5">
        <f>IF(COUNT(B17:F17)=0,"",SUM(B17:F17))</f>
        <v/>
      </c>
      <c r="H17" s="6" t="n">
        <v>253.0246</v>
      </c>
      <c r="I17" s="5">
        <f>IF(OR(G17="",H17=""),"",G17*H17)</f>
        <v/>
      </c>
      <c r="J17" s="4" t="inlineStr">
        <is>
          <t>برجر ابوهاشم 600</t>
        </is>
      </c>
      <c r="K17" s="5" t="n"/>
      <c r="L17" s="6" t="n">
        <v>51.7275</v>
      </c>
      <c r="M17" s="5">
        <f>IF(OR(K17="",L17=""),"",K17*L17)</f>
        <v/>
      </c>
    </row>
    <row r="18">
      <c r="A18" s="4" t="inlineStr">
        <is>
          <t>سمانة هندي</t>
        </is>
      </c>
      <c r="B18" s="5" t="n"/>
      <c r="C18" s="5" t="n"/>
      <c r="D18" s="5" t="n"/>
      <c r="E18" s="5" t="n"/>
      <c r="F18" s="5" t="n"/>
      <c r="G18" s="5">
        <f>IF(COUNT(B18:F18)=0,"",SUM(B18:F18))</f>
        <v/>
      </c>
      <c r="H18" s="7" t="n"/>
      <c r="I18" s="5">
        <f>IF(OR(G18="",H18=""),"",G18*H18)</f>
        <v/>
      </c>
      <c r="J18" s="4" t="inlineStr">
        <is>
          <t>برجر ابوهاشم 400</t>
        </is>
      </c>
      <c r="K18" s="5" t="n"/>
      <c r="L18" s="6" t="n">
        <v>35.4817</v>
      </c>
      <c r="M18" s="5">
        <f>IF(OR(K18="",L18=""),"",K18*L18)</f>
        <v/>
      </c>
    </row>
    <row r="19">
      <c r="A19" s="4" t="inlineStr">
        <is>
          <t>فلانك</t>
        </is>
      </c>
      <c r="B19" s="5" t="n"/>
      <c r="C19" s="5" t="n"/>
      <c r="D19" s="5" t="n"/>
      <c r="E19" s="5" t="n"/>
      <c r="F19" s="5" t="n"/>
      <c r="G19" s="5">
        <f>IF(COUNT(B19:F19)=0,"",SUM(B19:F19))</f>
        <v/>
      </c>
      <c r="H19" s="6" t="n">
        <v>198.3869</v>
      </c>
      <c r="I19" s="5">
        <f>IF(OR(G19="",H19=""),"",G19*H19)</f>
        <v/>
      </c>
      <c r="J19" s="4" t="inlineStr">
        <is>
          <t>شاورما 400</t>
        </is>
      </c>
      <c r="K19" s="5" t="n"/>
      <c r="L19" s="7" t="n"/>
      <c r="M19" s="5">
        <f>IF(OR(K19="",L19=""),"",K19*L19)</f>
        <v/>
      </c>
      <c r="N19" s="8" t="inlineStr">
        <is>
          <t>بلا سعر — لا وصفة ولا سعر سابق؛ يلزم إدخال سعره</t>
        </is>
      </c>
    </row>
    <row r="20">
      <c r="A20" s="4" t="inlineStr">
        <is>
          <t>برغل</t>
        </is>
      </c>
      <c r="B20" s="5" t="n"/>
      <c r="C20" s="5" t="n"/>
      <c r="D20" s="5" t="n"/>
      <c r="E20" s="5" t="n"/>
      <c r="F20" s="5" t="n"/>
      <c r="G20" s="5">
        <f>IF(COUNT(B20:F20)=0,"",SUM(B20:F20))</f>
        <v/>
      </c>
      <c r="H20" s="6" t="n">
        <v>21.2509</v>
      </c>
      <c r="I20" s="5">
        <f>IF(OR(G20="",H20=""),"",G20*H20)</f>
        <v/>
      </c>
      <c r="J20" s="4" t="inlineStr">
        <is>
          <t>بفتيك 400</t>
        </is>
      </c>
      <c r="K20" s="5" t="n"/>
      <c r="L20" s="7" t="n"/>
      <c r="M20" s="5">
        <f>IF(OR(K20="",L20=""),"",K20*L20)</f>
        <v/>
      </c>
      <c r="N20" s="8" t="inlineStr">
        <is>
          <t>بلا سعر — لا وصفة ولا سعر سابق؛ يلزم إدخال سعره</t>
        </is>
      </c>
    </row>
    <row r="21">
      <c r="A21" s="4" t="inlineStr">
        <is>
          <t>صويا فراخ</t>
        </is>
      </c>
      <c r="B21" s="5" t="n"/>
      <c r="C21" s="5" t="n"/>
      <c r="D21" s="5" t="n"/>
      <c r="E21" s="5" t="n"/>
      <c r="F21" s="5" t="n"/>
      <c r="G21" s="5">
        <f>IF(COUNT(B21:F21)=0,"",SUM(B21:F21))</f>
        <v/>
      </c>
      <c r="H21" s="6" t="n">
        <v>46.8182</v>
      </c>
      <c r="I21" s="5">
        <f>IF(OR(G21="",H21=""),"",G21*H21)</f>
        <v/>
      </c>
      <c r="J21" s="4" t="inlineStr">
        <is>
          <t>قطع 400</t>
        </is>
      </c>
      <c r="K21" s="5" t="n"/>
      <c r="L21" s="7" t="n"/>
      <c r="M21" s="5">
        <f>IF(OR(K21="",L21=""),"",K21*L21)</f>
        <v/>
      </c>
      <c r="N21" s="8" t="inlineStr">
        <is>
          <t>بلا سعر — لا وصفة ولا سعر سابق؛ يلزم إدخال سعره</t>
        </is>
      </c>
    </row>
    <row r="22">
      <c r="A22" s="4" t="inlineStr">
        <is>
          <t>كبده</t>
        </is>
      </c>
      <c r="B22" s="5" t="n"/>
      <c r="C22" s="5" t="n"/>
      <c r="D22" s="5" t="n"/>
      <c r="E22" s="5" t="n"/>
      <c r="F22" s="5" t="n"/>
      <c r="G22" s="5">
        <f>IF(COUNT(B22:F22)=0,"",SUM(B22:F22))</f>
        <v/>
      </c>
      <c r="H22" s="6" t="n">
        <v>164.7217</v>
      </c>
      <c r="I22" s="5">
        <f>IF(OR(G22="",H22=""),"",G22*H22)</f>
        <v/>
      </c>
      <c r="J22" s="4" t="inlineStr">
        <is>
          <t>قطع 800</t>
        </is>
      </c>
      <c r="K22" s="5" t="n"/>
      <c r="L22" s="7" t="n"/>
      <c r="M22" s="5">
        <f>IF(OR(K22="",L22=""),"",K22*L22)</f>
        <v/>
      </c>
      <c r="N22" s="8" t="inlineStr">
        <is>
          <t>بلا سعر — لا وصفة ولا سعر سابق؛ يلزم إدخال سعره</t>
        </is>
      </c>
    </row>
    <row r="23">
      <c r="A23" s="4" t="inlineStr">
        <is>
          <t>جلد</t>
        </is>
      </c>
      <c r="B23" s="5" t="n"/>
      <c r="C23" s="5" t="n"/>
      <c r="D23" s="5" t="n"/>
      <c r="E23" s="5" t="n"/>
      <c r="F23" s="5" t="n"/>
      <c r="G23" s="5">
        <f>IF(COUNT(B23:F23)=0,"",SUM(B23:F23))</f>
        <v/>
      </c>
      <c r="H23" s="6" t="n">
        <v>28.8872</v>
      </c>
      <c r="I23" s="5">
        <f>IF(OR(G23="",H23=""),"",G23*H23)</f>
        <v/>
      </c>
      <c r="J23" s="4" t="inlineStr">
        <is>
          <t>مفروم ابو هاشم 3 ك</t>
        </is>
      </c>
      <c r="K23" s="5" t="n"/>
      <c r="L23" s="7" t="n"/>
      <c r="M23" s="5">
        <f>IF(OR(K23="",L23=""),"",K23*L23)</f>
        <v/>
      </c>
      <c r="N23" s="8" t="inlineStr">
        <is>
          <t>بلا سعر — لا وصفة ولا سعر سابق؛ يلزم إدخال سعره</t>
        </is>
      </c>
    </row>
    <row r="24">
      <c r="A24" s="4" t="inlineStr">
        <is>
          <t>هانك</t>
        </is>
      </c>
      <c r="B24" s="5" t="n"/>
      <c r="C24" s="5" t="n"/>
      <c r="D24" s="5" t="n"/>
      <c r="E24" s="5" t="n"/>
      <c r="F24" s="5" t="n"/>
      <c r="G24" s="5">
        <f>IF(COUNT(B24:F24)=0,"",SUM(B24:F24))</f>
        <v/>
      </c>
      <c r="H24" s="6" t="n">
        <v>248.9842</v>
      </c>
      <c r="I24" s="5">
        <f>IF(OR(G24="",H24=""),"",G24*H24)</f>
        <v/>
      </c>
      <c r="J24" s="4" t="inlineStr">
        <is>
          <t>سجق ابو هاشم 2 ك</t>
        </is>
      </c>
      <c r="K24" s="5" t="n"/>
      <c r="L24" s="6" t="n">
        <v>165.0757</v>
      </c>
      <c r="M24" s="5">
        <f>IF(OR(K24="",L24=""),"",K24*L24)</f>
        <v/>
      </c>
    </row>
    <row r="25">
      <c r="A25" s="4" t="inlineStr">
        <is>
          <t>دوبريه</t>
        </is>
      </c>
      <c r="B25" s="5" t="n"/>
      <c r="C25" s="5" t="n"/>
      <c r="D25" s="5" t="n"/>
      <c r="E25" s="5" t="n"/>
      <c r="F25" s="5" t="n"/>
      <c r="G25" s="5">
        <f>IF(COUNT(B25:F25)=0,"",SUM(B25:F25))</f>
        <v/>
      </c>
      <c r="H25" s="6" t="n">
        <v>95.2993</v>
      </c>
      <c r="I25" s="5">
        <f>IF(OR(G25="",H25=""),"",G25*H25)</f>
        <v/>
      </c>
      <c r="J25" s="4" t="inlineStr">
        <is>
          <t>كبده امريكي3 ك</t>
        </is>
      </c>
      <c r="K25" s="5" t="n"/>
      <c r="L25" s="7" t="n"/>
      <c r="M25" s="5">
        <f>IF(OR(K25="",L25=""),"",K25*L25)</f>
        <v/>
      </c>
      <c r="N25" s="8" t="inlineStr">
        <is>
          <t>بلا سعر — لا وصفة ولا سعر سابق؛ يلزم إدخال سعره</t>
        </is>
      </c>
    </row>
    <row r="26">
      <c r="A26" s="4" t="inlineStr">
        <is>
          <t>فلفل رومي حامي</t>
        </is>
      </c>
      <c r="B26" s="5" t="n"/>
      <c r="C26" s="5" t="n"/>
      <c r="D26" s="5" t="n"/>
      <c r="E26" s="5" t="n"/>
      <c r="F26" s="5" t="n"/>
      <c r="G26" s="5">
        <f>IF(COUNT(B26:F26)=0,"",SUM(B26:F26))</f>
        <v/>
      </c>
      <c r="H26" s="6" t="n">
        <v>14.6228</v>
      </c>
      <c r="I26" s="5">
        <f>IF(OR(G26="",H26=""),"",G26*H26)</f>
        <v/>
      </c>
      <c r="J26" s="4" t="inlineStr">
        <is>
          <t>مفروم صويا-بروتين 400 ش</t>
        </is>
      </c>
      <c r="K26" s="5" t="n"/>
      <c r="L26" s="7" t="n"/>
      <c r="M26" s="5">
        <f>IF(OR(K26="",L26=""),"",K26*L26)</f>
        <v/>
      </c>
      <c r="N26" s="8" t="inlineStr">
        <is>
          <t>بلا سعر — لا وصفة ولا سعر سابق؛ يلزم إدخال سعره</t>
        </is>
      </c>
    </row>
    <row r="27">
      <c r="A27" s="4" t="inlineStr">
        <is>
          <t>فيليه</t>
        </is>
      </c>
      <c r="B27" s="5" t="n"/>
      <c r="C27" s="5" t="n"/>
      <c r="D27" s="5" t="n"/>
      <c r="E27" s="5" t="n"/>
      <c r="F27" s="5" t="n"/>
      <c r="G27" s="5">
        <f>IF(COUNT(B27:F27)=0,"",SUM(B27:F27))</f>
        <v/>
      </c>
      <c r="H27" s="6" t="n">
        <v>195</v>
      </c>
      <c r="I27" s="5">
        <f>IF(OR(G27="",H27=""),"",G27*H27)</f>
        <v/>
      </c>
      <c r="J27" s="4" t="inlineStr">
        <is>
          <t>مفروم صويا-بروتين 400 علب</t>
        </is>
      </c>
      <c r="K27" s="5" t="n"/>
      <c r="L27" s="7" t="n"/>
      <c r="M27" s="5">
        <f>IF(OR(K27="",L27=""),"",K27*L27)</f>
        <v/>
      </c>
      <c r="N27" s="8" t="inlineStr">
        <is>
          <t>بلا سعر — لا وصفة ولا سعر سابق؛ يلزم إدخال سعره</t>
        </is>
      </c>
    </row>
    <row r="28">
      <c r="A28" s="4" t="inlineStr">
        <is>
          <t>بقسماط اصفر</t>
        </is>
      </c>
      <c r="B28" s="5" t="n"/>
      <c r="C28" s="5" t="n"/>
      <c r="D28" s="5" t="n"/>
      <c r="E28" s="5" t="n"/>
      <c r="F28" s="5" t="n"/>
      <c r="G28" s="5">
        <f>IF(COUNT(B28:F28)=0,"",SUM(B28:F28))</f>
        <v/>
      </c>
      <c r="H28" s="6" t="n">
        <v>38.5</v>
      </c>
      <c r="I28" s="5">
        <f>IF(OR(G28="",H28=""),"",G28*H28)</f>
        <v/>
      </c>
      <c r="J28" s="4" t="inlineStr">
        <is>
          <t>برجر ابوهاشم 1200</t>
        </is>
      </c>
      <c r="K28" s="5" t="n"/>
      <c r="L28" s="6" t="n">
        <v>97.655</v>
      </c>
      <c r="M28" s="5">
        <f>IF(OR(K28="",L28=""),"",K28*L28)</f>
        <v/>
      </c>
    </row>
    <row r="29">
      <c r="A29" s="4" t="inlineStr">
        <is>
          <t>بقسماط ابيض</t>
        </is>
      </c>
      <c r="B29" s="5" t="n"/>
      <c r="C29" s="5" t="n"/>
      <c r="D29" s="5" t="n"/>
      <c r="E29" s="5" t="n"/>
      <c r="F29" s="5" t="n"/>
      <c r="G29" s="5">
        <f>IF(COUNT(B29:F29)=0,"",SUM(B29:F29))</f>
        <v/>
      </c>
      <c r="H29" s="7" t="n"/>
      <c r="I29" s="5">
        <f>IF(OR(G29="",H29=""),"",G29*H29)</f>
        <v/>
      </c>
      <c r="J29" s="4" t="inlineStr">
        <is>
          <t>كبده اك</t>
        </is>
      </c>
      <c r="K29" s="5" t="n"/>
      <c r="L29" s="7" t="n"/>
      <c r="M29" s="5">
        <f>IF(OR(K29="",L29=""),"",K29*L29)</f>
        <v/>
      </c>
      <c r="N29" s="8" t="inlineStr">
        <is>
          <t>بلا سعر — لا وصفة ولا سعر سابق؛ يلزم إدخال سعره</t>
        </is>
      </c>
    </row>
    <row r="30">
      <c r="A30" s="4" t="inlineStr">
        <is>
          <t>بطاطس</t>
        </is>
      </c>
      <c r="B30" s="5" t="n"/>
      <c r="C30" s="5" t="n"/>
      <c r="D30" s="5" t="n"/>
      <c r="E30" s="5" t="n"/>
      <c r="F30" s="5" t="n"/>
      <c r="G30" s="5">
        <f>IF(COUNT(B30:F30)=0,"",SUM(B30:F30))</f>
        <v/>
      </c>
      <c r="H30" s="7" t="n"/>
      <c r="I30" s="5">
        <f>IF(OR(G30="",H30=""),"",G30*H30)</f>
        <v/>
      </c>
      <c r="J30" s="4" t="inlineStr">
        <is>
          <t>برجر ابوهاشم 1000</t>
        </is>
      </c>
      <c r="K30" s="5" t="n"/>
      <c r="L30" s="6" t="n">
        <v>81.8291</v>
      </c>
      <c r="M30" s="5">
        <f>IF(OR(K30="",L30=""),"",K30*L30)</f>
        <v/>
      </c>
    </row>
    <row r="31">
      <c r="A31" s="4" t="inlineStr">
        <is>
          <t>دوبرية بسطرمة (لحمة)</t>
        </is>
      </c>
      <c r="B31" s="5" t="n"/>
      <c r="C31" s="5" t="n"/>
      <c r="D31" s="5" t="n"/>
      <c r="E31" s="5" t="n"/>
      <c r="F31" s="5" t="n"/>
      <c r="G31" s="5">
        <f>IF(COUNT(B31:F31)=0,"",SUM(B31:F31))</f>
        <v/>
      </c>
      <c r="H31" s="6" t="n">
        <v>185</v>
      </c>
      <c r="I31" s="5">
        <f>IF(OR(G31="",H31=""),"",G31*H31)</f>
        <v/>
      </c>
      <c r="J31" s="4" t="inlineStr">
        <is>
          <t>ممبار</t>
        </is>
      </c>
      <c r="K31" s="5" t="n"/>
      <c r="L31" s="7" t="n"/>
      <c r="M31" s="5">
        <f>IF(OR(K31="",L31=""),"",K31*L31)</f>
        <v/>
      </c>
      <c r="N31" s="8" t="inlineStr">
        <is>
          <t>بلا سعر — لا وصفة ولا سعر سابق؛ يلزم إدخال سعره</t>
        </is>
      </c>
    </row>
    <row r="32">
      <c r="A32" s="4" t="inlineStr">
        <is>
          <t>قلب برازيلي</t>
        </is>
      </c>
      <c r="B32" s="5" t="n"/>
      <c r="C32" s="5" t="n"/>
      <c r="D32" s="5" t="n"/>
      <c r="E32" s="5" t="n"/>
      <c r="F32" s="5" t="n"/>
      <c r="G32" s="5">
        <f>IF(COUNT(B32:F32)=0,"",SUM(B32:F32))</f>
        <v/>
      </c>
      <c r="H32" s="6" t="n">
        <v>245</v>
      </c>
      <c r="I32" s="5">
        <f>IF(OR(G32="",H32=""),"",G32*H32)</f>
        <v/>
      </c>
      <c r="J32" s="4" t="inlineStr">
        <is>
          <t>عجينة سجق ابوهاشم 1ك</t>
        </is>
      </c>
      <c r="K32" s="5" t="n"/>
      <c r="L32" s="6" t="n">
        <v>82.5378</v>
      </c>
      <c r="M32" s="5">
        <f>IF(OR(K32="",L32=""),"",K32*L32)</f>
        <v/>
      </c>
    </row>
    <row r="33">
      <c r="A33" s="4" t="inlineStr">
        <is>
          <t>بوش</t>
        </is>
      </c>
      <c r="B33" s="5" t="n"/>
      <c r="C33" s="5" t="n"/>
      <c r="D33" s="5" t="n"/>
      <c r="E33" s="5" t="n"/>
      <c r="F33" s="5" t="n"/>
      <c r="G33" s="5">
        <f>IF(COUNT(B33:F33)=0,"",SUM(B33:F33))</f>
        <v/>
      </c>
      <c r="H33" s="6" t="n">
        <v>110</v>
      </c>
      <c r="I33" s="5">
        <f>IF(OR(G33="",H33=""),"",G33*H33)</f>
        <v/>
      </c>
      <c r="J33" s="4" t="inlineStr">
        <is>
          <t>عجينة كفته ابو هاشم 5 ك</t>
        </is>
      </c>
      <c r="K33" s="5" t="n"/>
      <c r="L33" s="6" t="n">
        <v>395.1709</v>
      </c>
      <c r="M33" s="5">
        <f>IF(OR(K33="",L33=""),"",K33*L33)</f>
        <v/>
      </c>
    </row>
    <row r="34">
      <c r="A34" s="4" t="inlineStr">
        <is>
          <t>شعريه</t>
        </is>
      </c>
      <c r="B34" s="5" t="n"/>
      <c r="C34" s="5" t="n"/>
      <c r="D34" s="5" t="n"/>
      <c r="E34" s="5" t="n"/>
      <c r="F34" s="5" t="n"/>
      <c r="G34" s="5">
        <f>IF(COUNT(B34:F34)=0,"",SUM(B34:F34))</f>
        <v/>
      </c>
      <c r="H34" s="7" t="n"/>
      <c r="I34" s="5">
        <f>IF(OR(G34="",H34=""),"",G34*H34)</f>
        <v/>
      </c>
      <c r="J34" s="4" t="inlineStr">
        <is>
          <t>كفتة ابو هاشم 1ك</t>
        </is>
      </c>
      <c r="K34" s="5" t="n"/>
      <c r="L34" s="6" t="n">
        <v>79.0342</v>
      </c>
      <c r="M34" s="5">
        <f>IF(OR(K34="",L34=""),"",K34*L34)</f>
        <v/>
      </c>
    </row>
    <row r="35">
      <c r="A35" s="4" t="inlineStr">
        <is>
          <t>دقيق</t>
        </is>
      </c>
      <c r="B35" s="5" t="n"/>
      <c r="C35" s="5" t="n"/>
      <c r="D35" s="5" t="n"/>
      <c r="E35" s="5" t="n"/>
      <c r="F35" s="5" t="n"/>
      <c r="G35" s="5">
        <f>IF(COUNT(B35:F35)=0,"",SUM(B35:F35))</f>
        <v/>
      </c>
      <c r="H35" s="6" t="n">
        <v>17.5</v>
      </c>
      <c r="I35" s="5">
        <f>IF(OR(G35="",H35=""),"",G35*H35)</f>
        <v/>
      </c>
      <c r="J35" s="4" t="inlineStr">
        <is>
          <t>كيس كبده 3 ك برازيلي</t>
        </is>
      </c>
      <c r="K35" s="5" t="n"/>
      <c r="L35" s="7" t="n"/>
      <c r="M35" s="5">
        <f>IF(OR(K35="",L35=""),"",K35*L35)</f>
        <v/>
      </c>
      <c r="N35" s="8" t="inlineStr">
        <is>
          <t>بلا سعر — لا وصفة ولا سعر سابق؛ يلزم إدخال سعره</t>
        </is>
      </c>
    </row>
    <row r="36">
      <c r="A36" s="4" t="inlineStr">
        <is>
          <t>نشا</t>
        </is>
      </c>
      <c r="B36" s="5" t="n"/>
      <c r="C36" s="5" t="n"/>
      <c r="D36" s="5" t="n"/>
      <c r="E36" s="5" t="n"/>
      <c r="F36" s="5" t="n"/>
      <c r="G36" s="5">
        <f>IF(COUNT(B36:F36)=0,"",SUM(B36:F36))</f>
        <v/>
      </c>
      <c r="H36" s="6" t="n">
        <v>26.974</v>
      </c>
      <c r="I36" s="5">
        <f>IF(OR(G36="",H36=""),"",G36*H36)</f>
        <v/>
      </c>
      <c r="J36" s="4" t="inlineStr">
        <is>
          <t>سجق ابو هاشم 1.5 ك</t>
        </is>
      </c>
      <c r="K36" s="5" t="n"/>
      <c r="L36" s="6" t="n">
        <v>123.8067</v>
      </c>
      <c r="M36" s="5">
        <f>IF(OR(K36="",L36=""),"",K36*L36)</f>
        <v/>
      </c>
    </row>
    <row r="37">
      <c r="A37" s="4" t="inlineStr">
        <is>
          <t>فلفل اسود</t>
        </is>
      </c>
      <c r="B37" s="5" t="n"/>
      <c r="C37" s="5" t="n"/>
      <c r="D37" s="5" t="n"/>
      <c r="E37" s="5" t="n"/>
      <c r="F37" s="5" t="n"/>
      <c r="G37" s="5">
        <f>IF(COUNT(B37:F37)=0,"",SUM(B37:F37))</f>
        <v/>
      </c>
      <c r="H37" s="6" t="n">
        <v>336.2615</v>
      </c>
      <c r="I37" s="5">
        <f>IF(OR(G37="",H37=""),"",G37*H37)</f>
        <v/>
      </c>
      <c r="J37" s="4" t="inlineStr">
        <is>
          <t>عجينة سجق ابوهاشم 3ك</t>
        </is>
      </c>
      <c r="K37" s="5" t="n"/>
      <c r="L37" s="6" t="n">
        <v>256.8435</v>
      </c>
      <c r="M37" s="5">
        <f>IF(OR(K37="",L37=""),"",K37*L37)</f>
        <v/>
      </c>
    </row>
    <row r="38">
      <c r="A38" s="4" t="inlineStr">
        <is>
          <t>قرنفل</t>
        </is>
      </c>
      <c r="B38" s="5" t="n"/>
      <c r="C38" s="5" t="n"/>
      <c r="D38" s="5" t="n"/>
      <c r="E38" s="5" t="n"/>
      <c r="F38" s="5" t="n"/>
      <c r="G38" s="5">
        <f>IF(COUNT(B38:F38)=0,"",SUM(B38:F38))</f>
        <v/>
      </c>
      <c r="H38" s="6" t="n">
        <v>510.4691</v>
      </c>
      <c r="I38" s="5">
        <f>IF(OR(G38="",H38=""),"",G38*H38)</f>
        <v/>
      </c>
      <c r="J38" s="4" t="inlineStr">
        <is>
          <t>كبده 500</t>
        </is>
      </c>
      <c r="K38" s="5" t="n"/>
      <c r="L38" s="7" t="n"/>
      <c r="M38" s="5">
        <f>IF(OR(K38="",L38=""),"",K38*L38)</f>
        <v/>
      </c>
      <c r="N38" s="8" t="inlineStr">
        <is>
          <t>بلا سعر — لا وصفة ولا سعر سابق؛ يلزم إدخال سعره</t>
        </is>
      </c>
    </row>
    <row r="39">
      <c r="A39" s="4" t="inlineStr">
        <is>
          <t>كمون</t>
        </is>
      </c>
      <c r="B39" s="5" t="n"/>
      <c r="C39" s="5" t="n"/>
      <c r="D39" s="5" t="n"/>
      <c r="E39" s="5" t="n"/>
      <c r="F39" s="5" t="n"/>
      <c r="G39" s="5">
        <f>IF(COUNT(B39:F39)=0,"",SUM(B39:F39))</f>
        <v/>
      </c>
      <c r="H39" s="6" t="n">
        <v>251.5284</v>
      </c>
      <c r="I39" s="5">
        <f>IF(OR(G39="",H39=""),"",G39*H39)</f>
        <v/>
      </c>
      <c r="J39" s="4" t="inlineStr">
        <is>
          <t>سجق الهنا 700</t>
        </is>
      </c>
      <c r="K39" s="5" t="n"/>
      <c r="L39" s="6" t="n">
        <v>22.5393</v>
      </c>
      <c r="M39" s="5">
        <f>IF(OR(K39="",L39=""),"",K39*L39)</f>
        <v/>
      </c>
    </row>
    <row r="40">
      <c r="A40" s="4" t="inlineStr">
        <is>
          <t>كرفس</t>
        </is>
      </c>
      <c r="B40" s="5" t="n"/>
      <c r="C40" s="5" t="n"/>
      <c r="D40" s="5" t="n"/>
      <c r="E40" s="5" t="n"/>
      <c r="F40" s="5" t="n"/>
      <c r="G40" s="5">
        <f>IF(COUNT(B40:F40)=0,"",SUM(B40:F40))</f>
        <v/>
      </c>
      <c r="H40" s="6" t="n">
        <v>140</v>
      </c>
      <c r="I40" s="5">
        <f>IF(OR(G40="",H40=""),"",G40*H40)</f>
        <v/>
      </c>
      <c r="J40" s="4" t="inlineStr">
        <is>
          <t>سجق الهنا 300</t>
        </is>
      </c>
      <c r="K40" s="5" t="n"/>
      <c r="L40" s="6" t="n">
        <v>11.7226</v>
      </c>
      <c r="M40" s="5">
        <f>IF(OR(K40="",L40=""),"",K40*L40)</f>
        <v/>
      </c>
    </row>
    <row r="41">
      <c r="A41" s="4" t="inlineStr">
        <is>
          <t>كبابه</t>
        </is>
      </c>
      <c r="B41" s="5" t="n"/>
      <c r="C41" s="5" t="n"/>
      <c r="D41" s="5" t="n"/>
      <c r="E41" s="5" t="n"/>
      <c r="F41" s="5" t="n"/>
      <c r="G41" s="5">
        <f>IF(COUNT(B41:F41)=0,"",SUM(B41:F41))</f>
        <v/>
      </c>
      <c r="H41" s="6" t="n">
        <v>529.0463999999999</v>
      </c>
      <c r="I41" s="5">
        <f>IF(OR(G41="",H41=""),"",G41*H41)</f>
        <v/>
      </c>
      <c r="J41" s="4" t="inlineStr">
        <is>
          <t>كفته الهنا 800</t>
        </is>
      </c>
      <c r="K41" s="5" t="n"/>
      <c r="L41" s="6" t="n">
        <v>24.9863</v>
      </c>
      <c r="M41" s="5">
        <f>IF(OR(K41="",L41=""),"",K41*L41)</f>
        <v/>
      </c>
    </row>
    <row r="42">
      <c r="A42" s="4" t="inlineStr">
        <is>
          <t>بقدونس</t>
        </is>
      </c>
      <c r="B42" s="5" t="n"/>
      <c r="C42" s="5" t="n"/>
      <c r="D42" s="5" t="n"/>
      <c r="E42" s="5" t="n"/>
      <c r="F42" s="5" t="n"/>
      <c r="G42" s="5">
        <f>IF(COUNT(B42:F42)=0,"",SUM(B42:F42))</f>
        <v/>
      </c>
      <c r="H42" s="6" t="n">
        <v>110</v>
      </c>
      <c r="I42" s="5">
        <f>IF(OR(G42="",H42=""),"",G42*H42)</f>
        <v/>
      </c>
      <c r="J42" s="4" t="inlineStr">
        <is>
          <t>كفته الهنا 350</t>
        </is>
      </c>
      <c r="K42" s="5" t="n"/>
      <c r="L42" s="6" t="n">
        <v>13.4515</v>
      </c>
      <c r="M42" s="5">
        <f>IF(OR(K42="",L42=""),"",K42*L42)</f>
        <v/>
      </c>
    </row>
    <row r="43">
      <c r="A43" s="4" t="inlineStr">
        <is>
          <t>لورا</t>
        </is>
      </c>
      <c r="B43" s="5" t="n"/>
      <c r="C43" s="5" t="n"/>
      <c r="D43" s="5" t="n"/>
      <c r="E43" s="5" t="n"/>
      <c r="F43" s="5" t="n"/>
      <c r="G43" s="5">
        <f>IF(COUNT(B43:F43)=0,"",SUM(B43:F43))</f>
        <v/>
      </c>
      <c r="H43" s="6" t="n">
        <v>140.0911</v>
      </c>
      <c r="I43" s="5">
        <f>IF(OR(G43="",H43=""),"",G43*H43)</f>
        <v/>
      </c>
      <c r="J43" s="4" t="inlineStr">
        <is>
          <t>برجر الهنا 800</t>
        </is>
      </c>
      <c r="K43" s="5" t="n"/>
      <c r="L43" s="6" t="n">
        <v>19.3734</v>
      </c>
      <c r="M43" s="5">
        <f>IF(OR(K43="",L43=""),"",K43*L43)</f>
        <v/>
      </c>
    </row>
    <row r="44">
      <c r="A44" s="4" t="inlineStr">
        <is>
          <t>خلنجان</t>
        </is>
      </c>
      <c r="B44" s="5" t="n"/>
      <c r="C44" s="5" t="n"/>
      <c r="D44" s="5" t="n"/>
      <c r="E44" s="5" t="n"/>
      <c r="F44" s="5" t="n"/>
      <c r="G44" s="5">
        <f>IF(COUNT(B44:F44)=0,"",SUM(B44:F44))</f>
        <v/>
      </c>
      <c r="H44" s="6" t="n">
        <v>125.4015</v>
      </c>
      <c r="I44" s="5">
        <f>IF(OR(G44="",H44=""),"",G44*H44)</f>
        <v/>
      </c>
      <c r="J44" s="4" t="inlineStr">
        <is>
          <t>برجر الهنا 900</t>
        </is>
      </c>
      <c r="K44" s="5" t="n"/>
      <c r="L44" s="6" t="n">
        <v>28.4251</v>
      </c>
      <c r="M44" s="5">
        <f>IF(OR(K44="",L44=""),"",K44*L44)</f>
        <v/>
      </c>
    </row>
    <row r="45">
      <c r="A45" s="4" t="inlineStr">
        <is>
          <t>كزبره</t>
        </is>
      </c>
      <c r="B45" s="5" t="n"/>
      <c r="C45" s="5" t="n"/>
      <c r="D45" s="5" t="n"/>
      <c r="E45" s="5" t="n"/>
      <c r="F45" s="5" t="n"/>
      <c r="G45" s="5">
        <f>IF(COUNT(B45:F45)=0,"",SUM(B45:F45))</f>
        <v/>
      </c>
      <c r="H45" s="6" t="n">
        <v>74.8815</v>
      </c>
      <c r="I45" s="5">
        <f>IF(OR(G45="",H45=""),"",G45*H45)</f>
        <v/>
      </c>
      <c r="J45" s="4" t="inlineStr">
        <is>
          <t>برجر الهنا 350</t>
        </is>
      </c>
      <c r="K45" s="5" t="n"/>
      <c r="L45" s="6" t="n">
        <v>8.475899999999999</v>
      </c>
      <c r="M45" s="5">
        <f>IF(OR(K45="",L45=""),"",K45*L45)</f>
        <v/>
      </c>
    </row>
    <row r="46">
      <c r="A46" s="4" t="inlineStr">
        <is>
          <t>قرفه</t>
        </is>
      </c>
      <c r="B46" s="5" t="n"/>
      <c r="C46" s="5" t="n"/>
      <c r="D46" s="5" t="n"/>
      <c r="E46" s="5" t="n"/>
      <c r="F46" s="5" t="n"/>
      <c r="G46" s="5">
        <f>IF(COUNT(B46:F46)=0,"",SUM(B46:F46))</f>
        <v/>
      </c>
      <c r="H46" s="6" t="n">
        <v>130.1035</v>
      </c>
      <c r="I46" s="5">
        <f>IF(OR(G46="",H46=""),"",G46*H46)</f>
        <v/>
      </c>
      <c r="J46" s="4" t="inlineStr">
        <is>
          <t>سجق الهنا 3 ك</t>
        </is>
      </c>
      <c r="K46" s="5" t="n"/>
      <c r="L46" s="6" t="n">
        <v>70.9258</v>
      </c>
      <c r="M46" s="5">
        <f>IF(OR(K46="",L46=""),"",K46*L46)</f>
        <v/>
      </c>
    </row>
    <row r="47">
      <c r="A47" s="4" t="inlineStr">
        <is>
          <t>زعتر</t>
        </is>
      </c>
      <c r="B47" s="5" t="n"/>
      <c r="C47" s="5" t="n"/>
      <c r="D47" s="5" t="n"/>
      <c r="E47" s="5" t="n"/>
      <c r="F47" s="5" t="n"/>
      <c r="G47" s="5">
        <f>IF(COUNT(B47:F47)=0,"",SUM(B47:F47))</f>
        <v/>
      </c>
      <c r="H47" s="6" t="n">
        <v>120</v>
      </c>
      <c r="I47" s="5">
        <f>IF(OR(G47="",H47=""),"",G47*H47)</f>
        <v/>
      </c>
      <c r="J47" s="4" t="inlineStr">
        <is>
          <t>سجق الهنا 5 ك</t>
        </is>
      </c>
      <c r="K47" s="5" t="n"/>
      <c r="L47" s="6" t="n">
        <v>134.2696</v>
      </c>
      <c r="M47" s="5">
        <f>IF(OR(K47="",L47=""),"",K47*L47)</f>
        <v/>
      </c>
    </row>
    <row r="48">
      <c r="A48" s="4" t="inlineStr">
        <is>
          <t>شطه</t>
        </is>
      </c>
      <c r="B48" s="5" t="n"/>
      <c r="C48" s="5" t="n"/>
      <c r="D48" s="5" t="n"/>
      <c r="E48" s="5" t="n"/>
      <c r="F48" s="5" t="n"/>
      <c r="G48" s="5">
        <f>IF(COUNT(B48:F48)=0,"",SUM(B48:F48))</f>
        <v/>
      </c>
      <c r="H48" s="6" t="n">
        <v>75.042</v>
      </c>
      <c r="I48" s="5">
        <f>IF(OR(G48="",H48=""),"",G48*H48)</f>
        <v/>
      </c>
      <c r="J48" s="4" t="inlineStr">
        <is>
          <t>بانيه 700</t>
        </is>
      </c>
      <c r="K48" s="5" t="n"/>
      <c r="L48" s="7" t="n"/>
      <c r="M48" s="5">
        <f>IF(OR(K48="",L48=""),"",K48*L48)</f>
        <v/>
      </c>
      <c r="N48" s="8" t="inlineStr">
        <is>
          <t>بلا سعر — لا وصفة ولا سعر سابق؛ يلزم إدخال سعره</t>
        </is>
      </c>
    </row>
    <row r="49">
      <c r="A49" s="4" t="inlineStr">
        <is>
          <t>جوزه الطيب</t>
        </is>
      </c>
      <c r="B49" s="5" t="n"/>
      <c r="C49" s="5" t="n"/>
      <c r="D49" s="5" t="n"/>
      <c r="E49" s="5" t="n"/>
      <c r="F49" s="5" t="n"/>
      <c r="G49" s="5">
        <f>IF(COUNT(B49:F49)=0,"",SUM(B49:F49))</f>
        <v/>
      </c>
      <c r="H49" s="6" t="n">
        <v>802.9028</v>
      </c>
      <c r="I49" s="5">
        <f>IF(OR(G49="",H49=""),"",G49*H49)</f>
        <v/>
      </c>
      <c r="J49" s="4" t="inlineStr">
        <is>
          <t>بانيه 800</t>
        </is>
      </c>
      <c r="K49" s="5" t="n"/>
      <c r="L49" s="6" t="n">
        <v>44.95</v>
      </c>
      <c r="M49" s="5">
        <f>IF(OR(K49="",L49=""),"",K49*L49)</f>
        <v/>
      </c>
    </row>
    <row r="50">
      <c r="A50" s="4" t="inlineStr">
        <is>
          <t>ينسون</t>
        </is>
      </c>
      <c r="B50" s="5" t="n"/>
      <c r="C50" s="5" t="n"/>
      <c r="D50" s="5" t="n"/>
      <c r="E50" s="5" t="n"/>
      <c r="F50" s="5" t="n"/>
      <c r="G50" s="5">
        <f>IF(COUNT(B50:F50)=0,"",SUM(B50:F50))</f>
        <v/>
      </c>
      <c r="H50" s="6" t="n">
        <v>120.5075</v>
      </c>
      <c r="I50" s="5">
        <f>IF(OR(G50="",H50=""),"",G50*H50)</f>
        <v/>
      </c>
      <c r="J50" s="4" t="inlineStr">
        <is>
          <t>بانيه 900</t>
        </is>
      </c>
      <c r="K50" s="5" t="n"/>
      <c r="L50" s="7" t="n"/>
      <c r="M50" s="5">
        <f>IF(OR(K50="",L50=""),"",K50*L50)</f>
        <v/>
      </c>
      <c r="N50" s="8" t="inlineStr">
        <is>
          <t>بلا سعر — لا وصفة ولا سعر سابق؛ يلزم إدخال سعره</t>
        </is>
      </c>
    </row>
    <row r="51">
      <c r="A51" s="4" t="inlineStr">
        <is>
          <t>حبهان</t>
        </is>
      </c>
      <c r="B51" s="5" t="n"/>
      <c r="C51" s="5" t="n"/>
      <c r="D51" s="5" t="n"/>
      <c r="E51" s="5" t="n"/>
      <c r="F51" s="5" t="n"/>
      <c r="G51" s="5">
        <f>IF(COUNT(B51:F51)=0,"",SUM(B51:F51))</f>
        <v/>
      </c>
      <c r="H51" s="6" t="n">
        <v>1231.0948</v>
      </c>
      <c r="I51" s="5">
        <f>IF(OR(G51="",H51=""),"",G51*H51)</f>
        <v/>
      </c>
      <c r="J51" s="4" t="inlineStr">
        <is>
          <t>عجينه سجق هنا 5ك</t>
        </is>
      </c>
      <c r="K51" s="5" t="n"/>
      <c r="L51" s="6" t="n">
        <v>134.2696</v>
      </c>
      <c r="M51" s="5">
        <f>IF(OR(K51="",L51=""),"",K51*L51)</f>
        <v/>
      </c>
    </row>
    <row r="52">
      <c r="A52" s="4" t="inlineStr">
        <is>
          <t>روزماري</t>
        </is>
      </c>
      <c r="B52" s="5" t="n"/>
      <c r="C52" s="5" t="n"/>
      <c r="D52" s="5" t="n"/>
      <c r="E52" s="5" t="n"/>
      <c r="F52" s="5" t="n"/>
      <c r="G52" s="5">
        <f>IF(COUNT(B52:F52)=0,"",SUM(B52:F52))</f>
        <v/>
      </c>
      <c r="H52" s="6" t="n">
        <v>150</v>
      </c>
      <c r="I52" s="5">
        <f>IF(OR(G52="",H52=""),"",G52*H52)</f>
        <v/>
      </c>
      <c r="J52" s="4" t="inlineStr">
        <is>
          <t>سجق الهنا عرض 200ج</t>
        </is>
      </c>
      <c r="K52" s="5" t="n"/>
      <c r="L52" s="6" t="n">
        <v>4.7284</v>
      </c>
      <c r="M52" s="5">
        <f>IF(OR(K52="",L52=""),"",K52*L52)</f>
        <v/>
      </c>
    </row>
    <row r="53">
      <c r="A53" s="4" t="inlineStr">
        <is>
          <t>بابريكا</t>
        </is>
      </c>
      <c r="B53" s="5" t="n"/>
      <c r="C53" s="5" t="n"/>
      <c r="D53" s="5" t="n"/>
      <c r="E53" s="5" t="n"/>
      <c r="F53" s="5" t="n"/>
      <c r="G53" s="5">
        <f>IF(COUNT(B53:F53)=0,"",SUM(B53:F53))</f>
        <v/>
      </c>
      <c r="H53" s="6" t="n">
        <v>140.0343</v>
      </c>
      <c r="I53" s="5">
        <f>IF(OR(G53="",H53=""),"",G53*H53)</f>
        <v/>
      </c>
      <c r="J53" s="4" t="inlineStr">
        <is>
          <t>برجر الهنا عرض 300ج</t>
        </is>
      </c>
      <c r="K53" s="5" t="n"/>
      <c r="L53" s="6" t="n">
        <v>7.265</v>
      </c>
      <c r="M53" s="5">
        <f>IF(OR(K53="",L53=""),"",K53*L53)</f>
        <v/>
      </c>
    </row>
    <row r="54">
      <c r="A54" s="4" t="inlineStr">
        <is>
          <t>جنزبيل</t>
        </is>
      </c>
      <c r="B54" s="5" t="n"/>
      <c r="C54" s="5" t="n"/>
      <c r="D54" s="5" t="n"/>
      <c r="E54" s="5" t="n"/>
      <c r="F54" s="5" t="n"/>
      <c r="G54" s="5">
        <f>IF(COUNT(B54:F54)=0,"",SUM(B54:F54))</f>
        <v/>
      </c>
      <c r="H54" s="6" t="n">
        <v>211.3081</v>
      </c>
      <c r="I54" s="5">
        <f>IF(OR(G54="",H54=""),"",G54*H54)</f>
        <v/>
      </c>
      <c r="J54" s="4" t="inlineStr">
        <is>
          <t>كفتة الهنا عرض 200ج</t>
        </is>
      </c>
      <c r="K54" s="5" t="n"/>
      <c r="L54" s="6" t="n">
        <v>4.7266</v>
      </c>
      <c r="M54" s="5">
        <f>IF(OR(K54="",L54=""),"",K54*L54)</f>
        <v/>
      </c>
    </row>
    <row r="55">
      <c r="A55" s="4" t="inlineStr">
        <is>
          <t>الملح</t>
        </is>
      </c>
      <c r="B55" s="5" t="n"/>
      <c r="C55" s="5" t="n"/>
      <c r="D55" s="5" t="n"/>
      <c r="E55" s="5" t="n"/>
      <c r="F55" s="5" t="n"/>
      <c r="G55" s="5">
        <f>IF(COUNT(B55:F55)=0,"",SUM(B55:F55))</f>
        <v/>
      </c>
      <c r="H55" s="6" t="n">
        <v>2.0629</v>
      </c>
      <c r="I55" s="5">
        <f>IF(OR(G55="",H55=""),"",G55*H55)</f>
        <v/>
      </c>
      <c r="J55" s="4" t="inlineStr">
        <is>
          <t>استبربس SP 900</t>
        </is>
      </c>
      <c r="K55" s="5" t="n"/>
      <c r="L55" s="6" t="n">
        <v>136</v>
      </c>
      <c r="M55" s="5">
        <f>IF(OR(K55="",L55=""),"",K55*L55)</f>
        <v/>
      </c>
    </row>
    <row r="56">
      <c r="A56" s="4" t="inlineStr">
        <is>
          <t>فوسفات</t>
        </is>
      </c>
      <c r="B56" s="5" t="n"/>
      <c r="C56" s="5" t="n"/>
      <c r="D56" s="5" t="n"/>
      <c r="E56" s="5" t="n"/>
      <c r="F56" s="5" t="n"/>
      <c r="G56" s="5">
        <f>IF(COUNT(B56:F56)=0,"",SUM(B56:F56))</f>
        <v/>
      </c>
      <c r="H56" s="6" t="n">
        <v>151.7276</v>
      </c>
      <c r="I56" s="5">
        <f>IF(OR(G56="",H56=""),"",G56*H56)</f>
        <v/>
      </c>
      <c r="J56" s="4" t="inlineStr">
        <is>
          <t>عرض ثلاثي الهنا&lt;سجق برجر كفته &gt;</t>
        </is>
      </c>
      <c r="K56" s="5" t="n"/>
      <c r="L56" s="7" t="n"/>
      <c r="M56" s="5">
        <f>IF(OR(K56="",L56=""),"",K56*L56)</f>
        <v/>
      </c>
      <c r="N56" s="8" t="inlineStr">
        <is>
          <t>بلا سعر — لا وصفة ولا سعر سابق؛ يلزم إدخال سعره</t>
        </is>
      </c>
    </row>
    <row r="57">
      <c r="A57" s="4" t="inlineStr">
        <is>
          <t>جلتومات</t>
        </is>
      </c>
      <c r="B57" s="5" t="n"/>
      <c r="C57" s="5" t="n"/>
      <c r="D57" s="5" t="n"/>
      <c r="E57" s="5" t="n"/>
      <c r="F57" s="5" t="n"/>
      <c r="G57" s="5">
        <f>IF(COUNT(B57:F57)=0,"",SUM(B57:F57))</f>
        <v/>
      </c>
      <c r="H57" s="6" t="n">
        <v>90.0864</v>
      </c>
      <c r="I57" s="5">
        <f>IF(OR(G57="",H57=""),"",G57*H57)</f>
        <v/>
      </c>
      <c r="J57" s="4" t="inlineStr">
        <is>
          <t>برجر اسبيشيال1ك</t>
        </is>
      </c>
      <c r="K57" s="5" t="n"/>
      <c r="L57" s="6" t="n">
        <v>30.3329</v>
      </c>
      <c r="M57" s="5">
        <f>IF(OR(K57="",L57=""),"",K57*L57)</f>
        <v/>
      </c>
    </row>
    <row r="58">
      <c r="A58" s="4" t="inlineStr">
        <is>
          <t>طعم سجق بودر</t>
        </is>
      </c>
      <c r="B58" s="5" t="n"/>
      <c r="C58" s="5" t="n"/>
      <c r="D58" s="5" t="n"/>
      <c r="E58" s="5" t="n"/>
      <c r="F58" s="5" t="n"/>
      <c r="G58" s="5">
        <f>IF(COUNT(B58:F58)=0,"",SUM(B58:F58))</f>
        <v/>
      </c>
      <c r="H58" s="6" t="n">
        <v>285</v>
      </c>
      <c r="I58" s="5">
        <f>IF(OR(G58="",H58=""),"",G58*H58)</f>
        <v/>
      </c>
      <c r="J58" s="4" t="inlineStr">
        <is>
          <t>برجر اسبيشيال 400</t>
        </is>
      </c>
      <c r="K58" s="5" t="n"/>
      <c r="L58" s="6" t="n">
        <v>14.9531</v>
      </c>
      <c r="M58" s="5">
        <f>IF(OR(K58="",L58=""),"",K58*L58)</f>
        <v/>
      </c>
    </row>
    <row r="59">
      <c r="A59" s="4" t="inlineStr">
        <is>
          <t>بصل بودر</t>
        </is>
      </c>
      <c r="B59" s="5" t="n"/>
      <c r="C59" s="5" t="n"/>
      <c r="D59" s="5" t="n"/>
      <c r="E59" s="5" t="n"/>
      <c r="F59" s="5" t="n"/>
      <c r="G59" s="5">
        <f>IF(COUNT(B59:F59)=0,"",SUM(B59:F59))</f>
        <v/>
      </c>
      <c r="H59" s="6" t="n">
        <v>125</v>
      </c>
      <c r="I59" s="5">
        <f>IF(OR(G59="",H59=""),"",G59*H59)</f>
        <v/>
      </c>
      <c r="J59" s="4" t="inlineStr">
        <is>
          <t>كفته اسبيشيال 900</t>
        </is>
      </c>
      <c r="K59" s="5" t="n"/>
      <c r="L59" s="6" t="n">
        <v>35.1965</v>
      </c>
      <c r="M59" s="5">
        <f>IF(OR(K59="",L59=""),"",K59*L59)</f>
        <v/>
      </c>
    </row>
    <row r="60">
      <c r="A60" s="4" t="inlineStr">
        <is>
          <t>طعم ليه</t>
        </is>
      </c>
      <c r="B60" s="5" t="n"/>
      <c r="C60" s="5" t="n"/>
      <c r="D60" s="5" t="n"/>
      <c r="E60" s="5" t="n"/>
      <c r="F60" s="5" t="n"/>
      <c r="G60" s="5">
        <f>IF(COUNT(B60:F60)=0,"",SUM(B60:F60))</f>
        <v/>
      </c>
      <c r="H60" s="6" t="n">
        <v>293.7369</v>
      </c>
      <c r="I60" s="5">
        <f>IF(OR(G60="",H60=""),"",G60*H60)</f>
        <v/>
      </c>
      <c r="J60" s="4" t="inlineStr">
        <is>
          <t>كفته اسبيشيال 350</t>
        </is>
      </c>
      <c r="K60" s="5" t="n"/>
      <c r="L60" s="6" t="n">
        <v>16.3875</v>
      </c>
      <c r="M60" s="5">
        <f>IF(OR(K60="",L60=""),"",K60*L60)</f>
        <v/>
      </c>
    </row>
    <row r="61">
      <c r="A61" s="4" t="inlineStr">
        <is>
          <t>طعم كفته</t>
        </is>
      </c>
      <c r="B61" s="5" t="n"/>
      <c r="C61" s="5" t="n"/>
      <c r="D61" s="5" t="n"/>
      <c r="E61" s="5" t="n"/>
      <c r="F61" s="5" t="n"/>
      <c r="G61" s="5">
        <f>IF(COUNT(B61:F61)=0,"",SUM(B61:F61))</f>
        <v/>
      </c>
      <c r="H61" s="6" t="n">
        <v>182.5277</v>
      </c>
      <c r="I61" s="5">
        <f>IF(OR(G61="",H61=""),"",G61*H61)</f>
        <v/>
      </c>
      <c r="J61" s="4" t="inlineStr">
        <is>
          <t>سجق اسبيشيال 700</t>
        </is>
      </c>
      <c r="K61" s="5" t="n"/>
      <c r="L61" s="6" t="n">
        <v>24.377</v>
      </c>
      <c r="M61" s="5">
        <f>IF(OR(K61="",L61=""),"",K61*L61)</f>
        <v/>
      </c>
    </row>
    <row r="62">
      <c r="A62" s="4" t="inlineStr">
        <is>
          <t>طعم برجر</t>
        </is>
      </c>
      <c r="B62" s="5" t="n"/>
      <c r="C62" s="5" t="n"/>
      <c r="D62" s="5" t="n"/>
      <c r="E62" s="5" t="n"/>
      <c r="F62" s="5" t="n"/>
      <c r="G62" s="5">
        <f>IF(COUNT(B62:F62)=0,"",SUM(B62:F62))</f>
        <v/>
      </c>
      <c r="H62" s="6" t="n">
        <v>297.554</v>
      </c>
      <c r="I62" s="5">
        <f>IF(OR(G62="",H62=""),"",G62*H62)</f>
        <v/>
      </c>
      <c r="J62" s="4" t="inlineStr">
        <is>
          <t>سجق اسبيشيال300</t>
        </is>
      </c>
      <c r="K62" s="5" t="n"/>
      <c r="L62" s="6" t="n">
        <v>12.5616</v>
      </c>
      <c r="M62" s="5">
        <f>IF(OR(K62="",L62=""),"",K62*L62)</f>
        <v/>
      </c>
    </row>
    <row r="63">
      <c r="A63" s="4" t="inlineStr">
        <is>
          <t>طعم بيف</t>
        </is>
      </c>
      <c r="B63" s="5" t="n"/>
      <c r="C63" s="5" t="n"/>
      <c r="D63" s="5" t="n"/>
      <c r="E63" s="5" t="n"/>
      <c r="F63" s="5" t="n"/>
      <c r="G63" s="5">
        <f>IF(COUNT(B63:F63)=0,"",SUM(B63:F63))</f>
        <v/>
      </c>
      <c r="H63" s="6" t="n">
        <v>307.8482</v>
      </c>
      <c r="I63" s="5">
        <f>IF(OR(G63="",H63=""),"",G63*H63)</f>
        <v/>
      </c>
      <c r="J63" s="4" t="inlineStr">
        <is>
          <t>بانيه اسبيشيال900</t>
        </is>
      </c>
      <c r="K63" s="5" t="n"/>
      <c r="L63" s="6" t="n">
        <v>58.35</v>
      </c>
      <c r="M63" s="5">
        <f>IF(OR(K63="",L63=""),"",K63*L63)</f>
        <v/>
      </c>
    </row>
    <row r="64">
      <c r="A64" s="4" t="inlineStr">
        <is>
          <t>طعم شواي</t>
        </is>
      </c>
      <c r="B64" s="5" t="n"/>
      <c r="C64" s="5" t="n"/>
      <c r="D64" s="5" t="n"/>
      <c r="E64" s="5" t="n"/>
      <c r="F64" s="5" t="n"/>
      <c r="G64" s="5">
        <f>IF(COUNT(B64:F64)=0,"",SUM(B64:F64))</f>
        <v/>
      </c>
      <c r="H64" s="6" t="n">
        <v>295</v>
      </c>
      <c r="I64" s="5">
        <f>IF(OR(G64="",H64=""),"",G64*H64)</f>
        <v/>
      </c>
      <c r="J64" s="4" t="inlineStr">
        <is>
          <t>بانيه اسبيشيال 800</t>
        </is>
      </c>
      <c r="K64" s="5" t="n"/>
      <c r="L64" s="7" t="n"/>
      <c r="M64" s="5">
        <f>IF(OR(K64="",L64=""),"",K64*L64)</f>
        <v/>
      </c>
      <c r="N64" s="8" t="inlineStr">
        <is>
          <t>بلا سعر — لا وصفة ولا سعر سابق؛ يلزم إدخال سعره</t>
        </is>
      </c>
    </row>
    <row r="65">
      <c r="A65" s="4" t="inlineStr">
        <is>
          <t>طعم دخان</t>
        </is>
      </c>
      <c r="B65" s="5" t="n"/>
      <c r="C65" s="5" t="n"/>
      <c r="D65" s="5" t="n"/>
      <c r="E65" s="5" t="n"/>
      <c r="F65" s="5" t="n"/>
      <c r="G65" s="5">
        <f>IF(COUNT(B65:F65)=0,"",SUM(B65:F65))</f>
        <v/>
      </c>
      <c r="H65" s="7" t="n"/>
      <c r="I65" s="5">
        <f>IF(OR(G65="",H65=""),"",G65*H65)</f>
        <v/>
      </c>
      <c r="J65" s="4" t="inlineStr">
        <is>
          <t>بانيه اسبيشيال حار800</t>
        </is>
      </c>
      <c r="K65" s="5" t="n"/>
      <c r="L65" s="7" t="n"/>
      <c r="M65" s="5">
        <f>IF(OR(K65="",L65=""),"",K65*L65)</f>
        <v/>
      </c>
      <c r="N65" s="8" t="inlineStr">
        <is>
          <t>بلا سعر — لا وصفة ولا سعر سابق؛ يلزم إدخال سعره</t>
        </is>
      </c>
    </row>
    <row r="66">
      <c r="A66" s="4" t="inlineStr">
        <is>
          <t>كربوناتو</t>
        </is>
      </c>
      <c r="B66" s="5" t="n"/>
      <c r="C66" s="5" t="n"/>
      <c r="D66" s="5" t="n"/>
      <c r="E66" s="5" t="n"/>
      <c r="F66" s="5" t="n"/>
      <c r="G66" s="5">
        <f>IF(COUNT(B66:F66)=0,"",SUM(B66:F66))</f>
        <v/>
      </c>
      <c r="H66" s="6" t="n">
        <v>35</v>
      </c>
      <c r="I66" s="5">
        <f>IF(OR(G66="",H66=""),"",G66*H66)</f>
        <v/>
      </c>
      <c r="J66" s="4" t="inlineStr">
        <is>
          <t>سجق اسبشيال 5ك</t>
        </is>
      </c>
      <c r="K66" s="5" t="n"/>
      <c r="L66" s="6" t="n">
        <v>136.6931</v>
      </c>
      <c r="M66" s="5">
        <f>IF(OR(K66="",L66=""),"",K66*L66)</f>
        <v/>
      </c>
    </row>
    <row r="67">
      <c r="A67" s="4" t="inlineStr">
        <is>
          <t>شرش بودر</t>
        </is>
      </c>
      <c r="B67" s="5" t="n"/>
      <c r="C67" s="5" t="n"/>
      <c r="D67" s="5" t="n"/>
      <c r="E67" s="5" t="n"/>
      <c r="F67" s="5" t="n"/>
      <c r="G67" s="5">
        <f>IF(COUNT(B67:F67)=0,"",SUM(B67:F67))</f>
        <v/>
      </c>
      <c r="H67" s="6" t="n">
        <v>85</v>
      </c>
      <c r="I67" s="5">
        <f>IF(OR(G67="",H67=""),"",G67*H67)</f>
        <v/>
      </c>
      <c r="J67" s="4" t="inlineStr">
        <is>
          <t>استبربس 800</t>
        </is>
      </c>
      <c r="K67" s="5" t="n"/>
      <c r="L67" s="7" t="n"/>
      <c r="M67" s="5">
        <f>IF(OR(K67="",L67=""),"",K67*L67)</f>
        <v/>
      </c>
      <c r="N67" s="8" t="inlineStr">
        <is>
          <t>بلا سعر — لا وصفة ولا سعر سابق؛ يلزم إدخال سعره</t>
        </is>
      </c>
    </row>
    <row r="68">
      <c r="A68" s="4" t="inlineStr">
        <is>
          <t>سكر</t>
        </is>
      </c>
      <c r="B68" s="5" t="n"/>
      <c r="C68" s="5" t="n"/>
      <c r="D68" s="5" t="n"/>
      <c r="E68" s="5" t="n"/>
      <c r="F68" s="5" t="n"/>
      <c r="G68" s="5">
        <f>IF(COUNT(B68:F68)=0,"",SUM(B68:F68))</f>
        <v/>
      </c>
      <c r="H68" s="6" t="n">
        <v>28.2146</v>
      </c>
      <c r="I68" s="5">
        <f>IF(OR(G68="",H68=""),"",G68*H68)</f>
        <v/>
      </c>
      <c r="J68" s="4" t="inlineStr">
        <is>
          <t>مفروم اسبيشيال 400</t>
        </is>
      </c>
      <c r="K68" s="5" t="n"/>
      <c r="L68" s="7" t="n"/>
      <c r="M68" s="5">
        <f>IF(OR(K68="",L68=""),"",K68*L68)</f>
        <v/>
      </c>
      <c r="N68" s="8" t="inlineStr">
        <is>
          <t>بلا سعر — لا وصفة ولا سعر سابق؛ يلزم إدخال سعره</t>
        </is>
      </c>
    </row>
    <row r="69">
      <c r="A69" s="4" t="inlineStr">
        <is>
          <t>فلفل ابيض</t>
        </is>
      </c>
      <c r="B69" s="5" t="n"/>
      <c r="C69" s="5" t="n"/>
      <c r="D69" s="5" t="n"/>
      <c r="E69" s="5" t="n"/>
      <c r="F69" s="5" t="n"/>
      <c r="G69" s="5">
        <f>IF(COUNT(B69:F69)=0,"",SUM(B69:F69))</f>
        <v/>
      </c>
      <c r="H69" s="6" t="n">
        <v>78.65170000000001</v>
      </c>
      <c r="I69" s="5">
        <f>IF(OR(G69="",H69=""),"",G69*H69)</f>
        <v/>
      </c>
      <c r="J69" s="4" t="inlineStr">
        <is>
          <t>عجينه بقري اسبيشيال 5 كيلو</t>
        </is>
      </c>
      <c r="K69" s="5" t="n"/>
      <c r="L69" s="6" t="n">
        <v>390</v>
      </c>
      <c r="M69" s="5">
        <f>IF(OR(K69="",L69=""),"",K69*L69)</f>
        <v/>
      </c>
    </row>
    <row r="70">
      <c r="A70" s="4" t="inlineStr">
        <is>
          <t>لون طبيعي</t>
        </is>
      </c>
      <c r="B70" s="5" t="n"/>
      <c r="C70" s="5" t="n"/>
      <c r="D70" s="5" t="n"/>
      <c r="E70" s="5" t="n"/>
      <c r="F70" s="5" t="n"/>
      <c r="G70" s="5">
        <f>IF(COUNT(B70:F70)=0,"",SUM(B70:F70))</f>
        <v/>
      </c>
      <c r="H70" s="6" t="n">
        <v>2971.0926</v>
      </c>
      <c r="I70" s="5">
        <f>IF(OR(G70="",H70=""),"",G70*H70)</f>
        <v/>
      </c>
      <c r="J70" s="4" t="inlineStr">
        <is>
          <t>عجينه مفروم صويا</t>
        </is>
      </c>
      <c r="K70" s="5" t="n"/>
      <c r="L70" s="7" t="n"/>
      <c r="M70" s="5">
        <f>IF(OR(K70="",L70=""),"",K70*L70)</f>
        <v/>
      </c>
      <c r="N70" s="8" t="inlineStr">
        <is>
          <t>بلا سعر — لا وصفة ولا سعر سابق؛ يلزم إدخال سعره</t>
        </is>
      </c>
    </row>
    <row r="71">
      <c r="A71" s="4" t="inlineStr">
        <is>
          <t>طعم فراخ</t>
        </is>
      </c>
      <c r="B71" s="5" t="n"/>
      <c r="C71" s="5" t="n"/>
      <c r="D71" s="5" t="n"/>
      <c r="E71" s="5" t="n"/>
      <c r="F71" s="5" t="n"/>
      <c r="G71" s="5">
        <f>IF(COUNT(B71:F71)=0,"",SUM(B71:F71))</f>
        <v/>
      </c>
      <c r="H71" s="7" t="n"/>
      <c r="I71" s="5">
        <f>IF(OR(G71="",H71=""),"",G71*H71)</f>
        <v/>
      </c>
      <c r="J71" s="4" t="inlineStr">
        <is>
          <t>كبده اسبيشيال 400</t>
        </is>
      </c>
      <c r="K71" s="5" t="n"/>
      <c r="L71" s="7" t="n"/>
      <c r="M71" s="5">
        <f>IF(OR(K71="",L71=""),"",K71*L71)</f>
        <v/>
      </c>
      <c r="N71" s="8" t="inlineStr">
        <is>
          <t>بلا سعر — لا وصفة ولا سعر سابق؛ يلزم إدخال سعره</t>
        </is>
      </c>
    </row>
    <row r="72">
      <c r="A72" s="4" t="inlineStr">
        <is>
          <t>زيوت بسطرمه</t>
        </is>
      </c>
      <c r="B72" s="5" t="n"/>
      <c r="C72" s="5" t="n"/>
      <c r="D72" s="5" t="n"/>
      <c r="E72" s="5" t="n"/>
      <c r="F72" s="5" t="n"/>
      <c r="G72" s="5">
        <f>IF(COUNT(B72:F72)=0,"",SUM(B72:F72))</f>
        <v/>
      </c>
      <c r="H72" s="6" t="n">
        <v>784.1353</v>
      </c>
      <c r="I72" s="5">
        <f>IF(OR(G72="",H72=""),"",G72*H72)</f>
        <v/>
      </c>
      <c r="J72" s="4" t="inlineStr">
        <is>
          <t>برجر مخصوص</t>
        </is>
      </c>
      <c r="K72" s="5" t="n"/>
      <c r="L72" s="7" t="n"/>
      <c r="M72" s="5">
        <f>IF(OR(K72="",L72=""),"",K72*L72)</f>
        <v/>
      </c>
      <c r="N72" s="8" t="inlineStr">
        <is>
          <t>بلا سعر — لا وصفة ولا سعر سابق؛ يلزم إدخال سعره</t>
        </is>
      </c>
    </row>
    <row r="73">
      <c r="A73" s="4" t="inlineStr">
        <is>
          <t>ثوم بودر</t>
        </is>
      </c>
      <c r="B73" s="5" t="n"/>
      <c r="C73" s="5" t="n"/>
      <c r="D73" s="5" t="n"/>
      <c r="E73" s="5" t="n"/>
      <c r="F73" s="5" t="n"/>
      <c r="G73" s="5">
        <f>IF(COUNT(B73:F73)=0,"",SUM(B73:F73))</f>
        <v/>
      </c>
      <c r="H73" s="6" t="n">
        <v>100</v>
      </c>
      <c r="I73" s="5">
        <f>IF(OR(G73="",H73=""),"",G73*H73)</f>
        <v/>
      </c>
      <c r="J73" s="4" t="inlineStr">
        <is>
          <t>كفتة مخصوص</t>
        </is>
      </c>
      <c r="K73" s="5" t="n"/>
      <c r="L73" s="7" t="n"/>
      <c r="M73" s="5">
        <f>IF(OR(K73="",L73=""),"",K73*L73)</f>
        <v/>
      </c>
      <c r="N73" s="8" t="inlineStr">
        <is>
          <t>بلا سعر — لا وصفة ولا سعر سابق؛ يلزم إدخال سعره</t>
        </is>
      </c>
    </row>
    <row r="74">
      <c r="A74" s="4" t="inlineStr">
        <is>
          <t>كامينا</t>
        </is>
      </c>
      <c r="B74" s="5" t="n"/>
      <c r="C74" s="5" t="n"/>
      <c r="D74" s="5" t="n"/>
      <c r="E74" s="5" t="n"/>
      <c r="F74" s="5" t="n"/>
      <c r="G74" s="5">
        <f>IF(COUNT(B74:F74)=0,"",SUM(B74:F74))</f>
        <v/>
      </c>
      <c r="H74" s="6" t="n">
        <v>450</v>
      </c>
      <c r="I74" s="5">
        <f>IF(OR(G74="",H74=""),"",G74*H74)</f>
        <v/>
      </c>
      <c r="J74" s="4" t="inlineStr">
        <is>
          <t>سجق مخصوص 1ك</t>
        </is>
      </c>
      <c r="K74" s="5" t="n"/>
      <c r="L74" s="7" t="n"/>
      <c r="M74" s="5">
        <f>IF(OR(K74="",L74=""),"",K74*L74)</f>
        <v/>
      </c>
      <c r="N74" s="8" t="inlineStr">
        <is>
          <t>بلا سعر — لا وصفة ولا سعر سابق؛ يلزم إدخال سعره</t>
        </is>
      </c>
    </row>
    <row r="75">
      <c r="A75" s="4" t="inlineStr">
        <is>
          <t>MX</t>
        </is>
      </c>
      <c r="B75" s="5" t="n"/>
      <c r="C75" s="5" t="n"/>
      <c r="D75" s="5" t="n"/>
      <c r="E75" s="5" t="n"/>
      <c r="F75" s="5" t="n"/>
      <c r="G75" s="5">
        <f>IF(COUNT(B75:F75)=0,"",SUM(B75:F75))</f>
        <v/>
      </c>
      <c r="H75" s="6" t="n">
        <v>867.7283</v>
      </c>
      <c r="I75" s="5">
        <f>IF(OR(G75="",H75=""),"",G75*H75)</f>
        <v/>
      </c>
      <c r="J75" s="4" t="inlineStr">
        <is>
          <t>عرض ثلاثي &lt;سجق برجر كفته 700جرام&gt;</t>
        </is>
      </c>
      <c r="K75" s="5" t="n"/>
      <c r="L75" s="7" t="n"/>
      <c r="M75" s="5">
        <f>IF(OR(K75="",L75=""),"",K75*L75)</f>
        <v/>
      </c>
      <c r="N75" s="8" t="inlineStr">
        <is>
          <t>بلا سعر — لا وصفة ولا سعر سابق؛ يلزم إدخال سعره</t>
        </is>
      </c>
    </row>
    <row r="76">
      <c r="A76" s="4" t="inlineStr">
        <is>
          <t>زيت سجق</t>
        </is>
      </c>
      <c r="B76" s="5" t="n"/>
      <c r="C76" s="5" t="n"/>
      <c r="D76" s="5" t="n"/>
      <c r="E76" s="5" t="n"/>
      <c r="F76" s="5" t="n"/>
      <c r="G76" s="5">
        <f>IF(COUNT(B76:F76)=0,"",SUM(B76:F76))</f>
        <v/>
      </c>
      <c r="H76" s="6" t="n">
        <v>580</v>
      </c>
      <c r="I76" s="5">
        <f>IF(OR(G76="",H76=""),"",G76*H76)</f>
        <v/>
      </c>
      <c r="J76" s="4" t="inlineStr">
        <is>
          <t>عجينه بقري اسبيشيال 500جرام</t>
        </is>
      </c>
      <c r="K76" s="5" t="n"/>
      <c r="L76" s="7" t="n"/>
      <c r="M76" s="5">
        <f>IF(OR(K76="",L76=""),"",K76*L76)</f>
        <v/>
      </c>
      <c r="N76" s="8" t="inlineStr">
        <is>
          <t>بلا سعر — لا وصفة ولا سعر سابق؛ يلزم إدخال سعره</t>
        </is>
      </c>
    </row>
    <row r="77">
      <c r="A77" s="4" t="inlineStr">
        <is>
          <t>كمينا ابيض</t>
        </is>
      </c>
      <c r="B77" s="5" t="n"/>
      <c r="C77" s="5" t="n"/>
      <c r="D77" s="5" t="n"/>
      <c r="E77" s="5" t="n"/>
      <c r="F77" s="5" t="n"/>
      <c r="G77" s="5">
        <f>IF(COUNT(B77:F77)=0,"",SUM(B77:F77))</f>
        <v/>
      </c>
      <c r="H77" s="6" t="n">
        <v>260</v>
      </c>
      <c r="I77" s="5">
        <f>IF(OR(G77="",H77=""),"",G77*H77)</f>
        <v/>
      </c>
      <c r="J77" s="4" t="inlineStr">
        <is>
          <t>بانيه 5كيلو حار</t>
        </is>
      </c>
      <c r="K77" s="5" t="n"/>
      <c r="L77" s="7" t="n"/>
      <c r="M77" s="5">
        <f>IF(OR(K77="",L77=""),"",K77*L77)</f>
        <v/>
      </c>
      <c r="N77" s="8" t="inlineStr">
        <is>
          <t>بلا سعر — لا وصفة ولا سعر سابق؛ يلزم إدخال سعره</t>
        </is>
      </c>
    </row>
    <row r="78">
      <c r="A78" s="4" t="inlineStr">
        <is>
          <t>كروت كبده شرائح 350</t>
        </is>
      </c>
      <c r="B78" s="5" t="n"/>
      <c r="C78" s="5" t="n"/>
      <c r="D78" s="5" t="n"/>
      <c r="E78" s="5" t="n"/>
      <c r="F78" s="5" t="n"/>
      <c r="G78" s="5">
        <f>IF(COUNT(B78:F78)=0,"",SUM(B78:F78))</f>
        <v/>
      </c>
      <c r="H78" s="7" t="n"/>
      <c r="I78" s="5">
        <f>IF(OR(G78="",H78=""),"",G78*H78)</f>
        <v/>
      </c>
      <c r="J78" s="4" t="inlineStr">
        <is>
          <t>عجينة بقرى 250ج</t>
        </is>
      </c>
      <c r="K78" s="5" t="n"/>
      <c r="L78" s="7" t="n"/>
      <c r="M78" s="5">
        <f>IF(OR(K78="",L78=""),"",K78*L78)</f>
        <v/>
      </c>
      <c r="N78" s="8" t="inlineStr">
        <is>
          <t>بلا سعر — لا وصفة ولا سعر سابق؛ يلزم إدخال سعره</t>
        </is>
      </c>
    </row>
    <row r="79">
      <c r="A79" s="4" t="inlineStr">
        <is>
          <t>اكياس افيز</t>
        </is>
      </c>
      <c r="B79" s="5" t="n"/>
      <c r="C79" s="5" t="n"/>
      <c r="D79" s="5" t="n"/>
      <c r="E79" s="5" t="n"/>
      <c r="F79" s="5" t="n"/>
      <c r="G79" s="5">
        <f>IF(COUNT(B79:F79)=0,"",SUM(B79:F79))</f>
        <v/>
      </c>
      <c r="H79" s="6" t="n">
        <v>6.1668</v>
      </c>
      <c r="I79" s="5">
        <f>IF(OR(G79="",H79=""),"",G79*H79)</f>
        <v/>
      </c>
      <c r="J79" s="4" t="inlineStr">
        <is>
          <t>مفروم صافى 5ك</t>
        </is>
      </c>
      <c r="K79" s="5" t="n"/>
      <c r="L79" s="7" t="n"/>
      <c r="M79" s="5">
        <f>IF(OR(K79="",L79=""),"",K79*L79)</f>
        <v/>
      </c>
      <c r="N79" s="8" t="inlineStr">
        <is>
          <t>بلا سعر — لا وصفة ولا سعر سابق؛ يلزم إدخال سعره</t>
        </is>
      </c>
    </row>
    <row r="80">
      <c r="A80" s="4" t="inlineStr">
        <is>
          <t>لازق</t>
        </is>
      </c>
      <c r="B80" s="5" t="n"/>
      <c r="C80" s="5" t="n"/>
      <c r="D80" s="5" t="n"/>
      <c r="E80" s="5" t="n"/>
      <c r="F80" s="5" t="n"/>
      <c r="G80" s="5">
        <f>IF(COUNT(B80:F80)=0,"",SUM(B80:F80))</f>
        <v/>
      </c>
      <c r="H80" s="6" t="n">
        <v>30.2193</v>
      </c>
      <c r="I80" s="5">
        <f>IF(OR(G80="",H80=""),"",G80*H80)</f>
        <v/>
      </c>
      <c r="J80" s="4" t="inlineStr">
        <is>
          <t>موزة فرخة</t>
        </is>
      </c>
      <c r="K80" s="5" t="n"/>
      <c r="L80" s="7" t="n"/>
      <c r="M80" s="5">
        <f>IF(OR(K80="",L80=""),"",K80*L80)</f>
        <v/>
      </c>
      <c r="N80" s="8" t="inlineStr">
        <is>
          <t>بلا سعر — لا وصفة ولا سعر سابق؛ يلزم إدخال سعره</t>
        </is>
      </c>
    </row>
    <row r="81">
      <c r="A81" s="4" t="inlineStr">
        <is>
          <t>كراتين ابوهاشم</t>
        </is>
      </c>
      <c r="B81" s="5" t="n"/>
      <c r="C81" s="5" t="n"/>
      <c r="D81" s="5" t="n"/>
      <c r="E81" s="5" t="n"/>
      <c r="F81" s="5" t="n"/>
      <c r="G81" s="5">
        <f>IF(COUNT(B81:F81)=0,"",SUM(B81:F81))</f>
        <v/>
      </c>
      <c r="H81" s="6" t="n">
        <v>22.3768</v>
      </c>
      <c r="I81" s="5">
        <f>IF(OR(G81="",H81=""),"",G81*H81)</f>
        <v/>
      </c>
      <c r="J81" s="4" t="inlineStr">
        <is>
          <t>بانيه بارد دوفا</t>
        </is>
      </c>
      <c r="K81" s="5" t="n"/>
      <c r="L81" s="7" t="n"/>
      <c r="M81" s="5">
        <f>IF(OR(K81="",L81=""),"",K81*L81)</f>
        <v/>
      </c>
      <c r="N81" s="8" t="inlineStr">
        <is>
          <t>بلا سعر — لا وصفة ولا سعر سابق؛ يلزم إدخال سعره</t>
        </is>
      </c>
    </row>
    <row r="82">
      <c r="A82" s="4" t="inlineStr">
        <is>
          <t>ورق برجر</t>
        </is>
      </c>
      <c r="B82" s="5" t="n"/>
      <c r="C82" s="5" t="n"/>
      <c r="D82" s="5" t="n"/>
      <c r="E82" s="5" t="n"/>
      <c r="F82" s="5" t="n"/>
      <c r="G82" s="5">
        <f>IF(COUNT(B82:F82)=0,"",SUM(B82:F82))</f>
        <v/>
      </c>
      <c r="H82" s="6" t="n">
        <v>56.5</v>
      </c>
      <c r="I82" s="5">
        <f>IF(OR(G82="",H82=""),"",G82*H82)</f>
        <v/>
      </c>
      <c r="J82" s="4" t="inlineStr">
        <is>
          <t>خام عجينة سجق أبو هاشم</t>
        </is>
      </c>
      <c r="K82" s="5" t="n"/>
      <c r="L82" s="7" t="n"/>
      <c r="M82" s="5">
        <f>IF(OR(K82="",L82=""),"",K82*L82)</f>
        <v/>
      </c>
      <c r="N82" s="8" t="inlineStr">
        <is>
          <t>بلا سعر — لا وصفة ولا سعر سابق؛ يلزم إدخال سعره</t>
        </is>
      </c>
    </row>
    <row r="83">
      <c r="A83" s="4" t="inlineStr">
        <is>
          <t>مزيل لماكينة التغليف</t>
        </is>
      </c>
      <c r="B83" s="5" t="n"/>
      <c r="C83" s="5" t="n"/>
      <c r="D83" s="5" t="n"/>
      <c r="E83" s="5" t="n"/>
      <c r="F83" s="5" t="n"/>
      <c r="G83" s="5">
        <f>IF(COUNT(B83:F83)=0,"",SUM(B83:F83))</f>
        <v/>
      </c>
      <c r="H83" s="7" t="n"/>
      <c r="I83" s="5">
        <f>IF(OR(G83="",H83=""),"",G83*H83)</f>
        <v/>
      </c>
      <c r="J83" s="4" t="inlineStr">
        <is>
          <t>خام عجينة كفته أبو هاشم</t>
        </is>
      </c>
      <c r="K83" s="5" t="n"/>
      <c r="L83" s="7" t="n"/>
      <c r="M83" s="5">
        <f>IF(OR(K83="",L83=""),"",K83*L83)</f>
        <v/>
      </c>
      <c r="N83" s="8" t="inlineStr">
        <is>
          <t>بلا سعر — لا وصفة ولا سعر سابق؛ يلزم إدخال سعره</t>
        </is>
      </c>
    </row>
    <row r="84">
      <c r="A84" s="4" t="inlineStr">
        <is>
          <t>اكياس برجر الهنا ص</t>
        </is>
      </c>
      <c r="B84" s="5" t="n"/>
      <c r="C84" s="5" t="n"/>
      <c r="D84" s="5" t="n"/>
      <c r="E84" s="5" t="n"/>
      <c r="F84" s="5" t="n"/>
      <c r="G84" s="5">
        <f>IF(COUNT(B84:F84)=0,"",SUM(B84:F84))</f>
        <v/>
      </c>
      <c r="H84" s="6" t="n">
        <v>183.0439</v>
      </c>
      <c r="I84" s="5">
        <f>IF(OR(G84="",H84=""),"",G84*H84)</f>
        <v/>
      </c>
      <c r="J84" s="4" t="inlineStr">
        <is>
          <t>خام عجينة برجر أبو هاشم</t>
        </is>
      </c>
      <c r="K84" s="5" t="n"/>
      <c r="L84" s="7" t="n"/>
      <c r="M84" s="5">
        <f>IF(OR(K84="",L84=""),"",K84*L84)</f>
        <v/>
      </c>
      <c r="N84" s="8" t="inlineStr">
        <is>
          <t>بلا سعر — لا وصفة ولا سعر سابق؛ يلزم إدخال سعره</t>
        </is>
      </c>
    </row>
    <row r="85">
      <c r="A85" s="4" t="inlineStr">
        <is>
          <t>اكياس برجر الهنا ك</t>
        </is>
      </c>
      <c r="B85" s="5" t="n"/>
      <c r="C85" s="5" t="n"/>
      <c r="D85" s="5" t="n"/>
      <c r="E85" s="5" t="n"/>
      <c r="F85" s="5" t="n"/>
      <c r="G85" s="5">
        <f>IF(COUNT(B85:F85)=0,"",SUM(B85:F85))</f>
        <v/>
      </c>
      <c r="H85" s="6" t="n">
        <v>203.0734</v>
      </c>
      <c r="I85" s="5">
        <f>IF(OR(G85="",H85=""),"",G85*H85)</f>
        <v/>
      </c>
      <c r="J85" s="4" t="inlineStr">
        <is>
          <t>خام مفروم صافى 5ك</t>
        </is>
      </c>
      <c r="K85" s="5" t="n"/>
      <c r="L85" s="7" t="n"/>
      <c r="M85" s="5">
        <f>IF(OR(K85="",L85=""),"",K85*L85)</f>
        <v/>
      </c>
      <c r="N85" s="8" t="inlineStr">
        <is>
          <t>بلا سعر — لا وصفة ولا سعر سابق؛ يلزم إدخال سعره</t>
        </is>
      </c>
    </row>
    <row r="86">
      <c r="A86" s="4" t="inlineStr">
        <is>
          <t>اكياس كفتة الهنا ص</t>
        </is>
      </c>
      <c r="B86" s="5" t="n"/>
      <c r="C86" s="5" t="n"/>
      <c r="D86" s="5" t="n"/>
      <c r="E86" s="5" t="n"/>
      <c r="F86" s="5" t="n"/>
      <c r="G86" s="5">
        <f>IF(COUNT(B86:F86)=0,"",SUM(B86:F86))</f>
        <v/>
      </c>
      <c r="H86" s="6" t="n">
        <v>196.7193</v>
      </c>
      <c r="I86" s="5">
        <f>IF(OR(G86="",H86=""),"",G86*H86)</f>
        <v/>
      </c>
      <c r="J86" s="4" t="inlineStr">
        <is>
          <t>خام عجينة برجر اسبيشيال</t>
        </is>
      </c>
      <c r="K86" s="5" t="n"/>
      <c r="L86" s="7" t="n"/>
      <c r="M86" s="5">
        <f>IF(OR(K86="",L86=""),"",K86*L86)</f>
        <v/>
      </c>
      <c r="N86" s="8" t="inlineStr">
        <is>
          <t>بلا سعر — لا وصفة ولا سعر سابق؛ يلزم إدخال سعره</t>
        </is>
      </c>
    </row>
    <row r="87">
      <c r="A87" s="4" t="inlineStr">
        <is>
          <t>اكياس كفته الهنا ك</t>
        </is>
      </c>
      <c r="B87" s="5" t="n"/>
      <c r="C87" s="5" t="n"/>
      <c r="D87" s="5" t="n"/>
      <c r="E87" s="5" t="n"/>
      <c r="F87" s="5" t="n"/>
      <c r="G87" s="5">
        <f>IF(COUNT(B87:F87)=0,"",SUM(B87:F87))</f>
        <v/>
      </c>
      <c r="H87" s="6" t="n">
        <v>264.4955</v>
      </c>
      <c r="I87" s="5">
        <f>IF(OR(G87="",H87=""),"",G87*H87)</f>
        <v/>
      </c>
      <c r="J87" s="4" t="inlineStr">
        <is>
          <t>خاج عجينة كفته اسبيشيال</t>
        </is>
      </c>
      <c r="K87" s="5" t="n"/>
      <c r="L87" s="7" t="n"/>
      <c r="M87" s="5">
        <f>IF(OR(K87="",L87=""),"",K87*L87)</f>
        <v/>
      </c>
      <c r="N87" s="8" t="inlineStr">
        <is>
          <t>بلا سعر — لا وصفة ولا سعر سابق؛ يلزم إدخال سعره</t>
        </is>
      </c>
    </row>
    <row r="88">
      <c r="A88" s="4" t="inlineStr">
        <is>
          <t>اكياس مفروم3ك</t>
        </is>
      </c>
      <c r="B88" s="5" t="n"/>
      <c r="C88" s="5" t="n"/>
      <c r="D88" s="5" t="n"/>
      <c r="E88" s="5" t="n"/>
      <c r="F88" s="5" t="n"/>
      <c r="G88" s="5">
        <f>IF(COUNT(B88:F88)=0,"",SUM(B88:F88))</f>
        <v/>
      </c>
      <c r="H88" s="6" t="n">
        <v>115</v>
      </c>
      <c r="I88" s="5">
        <f>IF(OR(G88="",H88=""),"",G88*H88)</f>
        <v/>
      </c>
      <c r="J88" s="4" t="inlineStr">
        <is>
          <t>خام مفروم اسبيشيال</t>
        </is>
      </c>
      <c r="K88" s="5" t="n"/>
      <c r="L88" s="7" t="n"/>
      <c r="M88" s="5">
        <f>IF(OR(K88="",L88=""),"",K88*L88)</f>
        <v/>
      </c>
      <c r="N88" s="8" t="inlineStr">
        <is>
          <t>بلا سعر — لا وصفة ولا سعر سابق؛ يلزم إدخال سعره</t>
        </is>
      </c>
    </row>
    <row r="89">
      <c r="A89" s="4" t="inlineStr">
        <is>
          <t>اكياس سجق الهنا ك</t>
        </is>
      </c>
      <c r="B89" s="5" t="n"/>
      <c r="C89" s="5" t="n"/>
      <c r="D89" s="5" t="n"/>
      <c r="E89" s="5" t="n"/>
      <c r="F89" s="5" t="n"/>
      <c r="G89" s="5">
        <f>IF(COUNT(B89:F89)=0,"",SUM(B89:F89))</f>
        <v/>
      </c>
      <c r="H89" s="6" t="n">
        <v>165</v>
      </c>
      <c r="I89" s="5">
        <f>IF(OR(G89="",H89=""),"",G89*H89)</f>
        <v/>
      </c>
      <c r="J89" s="4" t="inlineStr">
        <is>
          <t>خام عجينه بقري اسبيشيال</t>
        </is>
      </c>
      <c r="K89" s="5" t="n"/>
      <c r="L89" s="7" t="n"/>
      <c r="M89" s="5">
        <f>IF(OR(K89="",L89=""),"",K89*L89)</f>
        <v/>
      </c>
      <c r="N89" s="8" t="inlineStr">
        <is>
          <t>بلا سعر — لا وصفة ولا سعر سابق؛ يلزم إدخال سعره</t>
        </is>
      </c>
    </row>
    <row r="90">
      <c r="A90" s="4" t="inlineStr">
        <is>
          <t>اكياس سجق الهنا ص</t>
        </is>
      </c>
      <c r="B90" s="5" t="n"/>
      <c r="C90" s="5" t="n"/>
      <c r="D90" s="5" t="n"/>
      <c r="E90" s="5" t="n"/>
      <c r="F90" s="5" t="n"/>
      <c r="G90" s="5">
        <f>IF(COUNT(B90:F90)=0,"",SUM(B90:F90))</f>
        <v/>
      </c>
      <c r="H90" s="6" t="n">
        <v>206.4046</v>
      </c>
      <c r="I90" s="5">
        <f>IF(OR(G90="",H90=""),"",G90*H90)</f>
        <v/>
      </c>
      <c r="J90" s="4" t="inlineStr">
        <is>
          <t>خام عجينه مفروم صويا</t>
        </is>
      </c>
      <c r="K90" s="5" t="n"/>
      <c r="L90" s="7" t="n"/>
      <c r="M90" s="5">
        <f>IF(OR(K90="",L90=""),"",K90*L90)</f>
        <v/>
      </c>
      <c r="N90" s="8" t="inlineStr">
        <is>
          <t>بلا سعر — لا وصفة ولا سعر سابق؛ يلزم إدخال سعره</t>
        </is>
      </c>
    </row>
    <row r="91">
      <c r="A91" s="4" t="inlineStr">
        <is>
          <t>اكياس سجق ابوهاشم ك</t>
        </is>
      </c>
      <c r="B91" s="5" t="n"/>
      <c r="C91" s="5" t="n"/>
      <c r="D91" s="5" t="n"/>
      <c r="E91" s="5" t="n"/>
      <c r="F91" s="5" t="n"/>
      <c r="G91" s="5">
        <f>IF(COUNT(B91:F91)=0,"",SUM(B91:F91))</f>
        <v/>
      </c>
      <c r="H91" s="6" t="n">
        <v>165</v>
      </c>
      <c r="I91" s="5">
        <f>IF(OR(G91="",H91=""),"",G91*H91)</f>
        <v/>
      </c>
      <c r="J91" s="4" t="inlineStr">
        <is>
          <t>خام عجينه سجق اسبيشيال</t>
        </is>
      </c>
      <c r="K91" s="5" t="n"/>
      <c r="L91" s="7" t="n"/>
      <c r="M91" s="5">
        <f>IF(OR(K91="",L91=""),"",K91*L91)</f>
        <v/>
      </c>
      <c r="N91" s="8" t="inlineStr">
        <is>
          <t>بلا سعر — لا وصفة ولا سعر سابق؛ يلزم إدخال سعره</t>
        </is>
      </c>
    </row>
    <row r="92">
      <c r="A92" s="4" t="inlineStr">
        <is>
          <t>اكياس كفته ابوهاشم ك</t>
        </is>
      </c>
      <c r="B92" s="5" t="n"/>
      <c r="C92" s="5" t="n"/>
      <c r="D92" s="5" t="n"/>
      <c r="E92" s="5" t="n"/>
      <c r="F92" s="5" t="n"/>
      <c r="G92" s="5">
        <f>IF(COUNT(B92:F92)=0,"",SUM(B92:F92))</f>
        <v/>
      </c>
      <c r="H92" s="6" t="n">
        <v>165</v>
      </c>
      <c r="I92" s="5">
        <f>IF(OR(G92="",H92=""),"",G92*H92)</f>
        <v/>
      </c>
      <c r="J92" s="4" t="inlineStr">
        <is>
          <t>خام مفروم صويا الهنا</t>
        </is>
      </c>
      <c r="K92" s="5" t="n"/>
      <c r="L92" s="7" t="n"/>
      <c r="M92" s="5">
        <f>IF(OR(K92="",L92=""),"",K92*L92)</f>
        <v/>
      </c>
      <c r="N92" s="8" t="inlineStr">
        <is>
          <t>بلا سعر — لا وصفة ولا سعر سابق؛ يلزم إدخال سعره</t>
        </is>
      </c>
    </row>
    <row r="93">
      <c r="A93" s="4" t="inlineStr">
        <is>
          <t>اكياس برجر ابوهاشم ص</t>
        </is>
      </c>
      <c r="B93" s="5" t="n"/>
      <c r="C93" s="5" t="n"/>
      <c r="D93" s="5" t="n"/>
      <c r="E93" s="5" t="n"/>
      <c r="F93" s="5" t="n"/>
      <c r="G93" s="5">
        <f>IF(COUNT(B93:F93)=0,"",SUM(B93:F93))</f>
        <v/>
      </c>
      <c r="H93" s="6" t="n">
        <v>165</v>
      </c>
      <c r="I93" s="5">
        <f>IF(OR(G93="",H93=""),"",G93*H93)</f>
        <v/>
      </c>
      <c r="J93" s="4" t="inlineStr">
        <is>
          <t>خام عجينة برجر الهنا</t>
        </is>
      </c>
      <c r="K93" s="5" t="n"/>
      <c r="L93" s="7" t="n"/>
      <c r="M93" s="5">
        <f>IF(OR(K93="",L93=""),"",K93*L93)</f>
        <v/>
      </c>
      <c r="N93" s="8" t="inlineStr">
        <is>
          <t>بلا سعر — لا وصفة ولا سعر سابق؛ يلزم إدخال سعره</t>
        </is>
      </c>
    </row>
    <row r="94">
      <c r="A94" s="4" t="inlineStr">
        <is>
          <t>اكياس كفته ابوهاشم ص</t>
        </is>
      </c>
      <c r="B94" s="5" t="n"/>
      <c r="C94" s="5" t="n"/>
      <c r="D94" s="5" t="n"/>
      <c r="E94" s="5" t="n"/>
      <c r="F94" s="5" t="n"/>
      <c r="G94" s="5">
        <f>IF(COUNT(B94:F94)=0,"",SUM(B94:F94))</f>
        <v/>
      </c>
      <c r="H94" s="6" t="n">
        <v>165</v>
      </c>
      <c r="I94" s="5">
        <f>IF(OR(G94="",H94=""),"",G94*H94)</f>
        <v/>
      </c>
      <c r="J94" s="4" t="inlineStr">
        <is>
          <t>خام عجينة كفته الهنا</t>
        </is>
      </c>
      <c r="K94" s="5" t="n"/>
      <c r="L94" s="7" t="n"/>
      <c r="M94" s="5">
        <f>IF(OR(K94="",L94=""),"",K94*L94)</f>
        <v/>
      </c>
      <c r="N94" s="8" t="inlineStr">
        <is>
          <t>بلا سعر — لا وصفة ولا سعر سابق؛ يلزم إدخال سعره</t>
        </is>
      </c>
    </row>
    <row r="95">
      <c r="A95" s="4" t="inlineStr">
        <is>
          <t>اكياس مفروم صافي</t>
        </is>
      </c>
      <c r="B95" s="5" t="n"/>
      <c r="C95" s="5" t="n"/>
      <c r="D95" s="5" t="n"/>
      <c r="E95" s="5" t="n"/>
      <c r="F95" s="5" t="n"/>
      <c r="G95" s="5">
        <f>IF(COUNT(B95:F95)=0,"",SUM(B95:F95))</f>
        <v/>
      </c>
      <c r="H95" s="6" t="n">
        <v>165</v>
      </c>
      <c r="I95" s="5">
        <f>IF(OR(G95="",H95=""),"",G95*H95)</f>
        <v/>
      </c>
      <c r="J95" s="4" t="inlineStr">
        <is>
          <t>خام عجينة سجق الهنا</t>
        </is>
      </c>
      <c r="K95" s="5" t="n"/>
      <c r="L95" s="7" t="n"/>
      <c r="M95" s="5">
        <f>IF(OR(K95="",L95=""),"",K95*L95)</f>
        <v/>
      </c>
      <c r="N95" s="8" t="inlineStr">
        <is>
          <t>بلا سعر — لا وصفة ولا سعر سابق؛ يلزم إدخال سعره</t>
        </is>
      </c>
    </row>
    <row r="96">
      <c r="A96" s="4" t="inlineStr">
        <is>
          <t>اكياس مفروم صويا</t>
        </is>
      </c>
      <c r="B96" s="5" t="n"/>
      <c r="C96" s="5" t="n"/>
      <c r="D96" s="5" t="n"/>
      <c r="E96" s="5" t="n"/>
      <c r="F96" s="5" t="n"/>
      <c r="G96" s="5">
        <f>IF(COUNT(B96:F96)=0,"",SUM(B96:F96))</f>
        <v/>
      </c>
      <c r="H96" s="7" t="n"/>
      <c r="I96" s="5">
        <f>IF(OR(G96="",H96=""),"",G96*H96)</f>
        <v/>
      </c>
      <c r="J96" s="4" t="inlineStr">
        <is>
          <t>كفته أبو هاشم 1 ك</t>
        </is>
      </c>
      <c r="K96" s="5" t="n"/>
      <c r="L96" s="6" t="n">
        <v>79.0342</v>
      </c>
      <c r="M96" s="5">
        <f>IF(OR(K96="",L96=""),"",K96*L96)</f>
        <v/>
      </c>
    </row>
    <row r="97">
      <c r="A97" s="4" t="inlineStr">
        <is>
          <t>اكياس سجق ابوهاشم 3ك</t>
        </is>
      </c>
      <c r="B97" s="5" t="n"/>
      <c r="C97" s="5" t="n"/>
      <c r="D97" s="5" t="n"/>
      <c r="E97" s="5" t="n"/>
      <c r="F97" s="5" t="n"/>
      <c r="G97" s="5">
        <f>IF(COUNT(B97:F97)=0,"",SUM(B97:F97))</f>
        <v/>
      </c>
      <c r="H97" s="6" t="n">
        <v>119.4035</v>
      </c>
      <c r="I97" s="5">
        <f>IF(OR(G97="",H97=""),"",G97*H97)</f>
        <v/>
      </c>
      <c r="J97" s="4" t="inlineStr">
        <is>
          <t>لحمة قطع كيلو أبو هاشم</t>
        </is>
      </c>
      <c r="K97" s="5" t="n"/>
      <c r="L97" s="7" t="n"/>
      <c r="M97" s="5">
        <f>IF(OR(K97="",L97=""),"",K97*L97)</f>
        <v/>
      </c>
      <c r="N97" s="8" t="inlineStr">
        <is>
          <t>بلا سعر — لا وصفة ولا سعر سابق؛ يلزم إدخال سعره</t>
        </is>
      </c>
    </row>
    <row r="98">
      <c r="A98" s="4" t="inlineStr">
        <is>
          <t>اكياس سجق ابو هاشم ص</t>
        </is>
      </c>
      <c r="B98" s="5" t="n"/>
      <c r="C98" s="5" t="n"/>
      <c r="D98" s="5" t="n"/>
      <c r="E98" s="5" t="n"/>
      <c r="F98" s="5" t="n"/>
      <c r="G98" s="5">
        <f>IF(COUNT(B98:F98)=0,"",SUM(B98:F98))</f>
        <v/>
      </c>
      <c r="H98" s="6" t="n">
        <v>165</v>
      </c>
      <c r="I98" s="5">
        <f>IF(OR(G98="",H98=""),"",G98*H98)</f>
        <v/>
      </c>
      <c r="J98" s="4" t="inlineStr">
        <is>
          <t>كبده اسبيشيال 3 ك</t>
        </is>
      </c>
      <c r="K98" s="5" t="n"/>
      <c r="L98" s="7" t="n"/>
      <c r="M98" s="5">
        <f>IF(OR(K98="",L98=""),"",K98*L98)</f>
        <v/>
      </c>
      <c r="N98" s="8" t="inlineStr">
        <is>
          <t>بلا سعر — لا وصفة ولا سعر سابق؛ يلزم إدخال سعره</t>
        </is>
      </c>
    </row>
    <row r="99">
      <c r="A99" s="4" t="inlineStr">
        <is>
          <t>اكياس برجر ابوهاشم 1.5</t>
        </is>
      </c>
      <c r="B99" s="5" t="n"/>
      <c r="C99" s="5" t="n"/>
      <c r="D99" s="5" t="n"/>
      <c r="E99" s="5" t="n"/>
      <c r="F99" s="5" t="n"/>
      <c r="G99" s="5">
        <f>IF(COUNT(B99:F99)=0,"",SUM(B99:F99))</f>
        <v/>
      </c>
      <c r="H99" s="6" t="n">
        <v>165</v>
      </c>
      <c r="I99" s="5">
        <f>IF(OR(G99="",H99=""),"",G99*H99)</f>
        <v/>
      </c>
      <c r="J99" s="4" t="inlineStr">
        <is>
          <t>بفتيك 600</t>
        </is>
      </c>
      <c r="K99" s="5" t="n"/>
      <c r="L99" s="7" t="n"/>
      <c r="M99" s="5">
        <f>IF(OR(K99="",L99=""),"",K99*L99)</f>
        <v/>
      </c>
      <c r="N99" s="8" t="inlineStr">
        <is>
          <t>بلا سعر — لا وصفة ولا سعر سابق؛ يلزم إدخال سعره</t>
        </is>
      </c>
    </row>
    <row r="100">
      <c r="A100" s="4" t="inlineStr">
        <is>
          <t>علب سوداء</t>
        </is>
      </c>
      <c r="B100" s="5" t="n"/>
      <c r="C100" s="5" t="n"/>
      <c r="D100" s="5" t="n"/>
      <c r="E100" s="5" t="n"/>
      <c r="F100" s="5" t="n"/>
      <c r="G100" s="5">
        <f>IF(COUNT(B100:F100)=0,"",SUM(B100:F100))</f>
        <v/>
      </c>
      <c r="H100" s="6" t="n">
        <v>4.1162</v>
      </c>
      <c r="I100" s="5">
        <f>IF(OR(G100="",H100=""),"",G100*H100)</f>
        <v/>
      </c>
      <c r="J100" s="4" t="inlineStr">
        <is>
          <t>عجينة كفته الهنا الـ5 ك</t>
        </is>
      </c>
      <c r="K100" s="5" t="n"/>
      <c r="L100" s="6" t="n">
        <v>132.4243</v>
      </c>
      <c r="M100" s="5">
        <f>IF(OR(K100="",L100=""),"",K100*L100)</f>
        <v/>
      </c>
    </row>
    <row r="101">
      <c r="A101" s="4" t="inlineStr">
        <is>
          <t>اطباق 1/2</t>
        </is>
      </c>
      <c r="B101" s="5" t="n"/>
      <c r="C101" s="5" t="n"/>
      <c r="D101" s="5" t="n"/>
      <c r="E101" s="5" t="n"/>
      <c r="F101" s="5" t="n"/>
      <c r="G101" s="5">
        <f>IF(COUNT(B101:F101)=0,"",SUM(B101:F101))</f>
        <v/>
      </c>
      <c r="H101" s="6" t="n">
        <v>0.4488</v>
      </c>
      <c r="I101" s="5">
        <f>IF(OR(G101="",H101=""),"",G101*H101)</f>
        <v/>
      </c>
      <c r="J101" s="4" t="inlineStr">
        <is>
          <t>عجينة بقري 1 ك</t>
        </is>
      </c>
      <c r="K101" s="5" t="n"/>
      <c r="L101" s="7" t="n"/>
      <c r="M101" s="5">
        <f>IF(OR(K101="",L101=""),"",K101*L101)</f>
        <v/>
      </c>
      <c r="N101" s="8" t="inlineStr">
        <is>
          <t>بلا سعر — لا وصفة ولا سعر سابق؛ يلزم إدخال سعره</t>
        </is>
      </c>
    </row>
    <row r="102">
      <c r="A102" s="4" t="inlineStr">
        <is>
          <t>اطباق 3/4</t>
        </is>
      </c>
      <c r="B102" s="5" t="n"/>
      <c r="C102" s="5" t="n"/>
      <c r="D102" s="5" t="n"/>
      <c r="E102" s="5" t="n"/>
      <c r="F102" s="5" t="n"/>
      <c r="G102" s="5">
        <f>IF(COUNT(B102:F102)=0,"",SUM(B102:F102))</f>
        <v/>
      </c>
      <c r="H102" s="6" t="n">
        <v>0.5707</v>
      </c>
      <c r="I102" s="5">
        <f>IF(OR(G102="",H102=""),"",G102*H102)</f>
        <v/>
      </c>
      <c r="J102" s="4" t="inlineStr">
        <is>
          <t>عجينة بقري 3 ك</t>
        </is>
      </c>
      <c r="K102" s="5" t="n"/>
      <c r="L102" s="7" t="n"/>
      <c r="M102" s="5">
        <f>IF(OR(K102="",L102=""),"",K102*L102)</f>
        <v/>
      </c>
      <c r="N102" s="8" t="inlineStr">
        <is>
          <t>بلا سعر — لا وصفة ولا سعر سابق؛ يلزم إدخال سعره</t>
        </is>
      </c>
    </row>
    <row r="103">
      <c r="A103" s="4" t="inlineStr">
        <is>
          <t>فرش البرجر 11*11</t>
        </is>
      </c>
      <c r="B103" s="5" t="n"/>
      <c r="C103" s="5" t="n"/>
      <c r="D103" s="5" t="n"/>
      <c r="E103" s="5" t="n"/>
      <c r="F103" s="5" t="n"/>
      <c r="G103" s="5">
        <f>IF(COUNT(B103:F103)=0,"",SUM(B103:F103))</f>
        <v/>
      </c>
      <c r="H103" s="6" t="n">
        <v>90.8231</v>
      </c>
      <c r="I103" s="5">
        <f>IF(OR(G103="",H103=""),"",G103*H103)</f>
        <v/>
      </c>
      <c r="J103" s="4" t="inlineStr">
        <is>
          <t>استبربس GB 2</t>
        </is>
      </c>
      <c r="K103" s="5" t="n"/>
      <c r="L103" s="6" t="n">
        <v>100</v>
      </c>
      <c r="M103" s="5">
        <f>IF(OR(K103="",L103=""),"",K103*L103)</f>
        <v/>
      </c>
    </row>
    <row r="104">
      <c r="A104" s="4" t="inlineStr">
        <is>
          <t>اكياس سجق الهنا 5ك</t>
        </is>
      </c>
      <c r="B104" s="5" t="n"/>
      <c r="C104" s="5" t="n"/>
      <c r="D104" s="5" t="n"/>
      <c r="E104" s="5" t="n"/>
      <c r="F104" s="5" t="n"/>
      <c r="G104" s="5">
        <f>IF(COUNT(B104:F104)=0,"",SUM(B104:F104))</f>
        <v/>
      </c>
      <c r="H104" s="6" t="n">
        <v>115</v>
      </c>
      <c r="I104" s="5">
        <f>IF(OR(G104="",H104=""),"",G104*H104)</f>
        <v/>
      </c>
      <c r="J104" s="4" t="inlineStr">
        <is>
          <t>بانيه 1 ك</t>
        </is>
      </c>
      <c r="K104" s="5" t="n"/>
      <c r="L104" s="7" t="n"/>
      <c r="M104" s="5">
        <f>IF(OR(K104="",L104=""),"",K104*L104)</f>
        <v/>
      </c>
      <c r="N104" s="8" t="inlineStr">
        <is>
          <t>بلا سعر — لا وصفة ولا سعر سابق؛ يلزم إدخال سعره</t>
        </is>
      </c>
    </row>
    <row r="105">
      <c r="A105" s="4" t="inlineStr">
        <is>
          <t>فرش كفته</t>
        </is>
      </c>
      <c r="B105" s="5" t="n"/>
      <c r="C105" s="5" t="n"/>
      <c r="D105" s="5" t="n"/>
      <c r="E105" s="5" t="n"/>
      <c r="F105" s="5" t="n"/>
      <c r="G105" s="5">
        <f>IF(COUNT(B105:F105)=0,"",SUM(B105:F105))</f>
        <v/>
      </c>
      <c r="H105" s="6" t="n">
        <v>87.9324</v>
      </c>
      <c r="I105" s="5">
        <f>IF(OR(G105="",H105=""),"",G105*H105)</f>
        <v/>
      </c>
      <c r="J105" s="4" t="inlineStr">
        <is>
          <t>استربس 1 ك</t>
        </is>
      </c>
      <c r="K105" s="5" t="n"/>
      <c r="L105" s="7" t="n"/>
      <c r="M105" s="5">
        <f>IF(OR(K105="",L105=""),"",K105*L105)</f>
        <v/>
      </c>
      <c r="N105" s="8" t="inlineStr">
        <is>
          <t>بلا سعر — لا وصفة ولا سعر سابق؛ يلزم إدخال سعره</t>
        </is>
      </c>
    </row>
    <row r="106">
      <c r="A106" s="4" t="inlineStr">
        <is>
          <t>فرش برانيك</t>
        </is>
      </c>
      <c r="B106" s="5" t="n"/>
      <c r="C106" s="5" t="n"/>
      <c r="D106" s="5" t="n"/>
      <c r="E106" s="5" t="n"/>
      <c r="F106" s="5" t="n"/>
      <c r="G106" s="5">
        <f>IF(COUNT(B106:F106)=0,"",SUM(B106:F106))</f>
        <v/>
      </c>
      <c r="H106" s="6" t="n">
        <v>102.1166</v>
      </c>
      <c r="I106" s="5">
        <f>IF(OR(G106="",H106=""),"",G106*H106)</f>
        <v/>
      </c>
    </row>
    <row r="107">
      <c r="A107" s="4" t="inlineStr">
        <is>
          <t>اكياس كبده 3ك</t>
        </is>
      </c>
      <c r="B107" s="5" t="n"/>
      <c r="C107" s="5" t="n"/>
      <c r="D107" s="5" t="n"/>
      <c r="E107" s="5" t="n"/>
      <c r="F107" s="5" t="n"/>
      <c r="G107" s="5">
        <f>IF(COUNT(B107:F107)=0,"",SUM(B107:F107))</f>
        <v/>
      </c>
      <c r="H107" s="6" t="n">
        <v>115</v>
      </c>
      <c r="I107" s="5">
        <f>IF(OR(G107="",H107=""),"",G107*H107)</f>
        <v/>
      </c>
    </row>
    <row r="108">
      <c r="A108" s="4" t="inlineStr">
        <is>
          <t>كروت مفروم صويا ازرق 350</t>
        </is>
      </c>
      <c r="B108" s="5" t="n"/>
      <c r="C108" s="5" t="n"/>
      <c r="D108" s="5" t="n"/>
      <c r="E108" s="5" t="n"/>
      <c r="F108" s="5" t="n"/>
      <c r="G108" s="5">
        <f>IF(COUNT(B108:F108)=0,"",SUM(B108:F108))</f>
        <v/>
      </c>
      <c r="H108" s="7" t="n"/>
      <c r="I108" s="5">
        <f>IF(OR(G108="",H108=""),"",G108*H108)</f>
        <v/>
      </c>
    </row>
    <row r="109">
      <c r="A109" s="4" t="inlineStr">
        <is>
          <t>كروت مفروم صافي 350</t>
        </is>
      </c>
      <c r="B109" s="5" t="n"/>
      <c r="C109" s="5" t="n"/>
      <c r="D109" s="5" t="n"/>
      <c r="E109" s="5" t="n"/>
      <c r="F109" s="5" t="n"/>
      <c r="G109" s="5">
        <f>IF(COUNT(B109:F109)=0,"",SUM(B109:F109))</f>
        <v/>
      </c>
      <c r="H109" s="7" t="n"/>
      <c r="I109" s="5">
        <f>IF(OR(G109="",H109=""),"",G109*H109)</f>
        <v/>
      </c>
    </row>
    <row r="110">
      <c r="A110" s="4" t="inlineStr">
        <is>
          <t>كروت مفروم صويا 350</t>
        </is>
      </c>
      <c r="B110" s="5" t="n"/>
      <c r="C110" s="5" t="n"/>
      <c r="D110" s="5" t="n"/>
      <c r="E110" s="5" t="n"/>
      <c r="F110" s="5" t="n"/>
      <c r="G110" s="5">
        <f>IF(COUNT(B110:F110)=0,"",SUM(B110:F110))</f>
        <v/>
      </c>
      <c r="H110" s="7" t="n"/>
      <c r="I110" s="5">
        <f>IF(OR(G110="",H110=""),"",G110*H110)</f>
        <v/>
      </c>
    </row>
    <row r="111">
      <c r="A111" s="4" t="inlineStr">
        <is>
          <t>اكياس بانيه الهنا</t>
        </is>
      </c>
      <c r="B111" s="5" t="n"/>
      <c r="C111" s="5" t="n"/>
      <c r="D111" s="5" t="n"/>
      <c r="E111" s="5" t="n"/>
      <c r="F111" s="5" t="n"/>
      <c r="G111" s="5">
        <f>IF(COUNT(B111:F111)=0,"",SUM(B111:F111))</f>
        <v/>
      </c>
      <c r="H111" s="6" t="n">
        <v>165</v>
      </c>
      <c r="I111" s="5">
        <f>IF(OR(G111="",H111=""),"",G111*H111)</f>
        <v/>
      </c>
    </row>
    <row r="112">
      <c r="A112" s="4" t="inlineStr">
        <is>
          <t>اكياس s.p شفاف برجر</t>
        </is>
      </c>
      <c r="B112" s="5" t="n"/>
      <c r="C112" s="5" t="n"/>
      <c r="D112" s="5" t="n"/>
      <c r="E112" s="5" t="n"/>
      <c r="F112" s="5" t="n"/>
      <c r="G112" s="5">
        <f>IF(COUNT(B112:F112)=0,"",SUM(B112:F112))</f>
        <v/>
      </c>
      <c r="H112" s="6" t="n">
        <v>165</v>
      </c>
      <c r="I112" s="5">
        <f>IF(OR(G112="",H112=""),"",G112*H112)</f>
        <v/>
      </c>
    </row>
    <row r="113">
      <c r="A113" s="4" t="inlineStr">
        <is>
          <t>اكياس برجر ابوهاشم 1ك</t>
        </is>
      </c>
      <c r="B113" s="5" t="n"/>
      <c r="C113" s="5" t="n"/>
      <c r="D113" s="5" t="n"/>
      <c r="E113" s="5" t="n"/>
      <c r="F113" s="5" t="n"/>
      <c r="G113" s="5">
        <f>IF(COUNT(B113:F113)=0,"",SUM(B113:F113))</f>
        <v/>
      </c>
      <c r="H113" s="6" t="n">
        <v>165</v>
      </c>
      <c r="I113" s="5">
        <f>IF(OR(G113="",H113=""),"",G113*H113)</f>
        <v/>
      </c>
    </row>
    <row r="114">
      <c r="A114" s="4" t="inlineStr">
        <is>
          <t>اكياس سجق s.p صغير</t>
        </is>
      </c>
      <c r="B114" s="5" t="n"/>
      <c r="C114" s="5" t="n"/>
      <c r="D114" s="5" t="n"/>
      <c r="E114" s="5" t="n"/>
      <c r="F114" s="5" t="n"/>
      <c r="G114" s="5">
        <f>IF(COUNT(B114:F114)=0,"",SUM(B114:F114))</f>
        <v/>
      </c>
      <c r="H114" s="6" t="n">
        <v>165</v>
      </c>
      <c r="I114" s="5">
        <f>IF(OR(G114="",H114=""),"",G114*H114)</f>
        <v/>
      </c>
    </row>
    <row r="115">
      <c r="A115" s="4" t="inlineStr">
        <is>
          <t>اكياس سجق s.p كبير</t>
        </is>
      </c>
      <c r="B115" s="5" t="n"/>
      <c r="C115" s="5" t="n"/>
      <c r="D115" s="5" t="n"/>
      <c r="E115" s="5" t="n"/>
      <c r="F115" s="5" t="n"/>
      <c r="G115" s="5">
        <f>IF(COUNT(B115:F115)=0,"",SUM(B115:F115))</f>
        <v/>
      </c>
      <c r="H115" s="6" t="n">
        <v>165</v>
      </c>
      <c r="I115" s="5">
        <f>IF(OR(G115="",H115=""),"",G115*H115)</f>
        <v/>
      </c>
    </row>
    <row r="116">
      <c r="A116" s="4" t="inlineStr">
        <is>
          <t>اكياس برجر s.p صغير</t>
        </is>
      </c>
      <c r="B116" s="5" t="n"/>
      <c r="C116" s="5" t="n"/>
      <c r="D116" s="5" t="n"/>
      <c r="E116" s="5" t="n"/>
      <c r="F116" s="5" t="n"/>
      <c r="G116" s="5">
        <f>IF(COUNT(B116:F116)=0,"",SUM(B116:F116))</f>
        <v/>
      </c>
      <c r="H116" s="6" t="n">
        <v>231.916</v>
      </c>
      <c r="I116" s="5">
        <f>IF(OR(G116="",H116=""),"",G116*H116)</f>
        <v/>
      </c>
    </row>
    <row r="117">
      <c r="A117" s="4" t="inlineStr">
        <is>
          <t>اكياس كفته s.p صغير</t>
        </is>
      </c>
      <c r="B117" s="5" t="n"/>
      <c r="C117" s="5" t="n"/>
      <c r="D117" s="5" t="n"/>
      <c r="E117" s="5" t="n"/>
      <c r="F117" s="5" t="n"/>
      <c r="G117" s="5">
        <f>IF(COUNT(B117:F117)=0,"",SUM(B117:F117))</f>
        <v/>
      </c>
      <c r="H117" s="6" t="n">
        <v>245.3606</v>
      </c>
      <c r="I117" s="5">
        <f>IF(OR(G117="",H117=""),"",G117*H117)</f>
        <v/>
      </c>
    </row>
    <row r="118">
      <c r="A118" s="4" t="inlineStr">
        <is>
          <t>اكياس كفته s.p كبير</t>
        </is>
      </c>
      <c r="B118" s="5" t="n"/>
      <c r="C118" s="5" t="n"/>
      <c r="D118" s="5" t="n"/>
      <c r="E118" s="5" t="n"/>
      <c r="F118" s="5" t="n"/>
      <c r="G118" s="5">
        <f>IF(COUNT(B118:F118)=0,"",SUM(B118:F118))</f>
        <v/>
      </c>
      <c r="H118" s="6" t="n">
        <v>165</v>
      </c>
      <c r="I118" s="5">
        <f>IF(OR(G118="",H118=""),"",G118*H118)</f>
        <v/>
      </c>
    </row>
    <row r="119">
      <c r="A119" s="4" t="inlineStr">
        <is>
          <t>اكياس برجر s.p كبير</t>
        </is>
      </c>
      <c r="B119" s="5" t="n"/>
      <c r="C119" s="5" t="n"/>
      <c r="D119" s="5" t="n"/>
      <c r="E119" s="5" t="n"/>
      <c r="F119" s="5" t="n"/>
      <c r="G119" s="5">
        <f>IF(COUNT(B119:F119)=0,"",SUM(B119:F119))</f>
        <v/>
      </c>
      <c r="H119" s="6" t="n">
        <v>203.8431</v>
      </c>
      <c r="I119" s="5">
        <f>IF(OR(G119="",H119=""),"",G119*H119)</f>
        <v/>
      </c>
    </row>
    <row r="120">
      <c r="A120" s="4" t="inlineStr">
        <is>
          <t>اكياس بانيه s.p</t>
        </is>
      </c>
      <c r="B120" s="5" t="n"/>
      <c r="C120" s="5" t="n"/>
      <c r="D120" s="5" t="n"/>
      <c r="E120" s="5" t="n"/>
      <c r="F120" s="5" t="n"/>
      <c r="G120" s="5">
        <f>IF(COUNT(B120:F120)=0,"",SUM(B120:F120))</f>
        <v/>
      </c>
      <c r="H120" s="6" t="n">
        <v>165</v>
      </c>
      <c r="I120" s="5">
        <f>IF(OR(G120="",H120=""),"",G120*H120)</f>
        <v/>
      </c>
    </row>
    <row r="121">
      <c r="A121" s="4" t="inlineStr">
        <is>
          <t>طبق مسطح 1/2 شفاف</t>
        </is>
      </c>
      <c r="B121" s="5" t="n"/>
      <c r="C121" s="5" t="n"/>
      <c r="D121" s="5" t="n"/>
      <c r="E121" s="5" t="n"/>
      <c r="F121" s="5" t="n"/>
      <c r="G121" s="5">
        <f>IF(COUNT(B121:F121)=0,"",SUM(B121:F121))</f>
        <v/>
      </c>
      <c r="H121" s="7" t="n"/>
      <c r="I121" s="5">
        <f>IF(OR(G121="",H121=""),"",G121*H121)</f>
        <v/>
      </c>
    </row>
    <row r="122">
      <c r="A122" s="4" t="inlineStr">
        <is>
          <t>طبق مسطح 3/4شفاف</t>
        </is>
      </c>
      <c r="B122" s="5" t="n"/>
      <c r="C122" s="5" t="n"/>
      <c r="D122" s="5" t="n"/>
      <c r="E122" s="5" t="n"/>
      <c r="F122" s="5" t="n"/>
      <c r="G122" s="5">
        <f>IF(COUNT(B122:F122)=0,"",SUM(B122:F122))</f>
        <v/>
      </c>
      <c r="H122" s="7" t="n"/>
      <c r="I122" s="5">
        <f>IF(OR(G122="",H122=""),"",G122*H122)</f>
        <v/>
      </c>
    </row>
    <row r="123">
      <c r="A123" s="4" t="inlineStr">
        <is>
          <t>أكياس استربس ص SP</t>
        </is>
      </c>
      <c r="B123" s="5" t="n"/>
      <c r="C123" s="5" t="n"/>
      <c r="D123" s="5" t="n"/>
      <c r="E123" s="5" t="n"/>
      <c r="F123" s="5" t="n"/>
      <c r="G123" s="5">
        <f>IF(COUNT(B123:F123)=0,"",SUM(B123:F123))</f>
        <v/>
      </c>
      <c r="H123" s="7" t="n"/>
      <c r="I123" s="5">
        <f>IF(OR(G123="",H123=""),"",G123*H123)</f>
        <v/>
      </c>
    </row>
    <row r="124">
      <c r="A124" s="4" t="inlineStr">
        <is>
          <t>كراتين s.p ابيض</t>
        </is>
      </c>
      <c r="B124" s="5" t="n"/>
      <c r="C124" s="5" t="n"/>
      <c r="D124" s="5" t="n"/>
      <c r="E124" s="5" t="n"/>
      <c r="F124" s="5" t="n"/>
      <c r="G124" s="5">
        <f>IF(COUNT(B124:F124)=0,"",SUM(B124:F124))</f>
        <v/>
      </c>
      <c r="H124" s="6" t="n">
        <v>21.21</v>
      </c>
      <c r="I124" s="5">
        <f>IF(OR(G124="",H124=""),"",G124*H124)</f>
        <v/>
      </c>
    </row>
    <row r="125">
      <c r="A125" s="4" t="inlineStr">
        <is>
          <t>علب بلاستيك شفاف</t>
        </is>
      </c>
      <c r="B125" s="5" t="n"/>
      <c r="C125" s="5" t="n"/>
      <c r="D125" s="5" t="n"/>
      <c r="E125" s="5" t="n"/>
      <c r="F125" s="5" t="n"/>
      <c r="G125" s="5">
        <f>IF(COUNT(B125:F125)=0,"",SUM(B125:F125))</f>
        <v/>
      </c>
      <c r="H125" s="6" t="n">
        <v>2.6373</v>
      </c>
      <c r="I125" s="5">
        <f>IF(OR(G125="",H125=""),"",G125*H125)</f>
        <v/>
      </c>
    </row>
    <row r="126">
      <c r="A126" s="4" t="inlineStr">
        <is>
          <t>اكياس كفته 3ك ابوهاشم</t>
        </is>
      </c>
      <c r="B126" s="5" t="n"/>
      <c r="C126" s="5" t="n"/>
      <c r="D126" s="5" t="n"/>
      <c r="E126" s="5" t="n"/>
      <c r="F126" s="5" t="n"/>
      <c r="G126" s="5">
        <f>IF(COUNT(B126:F126)=0,"",SUM(B126:F126))</f>
        <v/>
      </c>
      <c r="H126" s="7" t="n"/>
      <c r="I126" s="5">
        <f>IF(OR(G126="",H126=""),"",G126*H126)</f>
        <v/>
      </c>
    </row>
    <row r="127">
      <c r="A127" s="4" t="inlineStr">
        <is>
          <t>أكياس استربس الهنا ص</t>
        </is>
      </c>
      <c r="B127" s="5" t="n"/>
      <c r="C127" s="5" t="n"/>
      <c r="D127" s="5" t="n"/>
      <c r="E127" s="5" t="n"/>
      <c r="F127" s="5" t="n"/>
      <c r="G127" s="5">
        <f>IF(COUNT(B127:F127)=0,"",SUM(B127:F127))</f>
        <v/>
      </c>
      <c r="H127" s="6" t="n">
        <v>119.5355</v>
      </c>
      <c r="I127" s="5">
        <f>IF(OR(G127="",H127=""),"",G127*H127)</f>
        <v/>
      </c>
    </row>
    <row r="128">
      <c r="A128" s="4" t="inlineStr">
        <is>
          <t>اكياس عجينه بقري 5كيلو اسبيشيال</t>
        </is>
      </c>
      <c r="B128" s="5" t="n"/>
      <c r="C128" s="5" t="n"/>
      <c r="D128" s="5" t="n"/>
      <c r="E128" s="5" t="n"/>
      <c r="F128" s="5" t="n"/>
      <c r="G128" s="5">
        <f>IF(COUNT(B128:F128)=0,"",SUM(B128:F128))</f>
        <v/>
      </c>
      <c r="H128" s="6" t="n">
        <v>115</v>
      </c>
      <c r="I128" s="5">
        <f>IF(OR(G128="",H128=""),"",G128*H128)</f>
        <v/>
      </c>
    </row>
    <row r="129">
      <c r="A129" s="4" t="inlineStr">
        <is>
          <t>اكياس سجق اسبيشيال كيلو5</t>
        </is>
      </c>
      <c r="B129" s="5" t="n"/>
      <c r="C129" s="5" t="n"/>
      <c r="D129" s="5" t="n"/>
      <c r="E129" s="5" t="n"/>
      <c r="F129" s="5" t="n"/>
      <c r="G129" s="5">
        <f>IF(COUNT(B129:F129)=0,"",SUM(B129:F129))</f>
        <v/>
      </c>
      <c r="H129" s="6" t="n">
        <v>115</v>
      </c>
      <c r="I129" s="5">
        <f>IF(OR(G129="",H129=""),"",G129*H129)</f>
        <v/>
      </c>
    </row>
    <row r="130">
      <c r="A130" s="4" t="inlineStr">
        <is>
          <t>اكياس عرض نايلون(60*90)</t>
        </is>
      </c>
      <c r="B130" s="5" t="n"/>
      <c r="C130" s="5" t="n"/>
      <c r="D130" s="5" t="n"/>
      <c r="E130" s="5" t="n"/>
      <c r="F130" s="5" t="n"/>
      <c r="G130" s="5">
        <f>IF(COUNT(B130:F130)=0,"",SUM(B130:F130))</f>
        <v/>
      </c>
      <c r="H130" s="7" t="n"/>
      <c r="I130" s="5">
        <f>IF(OR(G130="",H130=""),"",G130*H130)</f>
        <v/>
      </c>
    </row>
    <row r="131">
      <c r="A131" s="4" t="inlineStr">
        <is>
          <t>كراتين الهنا ازرق</t>
        </is>
      </c>
      <c r="B131" s="5" t="n"/>
      <c r="C131" s="5" t="n"/>
      <c r="D131" s="5" t="n"/>
      <c r="E131" s="5" t="n"/>
      <c r="F131" s="5" t="n"/>
      <c r="G131" s="5">
        <f>IF(COUNT(B131:F131)=0,"",SUM(B131:F131))</f>
        <v/>
      </c>
      <c r="H131" s="6" t="n">
        <v>23.5827</v>
      </c>
      <c r="I131" s="5">
        <f>IF(OR(G131="",H131=""),"",G131*H131)</f>
        <v/>
      </c>
    </row>
    <row r="132">
      <c r="A132" s="4" t="inlineStr">
        <is>
          <t>كراتين الهنا اخضر</t>
        </is>
      </c>
      <c r="B132" s="5" t="n"/>
      <c r="C132" s="5" t="n"/>
      <c r="D132" s="5" t="n"/>
      <c r="E132" s="5" t="n"/>
      <c r="F132" s="5" t="n"/>
      <c r="G132" s="5">
        <f>IF(COUNT(B132:F132)=0,"",SUM(B132:F132))</f>
        <v/>
      </c>
      <c r="H132" s="6" t="n">
        <v>21.6127</v>
      </c>
      <c r="I132" s="5">
        <f>IF(OR(G132="",H132=""),"",G132*H132)</f>
        <v/>
      </c>
    </row>
    <row r="133">
      <c r="A133" s="4" t="inlineStr">
        <is>
          <t>كراتين اسبشيال احمر</t>
        </is>
      </c>
      <c r="B133" s="5" t="n"/>
      <c r="C133" s="5" t="n"/>
      <c r="D133" s="5" t="n"/>
      <c r="E133" s="5" t="n"/>
      <c r="F133" s="5" t="n"/>
      <c r="G133" s="5">
        <f>IF(COUNT(B133:F133)=0,"",SUM(B133:F133))</f>
        <v/>
      </c>
      <c r="H133" s="6" t="n">
        <v>23.2571</v>
      </c>
      <c r="I133" s="5">
        <f>IF(OR(G133="",H133=""),"",G133*H133)</f>
        <v/>
      </c>
    </row>
    <row r="134">
      <c r="A134" s="4" t="inlineStr">
        <is>
          <t>كراتين اسبشيال اسود</t>
        </is>
      </c>
      <c r="B134" s="5" t="n"/>
      <c r="C134" s="5" t="n"/>
      <c r="D134" s="5" t="n"/>
      <c r="E134" s="5" t="n"/>
      <c r="F134" s="5" t="n"/>
      <c r="G134" s="5">
        <f>IF(COUNT(B134:F134)=0,"",SUM(B134:F134))</f>
        <v/>
      </c>
      <c r="H134" s="6" t="n">
        <v>22</v>
      </c>
      <c r="I134" s="5">
        <f>IF(OR(G134="",H134=""),"",G134*H134)</f>
        <v/>
      </c>
    </row>
    <row r="135">
      <c r="A135" s="4" t="inlineStr">
        <is>
          <t>مذيب</t>
        </is>
      </c>
      <c r="B135" s="5" t="n"/>
      <c r="C135" s="5" t="n"/>
      <c r="D135" s="5" t="n"/>
      <c r="E135" s="5" t="n"/>
      <c r="F135" s="5" t="n"/>
      <c r="G135" s="5">
        <f>IF(COUNT(B135:F135)=0,"",SUM(B135:F135))</f>
        <v/>
      </c>
      <c r="H135" s="7" t="n"/>
      <c r="I135" s="5">
        <f>IF(OR(G135="",H135=""),"",G135*H135)</f>
        <v/>
      </c>
    </row>
    <row r="136">
      <c r="A136" s="4" t="inlineStr">
        <is>
          <t>اكياس 40 * 60</t>
        </is>
      </c>
      <c r="B136" s="5" t="n"/>
      <c r="C136" s="5" t="n"/>
      <c r="D136" s="5" t="n"/>
      <c r="E136" s="5" t="n"/>
      <c r="F136" s="5" t="n"/>
      <c r="G136" s="5">
        <f>IF(COUNT(B136:F136)=0,"",SUM(B136:F136))</f>
        <v/>
      </c>
      <c r="H136" s="7" t="n"/>
      <c r="I136" s="5">
        <f>IF(OR(G136="",H136=""),"",G136*H136)</f>
        <v/>
      </c>
    </row>
    <row r="137">
      <c r="A137" s="4" t="inlineStr">
        <is>
          <t>برانيك صويا</t>
        </is>
      </c>
      <c r="B137" s="5" t="n"/>
      <c r="C137" s="5" t="n"/>
      <c r="D137" s="5" t="n"/>
      <c r="E137" s="5" t="n"/>
      <c r="F137" s="5" t="n"/>
      <c r="G137" s="5">
        <f>IF(COUNT(B137:F137)=0,"",SUM(B137:F137))</f>
        <v/>
      </c>
      <c r="H137" s="7" t="n"/>
      <c r="I137" s="5">
        <f>IF(OR(G137="",H137=""),"",G137*H137)</f>
        <v/>
      </c>
    </row>
    <row r="138">
      <c r="A138" s="4" t="inlineStr">
        <is>
          <t>برنيك برجر</t>
        </is>
      </c>
      <c r="B138" s="5" t="n"/>
      <c r="C138" s="5" t="n"/>
      <c r="D138" s="5" t="n"/>
      <c r="E138" s="5" t="n"/>
      <c r="F138" s="5" t="n"/>
      <c r="G138" s="5">
        <f>IF(COUNT(B138:F138)=0,"",SUM(B138:F138))</f>
        <v/>
      </c>
      <c r="H138" s="7" t="n"/>
      <c r="I138" s="5">
        <f>IF(OR(G138="",H138=""),"",G138*H138)</f>
        <v/>
      </c>
    </row>
    <row r="139">
      <c r="A139" s="4" t="inlineStr">
        <is>
          <t>برنيك سجق</t>
        </is>
      </c>
      <c r="B139" s="5" t="n"/>
      <c r="C139" s="5" t="n"/>
      <c r="D139" s="5" t="n"/>
      <c r="E139" s="5" t="n"/>
      <c r="F139" s="5" t="n"/>
      <c r="G139" s="5">
        <f>IF(COUNT(B139:F139)=0,"",SUM(B139:F139))</f>
        <v/>
      </c>
      <c r="H139" s="7" t="n"/>
      <c r="I139" s="5">
        <f>IF(OR(G139="",H139=""),"",G139*H139)</f>
        <v/>
      </c>
    </row>
    <row r="140">
      <c r="A140" s="4" t="inlineStr">
        <is>
          <t>أكياس استربس اسبيشيال ص</t>
        </is>
      </c>
      <c r="B140" s="5" t="n"/>
      <c r="C140" s="5" t="n"/>
      <c r="D140" s="5" t="n"/>
      <c r="E140" s="5" t="n"/>
      <c r="F140" s="5" t="n"/>
      <c r="G140" s="5">
        <f>IF(COUNT(B140:F140)=0,"",SUM(B140:F140))</f>
        <v/>
      </c>
      <c r="H140" s="7" t="n"/>
      <c r="I140" s="5">
        <f>IF(OR(G140="",H140=""),"",G140*H140)</f>
        <v/>
      </c>
    </row>
    <row r="141">
      <c r="A141" s="4" t="inlineStr">
        <is>
          <t>أكياس بانيه الهنا 5 ك</t>
        </is>
      </c>
      <c r="B141" s="5" t="n"/>
      <c r="C141" s="5" t="n"/>
      <c r="D141" s="5" t="n"/>
      <c r="E141" s="5" t="n"/>
      <c r="F141" s="5" t="n"/>
      <c r="G141" s="5">
        <f>IF(COUNT(B141:F141)=0,"",SUM(B141:F141))</f>
        <v/>
      </c>
      <c r="H141" s="6" t="n">
        <v>165</v>
      </c>
      <c r="I141" s="5">
        <f>IF(OR(G141="",H141=""),"",G141*H141)</f>
        <v/>
      </c>
    </row>
    <row r="142">
      <c r="A142" s="4" t="inlineStr">
        <is>
          <t>فلاتر</t>
        </is>
      </c>
      <c r="B142" s="5" t="n"/>
      <c r="C142" s="5" t="n"/>
      <c r="D142" s="5" t="n"/>
      <c r="E142" s="5" t="n"/>
      <c r="F142" s="5" t="n"/>
      <c r="G142" s="5">
        <f>IF(COUNT(B142:F142)=0,"",SUM(B142:F142))</f>
        <v/>
      </c>
      <c r="H142" s="7" t="n"/>
      <c r="I142" s="5">
        <f>IF(OR(G142="",H142=""),"",G142*H142)</f>
        <v/>
      </c>
    </row>
    <row r="143">
      <c r="A143" s="4" t="inlineStr">
        <is>
          <t>استطوانة فريون</t>
        </is>
      </c>
      <c r="B143" s="5" t="n"/>
      <c r="C143" s="5" t="n"/>
      <c r="D143" s="5" t="n"/>
      <c r="E143" s="5" t="n"/>
      <c r="F143" s="5" t="n"/>
      <c r="G143" s="5">
        <f>IF(COUNT(B143:F143)=0,"",SUM(B143:F143))</f>
        <v/>
      </c>
      <c r="H143" s="7" t="n"/>
      <c r="I143" s="5">
        <f>IF(OR(G143="",H143=""),"",G143*H143)</f>
        <v/>
      </c>
    </row>
    <row r="144">
      <c r="A144" s="4" t="inlineStr">
        <is>
          <t>فلتر خاص بالثلاجة</t>
        </is>
      </c>
      <c r="B144" s="5" t="n"/>
      <c r="C144" s="5" t="n"/>
      <c r="D144" s="5" t="n"/>
      <c r="E144" s="5" t="n"/>
      <c r="F144" s="5" t="n"/>
      <c r="G144" s="5">
        <f>IF(COUNT(B144:F144)=0,"",SUM(B144:F144))</f>
        <v/>
      </c>
      <c r="H144" s="7" t="n"/>
      <c r="I144" s="5">
        <f>IF(OR(G144="",H144=""),"",G144*H144)</f>
        <v/>
      </c>
    </row>
    <row r="145">
      <c r="A145" s="4" t="inlineStr">
        <is>
          <t>زيت سيارات</t>
        </is>
      </c>
      <c r="B145" s="5" t="n"/>
      <c r="C145" s="5" t="n"/>
      <c r="D145" s="5" t="n"/>
      <c r="E145" s="5" t="n"/>
      <c r="F145" s="5" t="n"/>
      <c r="G145" s="5">
        <f>IF(COUNT(B145:F145)=0,"",SUM(B145:F145))</f>
        <v/>
      </c>
      <c r="H145" s="6" t="n">
        <v>1350</v>
      </c>
      <c r="I145" s="5">
        <f>IF(OR(G145="",H145=""),"",G145*H145)</f>
        <v/>
      </c>
    </row>
    <row r="146">
      <c r="A146" s="4" t="inlineStr">
        <is>
          <t>حشوة زيت</t>
        </is>
      </c>
      <c r="B146" s="5" t="n"/>
      <c r="C146" s="5" t="n"/>
      <c r="D146" s="5" t="n"/>
      <c r="E146" s="5" t="n"/>
      <c r="F146" s="5" t="n"/>
      <c r="G146" s="5">
        <f>IF(COUNT(B146:F146)=0,"",SUM(B146:F146))</f>
        <v/>
      </c>
      <c r="H146" s="7" t="n"/>
      <c r="I146" s="5">
        <f>IF(OR(G146="",H146=""),"",G146*H146)</f>
        <v/>
      </c>
    </row>
    <row r="147">
      <c r="A147" s="4" t="inlineStr">
        <is>
          <t>خام عجينة برجر أبو هاشم</t>
        </is>
      </c>
      <c r="B147" s="5" t="n"/>
      <c r="C147" s="5" t="n"/>
      <c r="D147" s="5" t="n"/>
      <c r="E147" s="5" t="n"/>
      <c r="F147" s="5" t="n"/>
      <c r="G147" s="5">
        <f>IF(COUNT(B147:F147)=0,"",SUM(B147:F147))</f>
        <v/>
      </c>
      <c r="H147" s="7" t="n"/>
      <c r="I147" s="5">
        <f>IF(OR(G147="",H147=""),"",G147*H147)</f>
        <v/>
      </c>
    </row>
    <row r="148">
      <c r="A148" s="4" t="inlineStr">
        <is>
          <t>خام عجينه بقري اسبيشيال</t>
        </is>
      </c>
      <c r="B148" s="5" t="n"/>
      <c r="C148" s="5" t="n"/>
      <c r="D148" s="5" t="n"/>
      <c r="E148" s="5" t="n"/>
      <c r="F148" s="5" t="n"/>
      <c r="G148" s="5">
        <f>IF(COUNT(B148:F148)=0,"",SUM(B148:F148))</f>
        <v/>
      </c>
      <c r="H148" s="7" t="n"/>
      <c r="I148" s="5">
        <f>IF(OR(G148="",H148=""),"",G148*H148)</f>
        <v/>
      </c>
    </row>
    <row r="149">
      <c r="A149" s="4" t="inlineStr">
        <is>
          <t>خام عجينة برجر الهنا</t>
        </is>
      </c>
      <c r="B149" s="5" t="n"/>
      <c r="C149" s="5" t="n"/>
      <c r="D149" s="5" t="n"/>
      <c r="E149" s="5" t="n"/>
      <c r="F149" s="5" t="n"/>
      <c r="G149" s="5">
        <f>IF(COUNT(B149:F149)=0,"",SUM(B149:F149))</f>
        <v/>
      </c>
      <c r="H149" s="7" t="n"/>
      <c r="I149" s="5">
        <f>IF(OR(G149="",H149=""),"",G149*H149)</f>
        <v/>
      </c>
    </row>
    <row r="150">
      <c r="A150" s="4" t="inlineStr">
        <is>
          <t>خام عجينة كفته الهنا</t>
        </is>
      </c>
      <c r="B150" s="5" t="n"/>
      <c r="C150" s="5" t="n"/>
      <c r="D150" s="5" t="n"/>
      <c r="E150" s="5" t="n"/>
      <c r="F150" s="5" t="n"/>
      <c r="G150" s="5">
        <f>IF(COUNT(B150:F150)=0,"",SUM(B150:F150))</f>
        <v/>
      </c>
      <c r="H150" s="7" t="n"/>
      <c r="I150" s="5">
        <f>IF(OR(G150="",H150=""),"",G150*H150)</f>
        <v/>
      </c>
    </row>
    <row r="151">
      <c r="A151" s="4" t="inlineStr">
        <is>
          <t>خام عجينة سجق الهنا</t>
        </is>
      </c>
      <c r="B151" s="5" t="n"/>
      <c r="C151" s="5" t="n"/>
      <c r="D151" s="5" t="n"/>
      <c r="E151" s="5" t="n"/>
      <c r="F151" s="5" t="n"/>
      <c r="G151" s="5">
        <f>IF(COUNT(B151:F151)=0,"",SUM(B151:F151))</f>
        <v/>
      </c>
      <c r="H151" s="7" t="n"/>
      <c r="I151" s="5">
        <f>IF(OR(G151="",H151=""),"",G151*H151)</f>
        <v/>
      </c>
    </row>
    <row r="152">
      <c r="A152" s="4" t="inlineStr">
        <is>
          <t>خام عجينة برجر اسبيشيال</t>
        </is>
      </c>
      <c r="B152" s="5" t="n"/>
      <c r="C152" s="5" t="n"/>
      <c r="D152" s="5" t="n"/>
      <c r="E152" s="5" t="n"/>
      <c r="F152" s="5" t="n"/>
      <c r="G152" s="5">
        <f>IF(COUNT(B152:F152)=0,"",SUM(B152:F152))</f>
        <v/>
      </c>
      <c r="H152" s="7" t="n"/>
      <c r="I152" s="5">
        <f>IF(OR(G152="",H152=""),"",G152*H152)</f>
        <v/>
      </c>
    </row>
    <row r="153">
      <c r="A153" s="4" t="inlineStr">
        <is>
          <t>فلتر هواء</t>
        </is>
      </c>
      <c r="B153" s="5" t="n"/>
      <c r="C153" s="5" t="n"/>
      <c r="D153" s="5" t="n"/>
      <c r="E153" s="5" t="n"/>
      <c r="F153" s="5" t="n"/>
      <c r="G153" s="5">
        <f>IF(COUNT(B153:F153)=0,"",SUM(B153:F153))</f>
        <v/>
      </c>
      <c r="H153" s="7" t="n"/>
      <c r="I153" s="5">
        <f>IF(OR(G153="",H153=""),"",G153*H153)</f>
        <v/>
      </c>
    </row>
    <row r="155">
      <c r="A155" s="9" t="inlineStr">
        <is>
          <t>إجمالى قيمة الخامات</t>
        </is>
      </c>
      <c r="I155" s="10">
        <f>SUM(I5:I153)</f>
        <v/>
      </c>
      <c r="J155" s="9" t="inlineStr">
        <is>
          <t>إجمالى قيمة المنتج التام</t>
        </is>
      </c>
      <c r="M155" s="10">
        <f>SUM(M5:M153)</f>
        <v/>
      </c>
    </row>
    <row r="156">
      <c r="A156" s="9" t="inlineStr">
        <is>
          <t>إجمالى قيمة المخزون الكلى آخر سبتمبر</t>
        </is>
      </c>
      <c r="I156" s="10">
        <f>I155+M155</f>
        <v/>
      </c>
    </row>
  </sheetData>
  <mergeCells count="2">
    <mergeCell ref="A3:N3"/>
    <mergeCell ref="A2:N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2026-10-18T08:36:20Z</dcterms:created>
  <dcterms:modified xmlns:dcterms="http://purl.org/dc/terms/" xmlns:xsi="http://www.w3.org/2001/XMLSchema-instance" xsi:type="dcterms:W3CDTF">2026-10-18T08:36:20Z</dcterms:modified>
</cp:coreProperties>
</file>